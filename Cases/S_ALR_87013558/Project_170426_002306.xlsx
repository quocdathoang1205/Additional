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Cases\S_ALR_87013558\"/>
    </mc:Choice>
  </mc:AlternateContent>
  <xr:revisionPtr revIDLastSave="0" documentId="13_ncr:1_{B84404EB-BD8B-4899-A2E8-BA40931BF431}" xr6:coauthVersionLast="47" xr6:coauthVersionMax="47" xr10:uidLastSave="{00000000-0000-0000-0000-000000000000}"/>
  <bookViews>
    <workbookView xWindow="-110" yWindow="-110" windowWidth="19420" windowHeight="10300" activeTab="1" xr2:uid="{FD559608-21FC-4048-B933-F6843F3F78F8}"/>
  </bookViews>
  <sheets>
    <sheet name="3rd Party" sheetId="2" r:id="rId1"/>
    <sheet name="Manpow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G21" i="3"/>
  <c r="F21" i="3"/>
  <c r="E21" i="3"/>
  <c r="D21" i="3"/>
  <c r="C21" i="3"/>
  <c r="G32" i="2"/>
  <c r="F32" i="2"/>
  <c r="E32" i="2"/>
  <c r="D32" i="2"/>
  <c r="C32" i="2"/>
</calcChain>
</file>

<file path=xl/sharedStrings.xml><?xml version="1.0" encoding="utf-8"?>
<sst xmlns="http://schemas.openxmlformats.org/spreadsheetml/2006/main" count="271" uniqueCount="168">
  <si>
    <t>Object</t>
  </si>
  <si>
    <t>Description</t>
  </si>
  <si>
    <t>Level</t>
  </si>
  <si>
    <t>WBS/ORD</t>
  </si>
  <si>
    <t>Cost Center</t>
  </si>
  <si>
    <t>Cost Center description</t>
  </si>
  <si>
    <t>2026 BD MANPOWER (COS)</t>
  </si>
  <si>
    <t>P11.0801.1.P</t>
  </si>
  <si>
    <t>110001</t>
  </si>
  <si>
    <t>WPB-G&amp;A</t>
  </si>
  <si>
    <t>WPB - BDMH Terrex s5 MBT Cert 2026</t>
  </si>
  <si>
    <t>P11.0801.1.P.001</t>
  </si>
  <si>
    <t>110011</t>
  </si>
  <si>
    <t>WPB-CBP</t>
  </si>
  <si>
    <t>ETMS Pre-trial preparation s5 MBT Cert26</t>
  </si>
  <si>
    <t>P11.0801.1.P.001.001</t>
  </si>
  <si>
    <t/>
  </si>
  <si>
    <t>ETMS Trial preparation s5 MBT Cert26</t>
  </si>
  <si>
    <t>P11.0801.1.P.001.002</t>
  </si>
  <si>
    <t>WPB - BDMH Terrex s5 Qatar Trial Demo</t>
  </si>
  <si>
    <t>P11.0801.1.P.002</t>
  </si>
  <si>
    <t>                                        ORD 113T0KW26032</t>
  </si>
  <si>
    <t>KNOWLEDGE WORKSHOP S</t>
  </si>
  <si>
    <t>ORD 113T0KW26032</t>
  </si>
  <si>
    <t>Notfound</t>
  </si>
  <si>
    <t>ETMS Pre-trial preparation s5Qatar Trial</t>
  </si>
  <si>
    <t>P11.0801.1.P.002.001</t>
  </si>
  <si>
    <t>ETMS Trial preparation s5 Qatar Trial</t>
  </si>
  <si>
    <t>P11.0801.1.P.002.002</t>
  </si>
  <si>
    <t>WPB - BDMH GCC</t>
  </si>
  <si>
    <t>P11.0801.1.P.003</t>
  </si>
  <si>
    <t>WPB - BDMH WPB BD 6x6</t>
  </si>
  <si>
    <t>P11.0801.1.P.004</t>
  </si>
  <si>
    <t>WPB - BDMH RHINO LHD</t>
  </si>
  <si>
    <t>P11.0801.1.P.006</t>
  </si>
  <si>
    <t>WPB - BDMH OMAN RGO tender</t>
  </si>
  <si>
    <t>P11.0801.1.P.009</t>
  </si>
  <si>
    <t>110021</t>
  </si>
  <si>
    <t>WPB-NCBP</t>
  </si>
  <si>
    <t>WPB - BDMH SA 2026</t>
  </si>
  <si>
    <t>P11.0801.1.P.010</t>
  </si>
  <si>
    <t>WPB - BDMH TERREX FACELIFT</t>
  </si>
  <si>
    <t>P11.0801.1.P.011</t>
  </si>
  <si>
    <t>WPB - BDMH Qatar 8x8 IFV/FV-CV/RV</t>
  </si>
  <si>
    <t>P11.0801.1.P.018</t>
  </si>
  <si>
    <t>WPB - IFV/IFV-CV</t>
  </si>
  <si>
    <t>P11.0801.1.P.018.001</t>
  </si>
  <si>
    <t>WPB - RV</t>
  </si>
  <si>
    <t>P11.0801.1.P.018.002</t>
  </si>
  <si>
    <t>ENG - IFV/IFV-CV</t>
  </si>
  <si>
    <t>P11.0801.1.P.018.003</t>
  </si>
  <si>
    <t>ENG - RV</t>
  </si>
  <si>
    <t>P11.0801.1.P.018.004</t>
  </si>
  <si>
    <t>SCM</t>
  </si>
  <si>
    <t>P11.0801.1.P.018.005</t>
  </si>
  <si>
    <t>OPS/QA</t>
  </si>
  <si>
    <t>P11.0801.1.P.018.006</t>
  </si>
  <si>
    <t>WPB - BDMH Philippines 8x8 RFI</t>
  </si>
  <si>
    <t>P11.0801.1.P.019</t>
  </si>
  <si>
    <t>WPB - BDMH Rhino_HED Overseas</t>
  </si>
  <si>
    <t>P11.0801.1.P.021</t>
  </si>
  <si>
    <t>WPB - BDMH Rhino_HED LHD</t>
  </si>
  <si>
    <t>P11.0801.1.P.022</t>
  </si>
  <si>
    <t>WPB - BDMH Rhino_HED XWB</t>
  </si>
  <si>
    <t>P11.0801.1.P.023</t>
  </si>
  <si>
    <t>WPB - BDMH Rhino_HED RTA</t>
  </si>
  <si>
    <t>P11.0801.1.P.024</t>
  </si>
  <si>
    <t>WPB - BDMH VANTREX</t>
  </si>
  <si>
    <t>P11.0801.1.P.025</t>
  </si>
  <si>
    <t>WPB - BDMH WPB Central Drive HED</t>
  </si>
  <si>
    <t>P11.0801.1.P.026</t>
  </si>
  <si>
    <t>WPB - BDMH WPB SHEV</t>
  </si>
  <si>
    <t>P11.0801.1.P.027</t>
  </si>
  <si>
    <t>WPB - BDMH WPB SMEV</t>
  </si>
  <si>
    <t>P11.0801.1.P.028</t>
  </si>
  <si>
    <t>Result</t>
  </si>
  <si>
    <t>2026 BD EXPENSES (OPEX)</t>
  </si>
  <si>
    <t>P11.0801.1.B</t>
  </si>
  <si>
    <t>WPB - BD Terrex s5 MBT Cert 2026</t>
  </si>
  <si>
    <t>P11.0801.1.B.001</t>
  </si>
  <si>
    <t>WPB - BD Terrex s5 Qatar Trial Demo</t>
  </si>
  <si>
    <t>P11.0801.1.B.002</t>
  </si>
  <si>
    <t>Material &amp; 3rd Party s5 Qatar Trial Demo</t>
  </si>
  <si>
    <t>P11.0801.1.B.002.001</t>
  </si>
  <si>
    <t>Shipment Expenses s5 Qatar Trial Demo</t>
  </si>
  <si>
    <t>P11.0801.1.B.002.002</t>
  </si>
  <si>
    <t>Travel Expenses s5 Qatar Trial Demo</t>
  </si>
  <si>
    <t>P11.0801.1.B.002.003</t>
  </si>
  <si>
    <t>WPB - BD GCC</t>
  </si>
  <si>
    <t>P11.0801.1.B.003</t>
  </si>
  <si>
    <t>WPB - BD 6x6</t>
  </si>
  <si>
    <t>P11.0801.1.B.004</t>
  </si>
  <si>
    <t>WPB - BD RHINO 2</t>
  </si>
  <si>
    <t>P11.0801.1.B.005</t>
  </si>
  <si>
    <t>WPB - BD RHINO LHD</t>
  </si>
  <si>
    <t>P11.0801.1.B.006</t>
  </si>
  <si>
    <t>WPB - BD RHINO 1 GEROTEK</t>
  </si>
  <si>
    <t>P11.0801.1.B.007</t>
  </si>
  <si>
    <t>WPB - BD RHINO 1 KUWAIT</t>
  </si>
  <si>
    <t>P11.0801.1.B.008</t>
  </si>
  <si>
    <t>WPB - BD BECh MTX 2026</t>
  </si>
  <si>
    <t>P11.0801.1.B.012</t>
  </si>
  <si>
    <t>WPB - BD DIMDEX</t>
  </si>
  <si>
    <t>P11.0801.1.B.013</t>
  </si>
  <si>
    <t>WPB - BD SA2026</t>
  </si>
  <si>
    <t>P11.0801.1.B.014</t>
  </si>
  <si>
    <t>WPB - BD WDS</t>
  </si>
  <si>
    <t>P11.0801.1.B.015</t>
  </si>
  <si>
    <t>WPB - BD Eurosatory</t>
  </si>
  <si>
    <t>P11.0801.1.B.016</t>
  </si>
  <si>
    <t>WPB - BD MSPO/WITPiS</t>
  </si>
  <si>
    <t>P11.0801.1.B.017</t>
  </si>
  <si>
    <t>WPB - BD Local Expenses</t>
  </si>
  <si>
    <t>P11.0801.1.B.020</t>
  </si>
  <si>
    <t>                        P11.0801.1.P</t>
  </si>
  <si>
    <t>                                P11.0801.1.P.001</t>
  </si>
  <si>
    <t>                                        P11.0801.1.P.001.001</t>
  </si>
  <si>
    <t>                                        P11.0801.1.P.001.002</t>
  </si>
  <si>
    <t>                                P11.0801.1.P.002</t>
  </si>
  <si>
    <t>                                        P11.0801.1.P.002.001</t>
  </si>
  <si>
    <t>                                        P11.0801.1.P.002.002</t>
  </si>
  <si>
    <t>                                P11.0801.1.P.003</t>
  </si>
  <si>
    <t>                                P11.0801.1.P.004</t>
  </si>
  <si>
    <t>                                P11.0801.1.P.006</t>
  </si>
  <si>
    <t>                                P11.0801.1.P.009</t>
  </si>
  <si>
    <t>                                P11.0801.1.P.010</t>
  </si>
  <si>
    <t>                                P11.0801.1.P.011</t>
  </si>
  <si>
    <t>                                P11.0801.1.P.018</t>
  </si>
  <si>
    <t>                                        P11.0801.1.P.018.001</t>
  </si>
  <si>
    <t>                                        P11.0801.1.P.018.002</t>
  </si>
  <si>
    <t>                                        P11.0801.1.P.018.003</t>
  </si>
  <si>
    <t>                                        P11.0801.1.P.018.004</t>
  </si>
  <si>
    <t>                                        P11.0801.1.P.018.005</t>
  </si>
  <si>
    <t>                                        P11.0801.1.P.018.006</t>
  </si>
  <si>
    <t>                                P11.0801.1.P.019</t>
  </si>
  <si>
    <t>                                P11.0801.1.P.021</t>
  </si>
  <si>
    <t>                                P11.0801.1.P.022</t>
  </si>
  <si>
    <t>                                P11.0801.1.P.023</t>
  </si>
  <si>
    <t>                                P11.0801.1.P.024</t>
  </si>
  <si>
    <t>                                P11.0801.1.P.025</t>
  </si>
  <si>
    <t>                                P11.0801.1.P.026</t>
  </si>
  <si>
    <t>                                P11.0801.1.P.027</t>
  </si>
  <si>
    <t>                                P11.0801.1.P.028</t>
  </si>
  <si>
    <t>Budget</t>
  </si>
  <si>
    <t>Actual</t>
  </si>
  <si>
    <t>Commitment</t>
  </si>
  <si>
    <t>Assigned</t>
  </si>
  <si>
    <t>Available</t>
  </si>
  <si>
    <t>Type</t>
  </si>
  <si>
    <t>                        P11.0801.1.B</t>
  </si>
  <si>
    <t>                                P11.0801.1.B.001</t>
  </si>
  <si>
    <t>                                P11.0801.1.B.002</t>
  </si>
  <si>
    <t>                                        P11.0801.1.B.002.001</t>
  </si>
  <si>
    <t>                                        P11.0801.1.B.002.002</t>
  </si>
  <si>
    <t>                                        P11.0801.1.B.002.003</t>
  </si>
  <si>
    <t>                                P11.0801.1.B.003</t>
  </si>
  <si>
    <t>                                P11.0801.1.B.004</t>
  </si>
  <si>
    <t>                                P11.0801.1.B.005</t>
  </si>
  <si>
    <t>                                P11.0801.1.B.006</t>
  </si>
  <si>
    <t>                                P11.0801.1.B.007</t>
  </si>
  <si>
    <t>                                P11.0801.1.B.008</t>
  </si>
  <si>
    <t>                                P11.0801.1.B.012</t>
  </si>
  <si>
    <t>                                P11.0801.1.B.013</t>
  </si>
  <si>
    <t>                                P11.0801.1.B.014</t>
  </si>
  <si>
    <t>                                P11.0801.1.B.015</t>
  </si>
  <si>
    <t>                                P11.0801.1.B.016</t>
  </si>
  <si>
    <t>                                P11.0801.1.B.017</t>
  </si>
  <si>
    <t>                                P11.0801.1.B.020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</si>
</sst>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4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4" fontId="0" fillId="5" borderId="0" xfId="0" applyNumberFormat="1" applyFill="1" applyAlignment="1">
      <alignment vertical="center"/>
    </xf>
    <xf numFmtId="0" fontId="1" fillId="6" borderId="0" xfId="0" applyFont="1" applyFill="1" applyAlignment="1">
      <alignment vertical="center"/>
    </xf>
    <xf numFmtId="4" fontId="1" fillId="6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B3C0-9C9D-4F62-B0D5-15C76B68BC85}">
  <sheetPr codeName="Sheet4"/>
  <dimension ref="A1:L32"/>
  <sheetViews>
    <sheetView topLeftCell="H1" workbookViewId="0">
      <selection activeCell="L1" sqref="L1:L1048576"/>
    </sheetView>
  </sheetViews>
  <sheetFormatPr defaultRowHeight="14.5" x14ac:dyDescent="0.35"/>
  <cols>
    <col min="1" max="1" width="38" style="1" bestFit="1" customWidth="1"/>
    <col min="2" max="2" width="34.36328125" style="1" bestFit="1" customWidth="1"/>
    <col min="3" max="3" width="17.81640625" style="1" bestFit="1" customWidth="1"/>
    <col min="4" max="4" width="17.1796875" style="1" bestFit="1" customWidth="1"/>
    <col min="5" max="5" width="24.54296875" style="1" bestFit="1" customWidth="1"/>
    <col min="6" max="6" width="19.90625" style="1" bestFit="1" customWidth="1"/>
    <col min="7" max="7" width="20.08984375" style="1" bestFit="1" customWidth="1"/>
    <col min="8" max="8" width="13.6328125" style="1" bestFit="1" customWidth="1"/>
    <col min="9" max="9" width="26.36328125" style="1" bestFit="1" customWidth="1"/>
    <col min="10" max="10" width="6.54296875" style="1" bestFit="1" customWidth="1"/>
    <col min="11" max="11" width="18.90625" style="1" bestFit="1" customWidth="1"/>
    <col min="12" max="12" width="13.6328125" style="1" bestFit="1" customWidth="1"/>
    <col min="13" max="16384" width="8.7265625" style="1"/>
  </cols>
  <sheetData>
    <row r="1" spans="1:12" ht="41.25" customHeight="1" x14ac:dyDescent="0.35">
      <c r="A1" s="2" t="s">
        <v>0</v>
      </c>
      <c r="B1" s="2" t="s">
        <v>1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4</v>
      </c>
      <c r="I1" s="2" t="s">
        <v>5</v>
      </c>
      <c r="J1" s="2" t="s">
        <v>2</v>
      </c>
      <c r="K1" s="2" t="s">
        <v>3</v>
      </c>
      <c r="L1" s="2" t="s">
        <v>148</v>
      </c>
    </row>
    <row r="2" spans="1:12" x14ac:dyDescent="0.35">
      <c r="A2" s="3" t="s">
        <v>114</v>
      </c>
      <c r="B2" s="3" t="s">
        <v>6</v>
      </c>
      <c r="C2" s="4">
        <v>6258975</v>
      </c>
      <c r="D2" s="4">
        <v>956061</v>
      </c>
      <c r="E2" s="4">
        <v>0</v>
      </c>
      <c r="F2" s="4">
        <v>956061</v>
      </c>
      <c r="G2" s="4">
        <v>5302914</v>
      </c>
      <c r="H2" s="3" t="s">
        <v>8</v>
      </c>
      <c r="I2" s="3" t="s">
        <v>9</v>
      </c>
      <c r="J2" s="3">
        <v>1</v>
      </c>
      <c r="K2" s="3" t="s">
        <v>7</v>
      </c>
      <c r="L2" s="3" t="str">
        <f>IF(IFERROR(FIND("ORD",A2,1),-1)&gt;0,"ORD","WBS")</f>
        <v>WBS</v>
      </c>
    </row>
    <row r="3" spans="1:12" x14ac:dyDescent="0.35">
      <c r="A3" s="5" t="s">
        <v>115</v>
      </c>
      <c r="B3" s="5" t="s">
        <v>10</v>
      </c>
      <c r="C3" s="6">
        <v>113000</v>
      </c>
      <c r="D3" s="6">
        <v>6723</v>
      </c>
      <c r="E3" s="6">
        <v>0</v>
      </c>
      <c r="F3" s="6">
        <v>6723</v>
      </c>
      <c r="G3" s="6">
        <v>106277</v>
      </c>
      <c r="H3" s="5" t="s">
        <v>12</v>
      </c>
      <c r="I3" s="5" t="s">
        <v>13</v>
      </c>
      <c r="J3" s="5">
        <v>2</v>
      </c>
      <c r="K3" s="5" t="s">
        <v>11</v>
      </c>
      <c r="L3" s="5" t="str">
        <f t="shared" ref="L3:L31" si="0">IF(IFERROR(FIND("ORD",A3,1),-1)&gt;0,"ORD","WBS")</f>
        <v>WBS</v>
      </c>
    </row>
    <row r="4" spans="1:12" x14ac:dyDescent="0.35">
      <c r="A4" s="7" t="s">
        <v>116</v>
      </c>
      <c r="B4" s="7" t="s">
        <v>14</v>
      </c>
      <c r="C4" s="8">
        <v>0</v>
      </c>
      <c r="D4" s="8">
        <v>108</v>
      </c>
      <c r="E4" s="8">
        <v>0</v>
      </c>
      <c r="F4" s="8">
        <v>108</v>
      </c>
      <c r="G4" s="8">
        <v>-108</v>
      </c>
      <c r="H4" s="7" t="s">
        <v>16</v>
      </c>
      <c r="I4" s="7" t="s">
        <v>16</v>
      </c>
      <c r="J4" s="7">
        <v>3</v>
      </c>
      <c r="K4" s="7" t="s">
        <v>15</v>
      </c>
      <c r="L4" s="7" t="str">
        <f t="shared" si="0"/>
        <v>WBS</v>
      </c>
    </row>
    <row r="5" spans="1:12" x14ac:dyDescent="0.35">
      <c r="A5" s="7" t="s">
        <v>117</v>
      </c>
      <c r="B5" s="7" t="s">
        <v>17</v>
      </c>
      <c r="C5" s="8">
        <v>0</v>
      </c>
      <c r="D5" s="8">
        <v>6615</v>
      </c>
      <c r="E5" s="8">
        <v>0</v>
      </c>
      <c r="F5" s="8">
        <v>6615</v>
      </c>
      <c r="G5" s="8">
        <v>-6615</v>
      </c>
      <c r="H5" s="7" t="s">
        <v>16</v>
      </c>
      <c r="I5" s="7" t="s">
        <v>16</v>
      </c>
      <c r="J5" s="7">
        <v>3</v>
      </c>
      <c r="K5" s="7" t="s">
        <v>18</v>
      </c>
      <c r="L5" s="7" t="str">
        <f t="shared" si="0"/>
        <v>WBS</v>
      </c>
    </row>
    <row r="6" spans="1:12" x14ac:dyDescent="0.35">
      <c r="A6" s="5" t="s">
        <v>118</v>
      </c>
      <c r="B6" s="5" t="s">
        <v>19</v>
      </c>
      <c r="C6" s="6">
        <v>356475</v>
      </c>
      <c r="D6" s="6">
        <v>355578</v>
      </c>
      <c r="E6" s="6">
        <v>0</v>
      </c>
      <c r="F6" s="6">
        <v>355578</v>
      </c>
      <c r="G6" s="6">
        <v>897</v>
      </c>
      <c r="H6" s="5" t="s">
        <v>12</v>
      </c>
      <c r="I6" s="5" t="s">
        <v>13</v>
      </c>
      <c r="J6" s="5">
        <v>2</v>
      </c>
      <c r="K6" s="5" t="s">
        <v>20</v>
      </c>
      <c r="L6" s="5" t="str">
        <f t="shared" si="0"/>
        <v>WBS</v>
      </c>
    </row>
    <row r="7" spans="1:12" x14ac:dyDescent="0.35">
      <c r="A7" s="7" t="s">
        <v>21</v>
      </c>
      <c r="B7" s="7" t="s">
        <v>22</v>
      </c>
      <c r="C7" s="8">
        <v>0</v>
      </c>
      <c r="D7" s="8">
        <v>50510</v>
      </c>
      <c r="E7" s="8">
        <v>0</v>
      </c>
      <c r="F7" s="8">
        <v>50510</v>
      </c>
      <c r="G7" s="8">
        <v>-50510</v>
      </c>
      <c r="H7" s="7" t="s">
        <v>24</v>
      </c>
      <c r="I7" s="7" t="s">
        <v>24</v>
      </c>
      <c r="J7" s="7">
        <v>3</v>
      </c>
      <c r="K7" s="7" t="s">
        <v>23</v>
      </c>
      <c r="L7" s="7" t="str">
        <f t="shared" si="0"/>
        <v>ORD</v>
      </c>
    </row>
    <row r="8" spans="1:12" x14ac:dyDescent="0.35">
      <c r="A8" s="7" t="s">
        <v>119</v>
      </c>
      <c r="B8" s="7" t="s">
        <v>25</v>
      </c>
      <c r="C8" s="8">
        <v>0</v>
      </c>
      <c r="D8" s="8">
        <v>213395</v>
      </c>
      <c r="E8" s="8">
        <v>0</v>
      </c>
      <c r="F8" s="8">
        <v>213395</v>
      </c>
      <c r="G8" s="8">
        <v>-213395</v>
      </c>
      <c r="H8" s="7" t="s">
        <v>16</v>
      </c>
      <c r="I8" s="7" t="s">
        <v>16</v>
      </c>
      <c r="J8" s="7">
        <v>3</v>
      </c>
      <c r="K8" s="7" t="s">
        <v>26</v>
      </c>
      <c r="L8" s="7" t="str">
        <f t="shared" si="0"/>
        <v>WBS</v>
      </c>
    </row>
    <row r="9" spans="1:12" x14ac:dyDescent="0.35">
      <c r="A9" s="7" t="s">
        <v>120</v>
      </c>
      <c r="B9" s="7" t="s">
        <v>27</v>
      </c>
      <c r="C9" s="8">
        <v>0</v>
      </c>
      <c r="D9" s="8">
        <v>140879</v>
      </c>
      <c r="E9" s="8">
        <v>0</v>
      </c>
      <c r="F9" s="8">
        <v>140879</v>
      </c>
      <c r="G9" s="8">
        <v>-140879</v>
      </c>
      <c r="H9" s="7" t="s">
        <v>16</v>
      </c>
      <c r="I9" s="7" t="s">
        <v>16</v>
      </c>
      <c r="J9" s="7">
        <v>3</v>
      </c>
      <c r="K9" s="7" t="s">
        <v>28</v>
      </c>
      <c r="L9" s="7" t="str">
        <f t="shared" si="0"/>
        <v>WBS</v>
      </c>
    </row>
    <row r="10" spans="1:12" x14ac:dyDescent="0.35">
      <c r="A10" s="5" t="s">
        <v>121</v>
      </c>
      <c r="B10" s="5" t="s">
        <v>29</v>
      </c>
      <c r="C10" s="6">
        <v>200000</v>
      </c>
      <c r="D10" s="6">
        <v>125685</v>
      </c>
      <c r="E10" s="6">
        <v>0</v>
      </c>
      <c r="F10" s="6">
        <v>125685</v>
      </c>
      <c r="G10" s="6">
        <v>74315</v>
      </c>
      <c r="H10" s="5" t="s">
        <v>12</v>
      </c>
      <c r="I10" s="5" t="s">
        <v>13</v>
      </c>
      <c r="J10" s="5">
        <v>2</v>
      </c>
      <c r="K10" s="5" t="s">
        <v>30</v>
      </c>
      <c r="L10" s="5" t="str">
        <f t="shared" si="0"/>
        <v>WBS</v>
      </c>
    </row>
    <row r="11" spans="1:12" x14ac:dyDescent="0.35">
      <c r="A11" s="5" t="s">
        <v>122</v>
      </c>
      <c r="B11" s="5" t="s">
        <v>31</v>
      </c>
      <c r="C11" s="6">
        <v>100000</v>
      </c>
      <c r="D11" s="6">
        <v>3127</v>
      </c>
      <c r="E11" s="6">
        <v>0</v>
      </c>
      <c r="F11" s="6">
        <v>3127</v>
      </c>
      <c r="G11" s="6">
        <v>96873</v>
      </c>
      <c r="H11" s="5" t="s">
        <v>12</v>
      </c>
      <c r="I11" s="5" t="s">
        <v>13</v>
      </c>
      <c r="J11" s="5">
        <v>2</v>
      </c>
      <c r="K11" s="5" t="s">
        <v>32</v>
      </c>
      <c r="L11" s="5" t="str">
        <f t="shared" si="0"/>
        <v>WBS</v>
      </c>
    </row>
    <row r="12" spans="1:12" x14ac:dyDescent="0.35">
      <c r="A12" s="5" t="s">
        <v>123</v>
      </c>
      <c r="B12" s="5" t="s">
        <v>33</v>
      </c>
      <c r="C12" s="6">
        <v>1000</v>
      </c>
      <c r="D12" s="6">
        <v>971</v>
      </c>
      <c r="E12" s="6">
        <v>0</v>
      </c>
      <c r="F12" s="6">
        <v>971</v>
      </c>
      <c r="G12" s="6">
        <v>29</v>
      </c>
      <c r="H12" s="5" t="s">
        <v>12</v>
      </c>
      <c r="I12" s="5" t="s">
        <v>13</v>
      </c>
      <c r="J12" s="5">
        <v>2</v>
      </c>
      <c r="K12" s="5" t="s">
        <v>34</v>
      </c>
      <c r="L12" s="5" t="str">
        <f t="shared" si="0"/>
        <v>WBS</v>
      </c>
    </row>
    <row r="13" spans="1:12" x14ac:dyDescent="0.35">
      <c r="A13" s="5" t="s">
        <v>124</v>
      </c>
      <c r="B13" s="5" t="s">
        <v>35</v>
      </c>
      <c r="C13" s="6">
        <v>200000</v>
      </c>
      <c r="D13" s="6">
        <v>37956</v>
      </c>
      <c r="E13" s="6">
        <v>0</v>
      </c>
      <c r="F13" s="6">
        <v>37956</v>
      </c>
      <c r="G13" s="6">
        <v>162044</v>
      </c>
      <c r="H13" s="5" t="s">
        <v>37</v>
      </c>
      <c r="I13" s="5" t="s">
        <v>38</v>
      </c>
      <c r="J13" s="5">
        <v>2</v>
      </c>
      <c r="K13" s="5" t="s">
        <v>36</v>
      </c>
      <c r="L13" s="5" t="str">
        <f t="shared" si="0"/>
        <v>WBS</v>
      </c>
    </row>
    <row r="14" spans="1:12" x14ac:dyDescent="0.35">
      <c r="A14" s="5" t="s">
        <v>125</v>
      </c>
      <c r="B14" s="5" t="s">
        <v>39</v>
      </c>
      <c r="C14" s="6">
        <v>141000</v>
      </c>
      <c r="D14" s="6">
        <v>0</v>
      </c>
      <c r="E14" s="6">
        <v>0</v>
      </c>
      <c r="F14" s="6">
        <v>0</v>
      </c>
      <c r="G14" s="6">
        <v>141000</v>
      </c>
      <c r="H14" s="5" t="s">
        <v>12</v>
      </c>
      <c r="I14" s="5" t="s">
        <v>13</v>
      </c>
      <c r="J14" s="5">
        <v>2</v>
      </c>
      <c r="K14" s="5" t="s">
        <v>40</v>
      </c>
      <c r="L14" s="5" t="str">
        <f t="shared" si="0"/>
        <v>WBS</v>
      </c>
    </row>
    <row r="15" spans="1:12" x14ac:dyDescent="0.35">
      <c r="A15" s="5" t="s">
        <v>126</v>
      </c>
      <c r="B15" s="5" t="s">
        <v>41</v>
      </c>
      <c r="C15" s="6">
        <v>110000</v>
      </c>
      <c r="D15" s="6">
        <v>67090</v>
      </c>
      <c r="E15" s="6">
        <v>0</v>
      </c>
      <c r="F15" s="6">
        <v>67090</v>
      </c>
      <c r="G15" s="6">
        <v>42910</v>
      </c>
      <c r="H15" s="5" t="s">
        <v>12</v>
      </c>
      <c r="I15" s="5" t="s">
        <v>13</v>
      </c>
      <c r="J15" s="5">
        <v>2</v>
      </c>
      <c r="K15" s="5" t="s">
        <v>42</v>
      </c>
      <c r="L15" s="5" t="str">
        <f t="shared" si="0"/>
        <v>WBS</v>
      </c>
    </row>
    <row r="16" spans="1:12" x14ac:dyDescent="0.35">
      <c r="A16" s="5" t="s">
        <v>127</v>
      </c>
      <c r="B16" s="5" t="s">
        <v>43</v>
      </c>
      <c r="C16" s="6">
        <v>2244700</v>
      </c>
      <c r="D16" s="6">
        <v>358931</v>
      </c>
      <c r="E16" s="6">
        <v>0</v>
      </c>
      <c r="F16" s="6">
        <v>358931</v>
      </c>
      <c r="G16" s="6">
        <v>1885769</v>
      </c>
      <c r="H16" s="5" t="s">
        <v>12</v>
      </c>
      <c r="I16" s="5" t="s">
        <v>13</v>
      </c>
      <c r="J16" s="5">
        <v>2</v>
      </c>
      <c r="K16" s="5" t="s">
        <v>44</v>
      </c>
      <c r="L16" s="5" t="str">
        <f t="shared" si="0"/>
        <v>WBS</v>
      </c>
    </row>
    <row r="17" spans="1:12" x14ac:dyDescent="0.35">
      <c r="A17" s="7" t="s">
        <v>128</v>
      </c>
      <c r="B17" s="7" t="s">
        <v>45</v>
      </c>
      <c r="C17" s="8">
        <v>142800</v>
      </c>
      <c r="D17" s="8">
        <v>74866</v>
      </c>
      <c r="E17" s="8">
        <v>0</v>
      </c>
      <c r="F17" s="8">
        <v>74866</v>
      </c>
      <c r="G17" s="8">
        <v>67934</v>
      </c>
      <c r="H17" s="7" t="s">
        <v>16</v>
      </c>
      <c r="I17" s="7" t="s">
        <v>16</v>
      </c>
      <c r="J17" s="7">
        <v>3</v>
      </c>
      <c r="K17" s="7" t="s">
        <v>46</v>
      </c>
      <c r="L17" s="7" t="str">
        <f t="shared" si="0"/>
        <v>WBS</v>
      </c>
    </row>
    <row r="18" spans="1:12" x14ac:dyDescent="0.35">
      <c r="A18" s="7" t="s">
        <v>129</v>
      </c>
      <c r="B18" s="7" t="s">
        <v>47</v>
      </c>
      <c r="C18" s="8">
        <v>142800</v>
      </c>
      <c r="D18" s="8">
        <v>0</v>
      </c>
      <c r="E18" s="8">
        <v>0</v>
      </c>
      <c r="F18" s="8">
        <v>0</v>
      </c>
      <c r="G18" s="8">
        <v>142800</v>
      </c>
      <c r="H18" s="7" t="s">
        <v>16</v>
      </c>
      <c r="I18" s="7" t="s">
        <v>16</v>
      </c>
      <c r="J18" s="7">
        <v>3</v>
      </c>
      <c r="K18" s="7" t="s">
        <v>48</v>
      </c>
      <c r="L18" s="7" t="str">
        <f t="shared" si="0"/>
        <v>WBS</v>
      </c>
    </row>
    <row r="19" spans="1:12" x14ac:dyDescent="0.35">
      <c r="A19" s="7" t="s">
        <v>130</v>
      </c>
      <c r="B19" s="7" t="s">
        <v>49</v>
      </c>
      <c r="C19" s="8">
        <v>449600</v>
      </c>
      <c r="D19" s="8">
        <v>138036</v>
      </c>
      <c r="E19" s="8">
        <v>0</v>
      </c>
      <c r="F19" s="8">
        <v>138036</v>
      </c>
      <c r="G19" s="8">
        <v>311564</v>
      </c>
      <c r="H19" s="7" t="s">
        <v>16</v>
      </c>
      <c r="I19" s="7" t="s">
        <v>16</v>
      </c>
      <c r="J19" s="7">
        <v>3</v>
      </c>
      <c r="K19" s="7" t="s">
        <v>50</v>
      </c>
      <c r="L19" s="7" t="str">
        <f t="shared" si="0"/>
        <v>WBS</v>
      </c>
    </row>
    <row r="20" spans="1:12" x14ac:dyDescent="0.35">
      <c r="A20" s="7" t="s">
        <v>131</v>
      </c>
      <c r="B20" s="7" t="s">
        <v>51</v>
      </c>
      <c r="C20" s="8">
        <v>182700</v>
      </c>
      <c r="D20" s="8">
        <v>0</v>
      </c>
      <c r="E20" s="8">
        <v>0</v>
      </c>
      <c r="F20" s="8">
        <v>0</v>
      </c>
      <c r="G20" s="8">
        <v>182700</v>
      </c>
      <c r="H20" s="7" t="s">
        <v>16</v>
      </c>
      <c r="I20" s="7" t="s">
        <v>16</v>
      </c>
      <c r="J20" s="7">
        <v>3</v>
      </c>
      <c r="K20" s="7" t="s">
        <v>52</v>
      </c>
      <c r="L20" s="7" t="str">
        <f t="shared" si="0"/>
        <v>WBS</v>
      </c>
    </row>
    <row r="21" spans="1:12" x14ac:dyDescent="0.35">
      <c r="A21" s="7" t="s">
        <v>132</v>
      </c>
      <c r="B21" s="7" t="s">
        <v>53</v>
      </c>
      <c r="C21" s="8">
        <v>181800</v>
      </c>
      <c r="D21" s="8">
        <v>70050</v>
      </c>
      <c r="E21" s="8">
        <v>0</v>
      </c>
      <c r="F21" s="8">
        <v>70050</v>
      </c>
      <c r="G21" s="8">
        <v>111750</v>
      </c>
      <c r="H21" s="7" t="s">
        <v>16</v>
      </c>
      <c r="I21" s="7" t="s">
        <v>16</v>
      </c>
      <c r="J21" s="7">
        <v>3</v>
      </c>
      <c r="K21" s="7" t="s">
        <v>54</v>
      </c>
      <c r="L21" s="7" t="str">
        <f t="shared" si="0"/>
        <v>WBS</v>
      </c>
    </row>
    <row r="22" spans="1:12" x14ac:dyDescent="0.35">
      <c r="A22" s="7" t="s">
        <v>133</v>
      </c>
      <c r="B22" s="7" t="s">
        <v>55</v>
      </c>
      <c r="C22" s="8">
        <v>1145000</v>
      </c>
      <c r="D22" s="8">
        <v>75978</v>
      </c>
      <c r="E22" s="8">
        <v>0</v>
      </c>
      <c r="F22" s="8">
        <v>75978</v>
      </c>
      <c r="G22" s="8">
        <v>1069022</v>
      </c>
      <c r="H22" s="7" t="s">
        <v>16</v>
      </c>
      <c r="I22" s="7" t="s">
        <v>16</v>
      </c>
      <c r="J22" s="7">
        <v>3</v>
      </c>
      <c r="K22" s="7" t="s">
        <v>56</v>
      </c>
      <c r="L22" s="7" t="str">
        <f t="shared" si="0"/>
        <v>WBS</v>
      </c>
    </row>
    <row r="23" spans="1:12" x14ac:dyDescent="0.35">
      <c r="A23" s="5" t="s">
        <v>134</v>
      </c>
      <c r="B23" s="5" t="s">
        <v>57</v>
      </c>
      <c r="C23" s="6">
        <v>4800</v>
      </c>
      <c r="D23" s="6">
        <v>0</v>
      </c>
      <c r="E23" s="6">
        <v>0</v>
      </c>
      <c r="F23" s="6">
        <v>0</v>
      </c>
      <c r="G23" s="6">
        <v>4800</v>
      </c>
      <c r="H23" s="5" t="s">
        <v>12</v>
      </c>
      <c r="I23" s="5" t="s">
        <v>13</v>
      </c>
      <c r="J23" s="5">
        <v>2</v>
      </c>
      <c r="K23" s="5" t="s">
        <v>58</v>
      </c>
      <c r="L23" s="5" t="str">
        <f t="shared" si="0"/>
        <v>WBS</v>
      </c>
    </row>
    <row r="24" spans="1:12" x14ac:dyDescent="0.35">
      <c r="A24" s="5" t="s">
        <v>135</v>
      </c>
      <c r="B24" s="5" t="s">
        <v>59</v>
      </c>
      <c r="C24" s="6">
        <v>550000</v>
      </c>
      <c r="D24" s="6">
        <v>0</v>
      </c>
      <c r="E24" s="6">
        <v>0</v>
      </c>
      <c r="F24" s="6">
        <v>0</v>
      </c>
      <c r="G24" s="6">
        <v>550000</v>
      </c>
      <c r="H24" s="5" t="s">
        <v>12</v>
      </c>
      <c r="I24" s="5" t="s">
        <v>13</v>
      </c>
      <c r="J24" s="5">
        <v>2</v>
      </c>
      <c r="K24" s="5" t="s">
        <v>60</v>
      </c>
      <c r="L24" s="5" t="str">
        <f t="shared" si="0"/>
        <v>WBS</v>
      </c>
    </row>
    <row r="25" spans="1:12" x14ac:dyDescent="0.35">
      <c r="A25" s="5" t="s">
        <v>136</v>
      </c>
      <c r="B25" s="5" t="s">
        <v>61</v>
      </c>
      <c r="C25" s="6">
        <v>239000</v>
      </c>
      <c r="D25" s="6">
        <v>0</v>
      </c>
      <c r="E25" s="6">
        <v>0</v>
      </c>
      <c r="F25" s="6">
        <v>0</v>
      </c>
      <c r="G25" s="6">
        <v>239000</v>
      </c>
      <c r="H25" s="5" t="s">
        <v>12</v>
      </c>
      <c r="I25" s="5" t="s">
        <v>13</v>
      </c>
      <c r="J25" s="5">
        <v>2</v>
      </c>
      <c r="K25" s="5" t="s">
        <v>62</v>
      </c>
      <c r="L25" s="5" t="str">
        <f t="shared" si="0"/>
        <v>WBS</v>
      </c>
    </row>
    <row r="26" spans="1:12" x14ac:dyDescent="0.35">
      <c r="A26" s="5" t="s">
        <v>137</v>
      </c>
      <c r="B26" s="5" t="s">
        <v>63</v>
      </c>
      <c r="C26" s="6">
        <v>134000</v>
      </c>
      <c r="D26" s="6">
        <v>0</v>
      </c>
      <c r="E26" s="6">
        <v>0</v>
      </c>
      <c r="F26" s="6">
        <v>0</v>
      </c>
      <c r="G26" s="6">
        <v>134000</v>
      </c>
      <c r="H26" s="5" t="s">
        <v>12</v>
      </c>
      <c r="I26" s="5" t="s">
        <v>13</v>
      </c>
      <c r="J26" s="5">
        <v>2</v>
      </c>
      <c r="K26" s="5" t="s">
        <v>64</v>
      </c>
      <c r="L26" s="5" t="str">
        <f t="shared" si="0"/>
        <v>WBS</v>
      </c>
    </row>
    <row r="27" spans="1:12" x14ac:dyDescent="0.35">
      <c r="A27" s="5" t="s">
        <v>138</v>
      </c>
      <c r="B27" s="5" t="s">
        <v>65</v>
      </c>
      <c r="C27" s="6">
        <v>687000</v>
      </c>
      <c r="D27" s="6">
        <v>0</v>
      </c>
      <c r="E27" s="6">
        <v>0</v>
      </c>
      <c r="F27" s="6">
        <v>0</v>
      </c>
      <c r="G27" s="6">
        <v>687000</v>
      </c>
      <c r="H27" s="5" t="s">
        <v>12</v>
      </c>
      <c r="I27" s="5" t="s">
        <v>13</v>
      </c>
      <c r="J27" s="5">
        <v>2</v>
      </c>
      <c r="K27" s="5" t="s">
        <v>66</v>
      </c>
      <c r="L27" s="5" t="str">
        <f t="shared" si="0"/>
        <v>WBS</v>
      </c>
    </row>
    <row r="28" spans="1:12" x14ac:dyDescent="0.35">
      <c r="A28" s="5" t="s">
        <v>139</v>
      </c>
      <c r="B28" s="5" t="s">
        <v>67</v>
      </c>
      <c r="C28" s="6">
        <v>1000000</v>
      </c>
      <c r="D28" s="6">
        <v>0</v>
      </c>
      <c r="E28" s="6">
        <v>0</v>
      </c>
      <c r="F28" s="6">
        <v>0</v>
      </c>
      <c r="G28" s="6">
        <v>1000000</v>
      </c>
      <c r="H28" s="5" t="s">
        <v>12</v>
      </c>
      <c r="I28" s="5" t="s">
        <v>13</v>
      </c>
      <c r="J28" s="5">
        <v>2</v>
      </c>
      <c r="K28" s="5" t="s">
        <v>68</v>
      </c>
      <c r="L28" s="5" t="str">
        <f t="shared" si="0"/>
        <v>WBS</v>
      </c>
    </row>
    <row r="29" spans="1:12" x14ac:dyDescent="0.35">
      <c r="A29" s="5" t="s">
        <v>140</v>
      </c>
      <c r="B29" s="5" t="s">
        <v>69</v>
      </c>
      <c r="C29" s="6">
        <v>48000</v>
      </c>
      <c r="D29" s="6">
        <v>0</v>
      </c>
      <c r="E29" s="6">
        <v>0</v>
      </c>
      <c r="F29" s="6">
        <v>0</v>
      </c>
      <c r="G29" s="6">
        <v>48000</v>
      </c>
      <c r="H29" s="5" t="s">
        <v>12</v>
      </c>
      <c r="I29" s="5" t="s">
        <v>13</v>
      </c>
      <c r="J29" s="5">
        <v>2</v>
      </c>
      <c r="K29" s="5" t="s">
        <v>70</v>
      </c>
      <c r="L29" s="5" t="str">
        <f t="shared" si="0"/>
        <v>WBS</v>
      </c>
    </row>
    <row r="30" spans="1:12" x14ac:dyDescent="0.35">
      <c r="A30" s="5" t="s">
        <v>141</v>
      </c>
      <c r="B30" s="5" t="s">
        <v>71</v>
      </c>
      <c r="C30" s="6">
        <v>60000</v>
      </c>
      <c r="D30" s="6">
        <v>0</v>
      </c>
      <c r="E30" s="6">
        <v>0</v>
      </c>
      <c r="F30" s="6">
        <v>0</v>
      </c>
      <c r="G30" s="6">
        <v>60000</v>
      </c>
      <c r="H30" s="5" t="s">
        <v>12</v>
      </c>
      <c r="I30" s="5" t="s">
        <v>13</v>
      </c>
      <c r="J30" s="5">
        <v>2</v>
      </c>
      <c r="K30" s="5" t="s">
        <v>72</v>
      </c>
      <c r="L30" s="5" t="str">
        <f t="shared" si="0"/>
        <v>WBS</v>
      </c>
    </row>
    <row r="31" spans="1:12" x14ac:dyDescent="0.35">
      <c r="A31" s="5" t="s">
        <v>142</v>
      </c>
      <c r="B31" s="5" t="s">
        <v>73</v>
      </c>
      <c r="C31" s="6">
        <v>70000</v>
      </c>
      <c r="D31" s="6">
        <v>0</v>
      </c>
      <c r="E31" s="6">
        <v>0</v>
      </c>
      <c r="F31" s="6">
        <v>0</v>
      </c>
      <c r="G31" s="6">
        <v>70000</v>
      </c>
      <c r="H31" s="5" t="s">
        <v>12</v>
      </c>
      <c r="I31" s="5" t="s">
        <v>13</v>
      </c>
      <c r="J31" s="5">
        <v>2</v>
      </c>
      <c r="K31" s="5" t="s">
        <v>74</v>
      </c>
      <c r="L31" s="5" t="str">
        <f t="shared" si="0"/>
        <v>WBS</v>
      </c>
    </row>
    <row r="32" spans="1:12" ht="30" customHeight="1" x14ac:dyDescent="0.35">
      <c r="A32" s="9" t="s">
        <v>75</v>
      </c>
      <c r="B32" s="9"/>
      <c r="C32" s="10">
        <f>SUMIF($J$1:$J$31,"=1",C1:C31)</f>
        <v>6258975</v>
      </c>
      <c r="D32" s="10">
        <f>SUMIF($J$1:$J$31,"=1",D1:D31)</f>
        <v>956061</v>
      </c>
      <c r="E32" s="10">
        <f>SUMIF($J$1:$J$31,"=1",E1:E31)</f>
        <v>0</v>
      </c>
      <c r="F32" s="10">
        <f>SUMIF($J$1:$J$31,"=1",F1:F31)</f>
        <v>956061</v>
      </c>
      <c r="G32" s="10">
        <f>SUMIF($J$1:$J$31,"=1",G1:G31)</f>
        <v>5302914</v>
      </c>
      <c r="H32" s="9"/>
      <c r="I32" s="9"/>
      <c r="J32" s="9"/>
      <c r="K32" s="9"/>
      <c r="L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ECEC-DD57-4D5C-8CA6-1F4AF2CA40E8}">
  <sheetPr codeName="Sheet5"/>
  <dimension ref="A1:L32"/>
  <sheetViews>
    <sheetView tabSelected="1" topLeftCell="H1" workbookViewId="0">
      <selection activeCell="L1" sqref="L1:L1048576"/>
    </sheetView>
  </sheetViews>
  <sheetFormatPr defaultRowHeight="14.5" x14ac:dyDescent="0.35"/>
  <cols>
    <col min="1" max="1" width="38" style="1" bestFit="1" customWidth="1"/>
    <col min="2" max="2" width="33.36328125" style="1" bestFit="1" customWidth="1"/>
    <col min="3" max="3" width="17.81640625" style="1" bestFit="1" customWidth="1"/>
    <col min="4" max="4" width="17.1796875" style="1" bestFit="1" customWidth="1"/>
    <col min="5" max="5" width="24.54296875" style="1" bestFit="1" customWidth="1"/>
    <col min="6" max="6" width="19.90625" style="1" bestFit="1" customWidth="1"/>
    <col min="7" max="7" width="20.08984375" style="1" bestFit="1" customWidth="1"/>
    <col min="8" max="8" width="13.6328125" style="1" bestFit="1" customWidth="1"/>
    <col min="9" max="9" width="26.36328125" style="1" bestFit="1" customWidth="1"/>
    <col min="10" max="10" width="6.54296875" style="1" bestFit="1" customWidth="1"/>
    <col min="11" max="11" width="18.90625" style="1" bestFit="1" customWidth="1"/>
    <col min="12" max="12" width="13.6328125" style="1" bestFit="1" customWidth="1"/>
    <col min="13" max="16384" width="8.7265625" style="1"/>
  </cols>
  <sheetData>
    <row r="1" spans="1:12" ht="41.25" customHeight="1" x14ac:dyDescent="0.35">
      <c r="A1" s="2" t="s">
        <v>0</v>
      </c>
      <c r="B1" s="2" t="s">
        <v>1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4</v>
      </c>
      <c r="I1" s="2" t="s">
        <v>5</v>
      </c>
      <c r="J1" s="2" t="s">
        <v>2</v>
      </c>
      <c r="K1" s="2" t="s">
        <v>3</v>
      </c>
      <c r="L1" s="2" t="s">
        <v>148</v>
      </c>
    </row>
    <row r="2" spans="1:12" x14ac:dyDescent="0.35">
      <c r="A2" s="3" t="s">
        <v>149</v>
      </c>
      <c r="B2" s="3" t="s">
        <v>76</v>
      </c>
      <c r="C2" s="4">
        <v>6100000</v>
      </c>
      <c r="D2" s="4">
        <v>915874</v>
      </c>
      <c r="E2" s="4">
        <v>1093281</v>
      </c>
      <c r="F2" s="4">
        <v>2009155</v>
      </c>
      <c r="G2" s="4">
        <v>4090845</v>
      </c>
      <c r="H2" s="3" t="s">
        <v>8</v>
      </c>
      <c r="I2" s="3" t="s">
        <v>9</v>
      </c>
      <c r="J2" s="3">
        <v>1</v>
      </c>
      <c r="K2" s="3" t="s">
        <v>77</v>
      </c>
      <c r="L2" s="3" t="str">
        <f>IF(IFERROR(FIND("ORD",A2,1),-1)&gt;0,"ORD","WBS")</f>
        <v>WBS</v>
      </c>
    </row>
    <row r="3" spans="1:12" x14ac:dyDescent="0.35">
      <c r="A3" s="5" t="s">
        <v>150</v>
      </c>
      <c r="B3" s="5" t="s">
        <v>78</v>
      </c>
      <c r="C3" s="6">
        <v>1350000</v>
      </c>
      <c r="D3" s="6">
        <v>2430</v>
      </c>
      <c r="E3" s="6">
        <v>524343</v>
      </c>
      <c r="F3" s="6">
        <v>526772</v>
      </c>
      <c r="G3" s="6">
        <v>823228</v>
      </c>
      <c r="H3" s="5" t="s">
        <v>12</v>
      </c>
      <c r="I3" s="5" t="s">
        <v>13</v>
      </c>
      <c r="J3" s="5">
        <v>2</v>
      </c>
      <c r="K3" s="5" t="s">
        <v>79</v>
      </c>
      <c r="L3" s="5" t="str">
        <f t="shared" ref="L3:L20" si="0">IF(IFERROR(FIND("ORD",A3,1),-1)&gt;0,"ORD","WBS")</f>
        <v>WBS</v>
      </c>
    </row>
    <row r="4" spans="1:12" x14ac:dyDescent="0.35">
      <c r="A4" s="5" t="s">
        <v>151</v>
      </c>
      <c r="B4" s="5" t="s">
        <v>80</v>
      </c>
      <c r="C4" s="6">
        <v>600000</v>
      </c>
      <c r="D4" s="6">
        <v>457777</v>
      </c>
      <c r="E4" s="6">
        <v>91927</v>
      </c>
      <c r="F4" s="6">
        <v>549704</v>
      </c>
      <c r="G4" s="6">
        <v>50296</v>
      </c>
      <c r="H4" s="5" t="s">
        <v>12</v>
      </c>
      <c r="I4" s="5" t="s">
        <v>13</v>
      </c>
      <c r="J4" s="5">
        <v>2</v>
      </c>
      <c r="K4" s="5" t="s">
        <v>81</v>
      </c>
      <c r="L4" s="5" t="str">
        <f t="shared" si="0"/>
        <v>WBS</v>
      </c>
    </row>
    <row r="5" spans="1:12" x14ac:dyDescent="0.35">
      <c r="A5" s="7" t="s">
        <v>152</v>
      </c>
      <c r="B5" s="7" t="s">
        <v>82</v>
      </c>
      <c r="C5" s="8">
        <v>0</v>
      </c>
      <c r="D5" s="8">
        <v>242939</v>
      </c>
      <c r="E5" s="8">
        <v>56107</v>
      </c>
      <c r="F5" s="8">
        <v>299046</v>
      </c>
      <c r="G5" s="8">
        <v>-299046</v>
      </c>
      <c r="H5" s="7" t="s">
        <v>12</v>
      </c>
      <c r="I5" s="7" t="s">
        <v>13</v>
      </c>
      <c r="J5" s="7">
        <v>3</v>
      </c>
      <c r="K5" s="7" t="s">
        <v>83</v>
      </c>
      <c r="L5" s="7" t="str">
        <f t="shared" si="0"/>
        <v>WBS</v>
      </c>
    </row>
    <row r="6" spans="1:12" x14ac:dyDescent="0.35">
      <c r="A6" s="7" t="s">
        <v>153</v>
      </c>
      <c r="B6" s="7" t="s">
        <v>84</v>
      </c>
      <c r="C6" s="8">
        <v>0</v>
      </c>
      <c r="D6" s="8">
        <v>11861</v>
      </c>
      <c r="E6" s="8">
        <v>0</v>
      </c>
      <c r="F6" s="8">
        <v>11861</v>
      </c>
      <c r="G6" s="8">
        <v>-11861</v>
      </c>
      <c r="H6" s="7" t="s">
        <v>12</v>
      </c>
      <c r="I6" s="7" t="s">
        <v>13</v>
      </c>
      <c r="J6" s="7">
        <v>3</v>
      </c>
      <c r="K6" s="7" t="s">
        <v>85</v>
      </c>
      <c r="L6" s="7" t="str">
        <f t="shared" si="0"/>
        <v>WBS</v>
      </c>
    </row>
    <row r="7" spans="1:12" x14ac:dyDescent="0.35">
      <c r="A7" s="7" t="s">
        <v>154</v>
      </c>
      <c r="B7" s="7" t="s">
        <v>86</v>
      </c>
      <c r="C7" s="8">
        <v>0</v>
      </c>
      <c r="D7" s="8">
        <v>170517</v>
      </c>
      <c r="E7" s="8">
        <v>0</v>
      </c>
      <c r="F7" s="8">
        <v>170517</v>
      </c>
      <c r="G7" s="8">
        <v>-170517</v>
      </c>
      <c r="H7" s="7" t="s">
        <v>12</v>
      </c>
      <c r="I7" s="7" t="s">
        <v>13</v>
      </c>
      <c r="J7" s="7">
        <v>3</v>
      </c>
      <c r="K7" s="7" t="s">
        <v>87</v>
      </c>
      <c r="L7" s="7" t="str">
        <f t="shared" si="0"/>
        <v>WBS</v>
      </c>
    </row>
    <row r="8" spans="1:12" x14ac:dyDescent="0.35">
      <c r="A8" s="5" t="s">
        <v>155</v>
      </c>
      <c r="B8" s="5" t="s">
        <v>88</v>
      </c>
      <c r="C8" s="6">
        <v>350000</v>
      </c>
      <c r="D8" s="6">
        <v>261214</v>
      </c>
      <c r="E8" s="6">
        <v>9512</v>
      </c>
      <c r="F8" s="6">
        <v>270726</v>
      </c>
      <c r="G8" s="6">
        <v>79274</v>
      </c>
      <c r="H8" s="5" t="s">
        <v>12</v>
      </c>
      <c r="I8" s="5" t="s">
        <v>13</v>
      </c>
      <c r="J8" s="5">
        <v>2</v>
      </c>
      <c r="K8" s="5" t="s">
        <v>89</v>
      </c>
      <c r="L8" s="5" t="str">
        <f t="shared" si="0"/>
        <v>WBS</v>
      </c>
    </row>
    <row r="9" spans="1:12" x14ac:dyDescent="0.35">
      <c r="A9" s="5" t="s">
        <v>156</v>
      </c>
      <c r="B9" s="5" t="s">
        <v>90</v>
      </c>
      <c r="C9" s="6">
        <v>100000</v>
      </c>
      <c r="D9" s="6">
        <v>0</v>
      </c>
      <c r="E9" s="6">
        <v>0</v>
      </c>
      <c r="F9" s="6">
        <v>0</v>
      </c>
      <c r="G9" s="6">
        <v>100000</v>
      </c>
      <c r="H9" s="5" t="s">
        <v>37</v>
      </c>
      <c r="I9" s="5" t="s">
        <v>38</v>
      </c>
      <c r="J9" s="5">
        <v>2</v>
      </c>
      <c r="K9" s="5" t="s">
        <v>91</v>
      </c>
      <c r="L9" s="5" t="str">
        <f t="shared" si="0"/>
        <v>WBS</v>
      </c>
    </row>
    <row r="10" spans="1:12" x14ac:dyDescent="0.35">
      <c r="A10" s="5" t="s">
        <v>157</v>
      </c>
      <c r="B10" s="5" t="s">
        <v>92</v>
      </c>
      <c r="C10" s="6">
        <v>250000</v>
      </c>
      <c r="D10" s="6">
        <v>0</v>
      </c>
      <c r="E10" s="6">
        <v>0</v>
      </c>
      <c r="F10" s="6">
        <v>0</v>
      </c>
      <c r="G10" s="6">
        <v>250000</v>
      </c>
      <c r="H10" s="5" t="s">
        <v>37</v>
      </c>
      <c r="I10" s="5" t="s">
        <v>38</v>
      </c>
      <c r="J10" s="5">
        <v>2</v>
      </c>
      <c r="K10" s="5" t="s">
        <v>93</v>
      </c>
      <c r="L10" s="5" t="str">
        <f t="shared" si="0"/>
        <v>WBS</v>
      </c>
    </row>
    <row r="11" spans="1:12" x14ac:dyDescent="0.35">
      <c r="A11" s="5" t="s">
        <v>158</v>
      </c>
      <c r="B11" s="5" t="s">
        <v>94</v>
      </c>
      <c r="C11" s="6">
        <v>100000</v>
      </c>
      <c r="D11" s="6">
        <v>0</v>
      </c>
      <c r="E11" s="6">
        <v>41216</v>
      </c>
      <c r="F11" s="6">
        <v>41216</v>
      </c>
      <c r="G11" s="6">
        <v>58784</v>
      </c>
      <c r="H11" s="5" t="s">
        <v>37</v>
      </c>
      <c r="I11" s="5" t="s">
        <v>38</v>
      </c>
      <c r="J11" s="5">
        <v>2</v>
      </c>
      <c r="K11" s="5" t="s">
        <v>95</v>
      </c>
      <c r="L11" s="5" t="str">
        <f t="shared" si="0"/>
        <v>WBS</v>
      </c>
    </row>
    <row r="12" spans="1:12" x14ac:dyDescent="0.35">
      <c r="A12" s="5" t="s">
        <v>159</v>
      </c>
      <c r="B12" s="5" t="s">
        <v>96</v>
      </c>
      <c r="C12" s="6">
        <v>500000</v>
      </c>
      <c r="D12" s="6">
        <v>1235</v>
      </c>
      <c r="E12" s="6">
        <v>394332</v>
      </c>
      <c r="F12" s="6">
        <v>395567</v>
      </c>
      <c r="G12" s="6">
        <v>104433</v>
      </c>
      <c r="H12" s="5" t="s">
        <v>37</v>
      </c>
      <c r="I12" s="5" t="s">
        <v>38</v>
      </c>
      <c r="J12" s="5">
        <v>2</v>
      </c>
      <c r="K12" s="5" t="s">
        <v>97</v>
      </c>
      <c r="L12" s="5" t="str">
        <f t="shared" si="0"/>
        <v>WBS</v>
      </c>
    </row>
    <row r="13" spans="1:12" x14ac:dyDescent="0.35">
      <c r="A13" s="5" t="s">
        <v>160</v>
      </c>
      <c r="B13" s="5" t="s">
        <v>98</v>
      </c>
      <c r="C13" s="6">
        <v>500000</v>
      </c>
      <c r="D13" s="6">
        <v>0</v>
      </c>
      <c r="E13" s="6">
        <v>0</v>
      </c>
      <c r="F13" s="6">
        <v>0</v>
      </c>
      <c r="G13" s="6">
        <v>500000</v>
      </c>
      <c r="H13" s="5" t="s">
        <v>37</v>
      </c>
      <c r="I13" s="5" t="s">
        <v>38</v>
      </c>
      <c r="J13" s="5">
        <v>2</v>
      </c>
      <c r="K13" s="5" t="s">
        <v>99</v>
      </c>
      <c r="L13" s="5" t="str">
        <f t="shared" si="0"/>
        <v>WBS</v>
      </c>
    </row>
    <row r="14" spans="1:12" x14ac:dyDescent="0.35">
      <c r="A14" s="5" t="s">
        <v>161</v>
      </c>
      <c r="B14" s="5" t="s">
        <v>100</v>
      </c>
      <c r="C14" s="6">
        <v>30000</v>
      </c>
      <c r="D14" s="6">
        <v>0</v>
      </c>
      <c r="E14" s="6">
        <v>22000</v>
      </c>
      <c r="F14" s="6">
        <v>22000</v>
      </c>
      <c r="G14" s="6">
        <v>8000</v>
      </c>
      <c r="H14" s="5" t="s">
        <v>37</v>
      </c>
      <c r="I14" s="5" t="s">
        <v>38</v>
      </c>
      <c r="J14" s="5">
        <v>2</v>
      </c>
      <c r="K14" s="5" t="s">
        <v>101</v>
      </c>
      <c r="L14" s="5" t="str">
        <f t="shared" si="0"/>
        <v>WBS</v>
      </c>
    </row>
    <row r="15" spans="1:12" x14ac:dyDescent="0.35">
      <c r="A15" s="5" t="s">
        <v>162</v>
      </c>
      <c r="B15" s="5" t="s">
        <v>102</v>
      </c>
      <c r="C15" s="6">
        <v>600000</v>
      </c>
      <c r="D15" s="6">
        <v>146997</v>
      </c>
      <c r="E15" s="6">
        <v>0</v>
      </c>
      <c r="F15" s="6">
        <v>146997</v>
      </c>
      <c r="G15" s="6">
        <v>453003</v>
      </c>
      <c r="H15" s="5" t="s">
        <v>12</v>
      </c>
      <c r="I15" s="5" t="s">
        <v>13</v>
      </c>
      <c r="J15" s="5">
        <v>2</v>
      </c>
      <c r="K15" s="5" t="s">
        <v>103</v>
      </c>
      <c r="L15" s="5" t="str">
        <f t="shared" si="0"/>
        <v>WBS</v>
      </c>
    </row>
    <row r="16" spans="1:12" x14ac:dyDescent="0.35">
      <c r="A16" s="5" t="s">
        <v>163</v>
      </c>
      <c r="B16" s="5" t="s">
        <v>104</v>
      </c>
      <c r="C16" s="6">
        <v>200000</v>
      </c>
      <c r="D16" s="6">
        <v>0</v>
      </c>
      <c r="E16" s="6">
        <v>0</v>
      </c>
      <c r="F16" s="6">
        <v>0</v>
      </c>
      <c r="G16" s="6">
        <v>200000</v>
      </c>
      <c r="H16" s="5" t="s">
        <v>12</v>
      </c>
      <c r="I16" s="5" t="s">
        <v>13</v>
      </c>
      <c r="J16" s="5">
        <v>2</v>
      </c>
      <c r="K16" s="5" t="s">
        <v>105</v>
      </c>
      <c r="L16" s="5" t="str">
        <f t="shared" si="0"/>
        <v>WBS</v>
      </c>
    </row>
    <row r="17" spans="1:12" x14ac:dyDescent="0.35">
      <c r="A17" s="5" t="s">
        <v>164</v>
      </c>
      <c r="B17" s="5" t="s">
        <v>106</v>
      </c>
      <c r="C17" s="6">
        <v>400000</v>
      </c>
      <c r="D17" s="6">
        <v>46222</v>
      </c>
      <c r="E17" s="6">
        <v>9950</v>
      </c>
      <c r="F17" s="6">
        <v>56172</v>
      </c>
      <c r="G17" s="6">
        <v>343828</v>
      </c>
      <c r="H17" s="5" t="s">
        <v>37</v>
      </c>
      <c r="I17" s="5" t="s">
        <v>38</v>
      </c>
      <c r="J17" s="5">
        <v>2</v>
      </c>
      <c r="K17" s="5" t="s">
        <v>107</v>
      </c>
      <c r="L17" s="5" t="str">
        <f t="shared" si="0"/>
        <v>WBS</v>
      </c>
    </row>
    <row r="18" spans="1:12" x14ac:dyDescent="0.35">
      <c r="A18" s="5" t="s">
        <v>165</v>
      </c>
      <c r="B18" s="5" t="s">
        <v>108</v>
      </c>
      <c r="C18" s="6">
        <v>200000</v>
      </c>
      <c r="D18" s="6">
        <v>0</v>
      </c>
      <c r="E18" s="6">
        <v>0</v>
      </c>
      <c r="F18" s="6">
        <v>0</v>
      </c>
      <c r="G18" s="6">
        <v>200000</v>
      </c>
      <c r="H18" s="5" t="s">
        <v>12</v>
      </c>
      <c r="I18" s="5" t="s">
        <v>13</v>
      </c>
      <c r="J18" s="5">
        <v>2</v>
      </c>
      <c r="K18" s="5" t="s">
        <v>109</v>
      </c>
      <c r="L18" s="5" t="str">
        <f t="shared" si="0"/>
        <v>WBS</v>
      </c>
    </row>
    <row r="19" spans="1:12" x14ac:dyDescent="0.35">
      <c r="A19" s="5" t="s">
        <v>166</v>
      </c>
      <c r="B19" s="5" t="s">
        <v>110</v>
      </c>
      <c r="C19" s="6">
        <v>650000</v>
      </c>
      <c r="D19" s="6">
        <v>0</v>
      </c>
      <c r="E19" s="6">
        <v>0</v>
      </c>
      <c r="F19" s="6">
        <v>0</v>
      </c>
      <c r="G19" s="6">
        <v>650000</v>
      </c>
      <c r="H19" s="5" t="s">
        <v>12</v>
      </c>
      <c r="I19" s="5" t="s">
        <v>13</v>
      </c>
      <c r="J19" s="5">
        <v>2</v>
      </c>
      <c r="K19" s="5" t="s">
        <v>111</v>
      </c>
      <c r="L19" s="5" t="str">
        <f t="shared" si="0"/>
        <v>WBS</v>
      </c>
    </row>
    <row r="20" spans="1:12" x14ac:dyDescent="0.35">
      <c r="A20" s="5" t="s">
        <v>167</v>
      </c>
      <c r="B20" s="5" t="s">
        <v>112</v>
      </c>
      <c r="C20" s="6">
        <v>160000</v>
      </c>
      <c r="D20" s="6">
        <v>0</v>
      </c>
      <c r="E20" s="6">
        <v>0</v>
      </c>
      <c r="F20" s="6">
        <v>0</v>
      </c>
      <c r="G20" s="6">
        <v>160000</v>
      </c>
      <c r="H20" s="5" t="s">
        <v>12</v>
      </c>
      <c r="I20" s="5" t="s">
        <v>13</v>
      </c>
      <c r="J20" s="5">
        <v>2</v>
      </c>
      <c r="K20" s="5" t="s">
        <v>113</v>
      </c>
      <c r="L20" s="5" t="str">
        <f t="shared" si="0"/>
        <v>WBS</v>
      </c>
    </row>
    <row r="21" spans="1:12" x14ac:dyDescent="0.35">
      <c r="A21" s="9" t="s">
        <v>75</v>
      </c>
      <c r="B21" s="9"/>
      <c r="C21" s="10">
        <f>SUMIF($J$1:$J$20,"=1",C1:C20)</f>
        <v>6100000</v>
      </c>
      <c r="D21" s="10">
        <f>SUMIF($J$1:$J$20,"=1",D1:D20)</f>
        <v>915874</v>
      </c>
      <c r="E21" s="10">
        <f>SUMIF($J$1:$J$20,"=1",E1:E20)</f>
        <v>1093281</v>
      </c>
      <c r="F21" s="10">
        <f>SUMIF($J$1:$J$20,"=1",F1:F20)</f>
        <v>2009155</v>
      </c>
      <c r="G21" s="10">
        <f>SUMIF($J$1:$J$20,"=1",G1:G20)</f>
        <v>4090845</v>
      </c>
      <c r="H21" s="9"/>
      <c r="I21" s="9"/>
      <c r="J21" s="9"/>
      <c r="K21" s="9"/>
      <c r="L21" s="9"/>
    </row>
    <row r="32" spans="1:12" ht="30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3rd Party</vt:lpstr>
      <vt:lpstr>Manpower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2026-04-16T17:23:06Z</dcterms:created>
  <dcterms:modified xsi:type="dcterms:W3CDTF">2026-04-16T17:23:11Z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2026-04-16T17:23:09Z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3afde15a-0442-46e0-8de9-3d138fb19a08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