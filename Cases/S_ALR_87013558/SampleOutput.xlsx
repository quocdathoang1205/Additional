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6D2A20F-59BE-4E25-846B-9B1C219A2E9D}" xr6:coauthVersionLast="47" xr6:coauthVersionMax="47" xr10:uidLastSave="{00000000-0000-0000-0000-000000000000}"/>
  <bookViews>
    <workbookView xWindow="28692" yWindow="-108" windowWidth="29016" windowHeight="15696" activeTab="1" xr2:uid="{C2447FDB-F314-4B3E-B754-01E66939DABD}"/>
  </bookViews>
  <sheets>
    <sheet name="3rd Party 26 " sheetId="1" r:id="rId1"/>
    <sheet name="Manpower 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4" i="1"/>
  <c r="D44" i="1"/>
  <c r="D10" i="1"/>
</calcChain>
</file>

<file path=xl/sharedStrings.xml><?xml version="1.0" encoding="utf-8"?>
<sst xmlns="http://schemas.openxmlformats.org/spreadsheetml/2006/main" count="195" uniqueCount="173">
  <si>
    <t>Budget--Overall</t>
  </si>
  <si>
    <t>Actual--Overall</t>
  </si>
  <si>
    <t>Commitment--Overall</t>
  </si>
  <si>
    <t>Assigned--Overall</t>
  </si>
  <si>
    <t>Available--Overall</t>
  </si>
  <si>
    <t>WBS P11.0801.1.B</t>
  </si>
  <si>
    <t>2026 BD EXPENSES (OPEX)</t>
  </si>
  <si>
    <t xml:space="preserve">        WBS P11.0801.1.B.001</t>
  </si>
  <si>
    <t>WPB - BD Terrex s5 MBT Cert 2026</t>
  </si>
  <si>
    <t xml:space="preserve">        WBS P11.0801.1.B.002</t>
  </si>
  <si>
    <t>WPB - BD Terrex s5 Qatar Trial Demo</t>
  </si>
  <si>
    <t xml:space="preserve">                ORD 113T0KW26032</t>
  </si>
  <si>
    <t>KNOWLEDGE WORKSHOP S</t>
  </si>
  <si>
    <t xml:space="preserve">                WBS P11.0801.1.B.002.001</t>
  </si>
  <si>
    <t>Material &amp; 3rd Party s5 Qatar Trial Demo</t>
  </si>
  <si>
    <t xml:space="preserve">                WBS P11.0801.1.B.002.002</t>
  </si>
  <si>
    <t>Shipment Expenses s5 Qatar Trial Demo</t>
  </si>
  <si>
    <t xml:space="preserve">                WBS P11.0801.1.B.002.003</t>
  </si>
  <si>
    <t>Travel Expenses s5 Qatar Trial Demo</t>
  </si>
  <si>
    <t xml:space="preserve">        WBS P11.0801.1.B.003</t>
  </si>
  <si>
    <t>WPB - BD GCC</t>
  </si>
  <si>
    <t>WBS P11.0802.1.B</t>
  </si>
  <si>
    <t xml:space="preserve">        WBS P11.0802.1.B.201</t>
  </si>
  <si>
    <t>TPB - BD Austria Bronco</t>
  </si>
  <si>
    <t xml:space="preserve">                ORD 113T0KW25030</t>
  </si>
  <si>
    <t xml:space="preserve">        WBS P11.0802.1.B.202</t>
  </si>
  <si>
    <t>TPB - BD Finland Bronco</t>
  </si>
  <si>
    <t xml:space="preserve">        WBS P11.0802.1.B.203</t>
  </si>
  <si>
    <t>TPB - BD Italy Bronco</t>
  </si>
  <si>
    <t xml:space="preserve">        WBS P11.0802.1.B.204</t>
  </si>
  <si>
    <t>TPB - BD Product Improvement</t>
  </si>
  <si>
    <t xml:space="preserve">        WBS P11.0802.1.B.205</t>
  </si>
  <si>
    <t>TPB - BD Container housekeeping</t>
  </si>
  <si>
    <t xml:space="preserve">        WBS P11.0802.1.B.206</t>
  </si>
  <si>
    <t>TPB - BD Annual Recurring Costs</t>
  </si>
  <si>
    <t xml:space="preserve">        WBS P11.0802.1.B.207</t>
  </si>
  <si>
    <t>TPB - BD CREX &amp; Alternate Sourcing</t>
  </si>
  <si>
    <t xml:space="preserve">        WBS P11.0802.1.B.208</t>
  </si>
  <si>
    <t>TPB - BD Integrated Logistics (ILS)</t>
  </si>
  <si>
    <t xml:space="preserve">        WBS P11.0802.1.B.209</t>
  </si>
  <si>
    <t>TPB - BD Remediation</t>
  </si>
  <si>
    <t xml:space="preserve">                ORD 113T0EV20173</t>
  </si>
  <si>
    <t>SERVICING FOR MHRS</t>
  </si>
  <si>
    <t xml:space="preserve">                ORD 113T0MFG0117</t>
  </si>
  <si>
    <t xml:space="preserve">                ORD 113T0MFG0119</t>
  </si>
  <si>
    <t xml:space="preserve">        WBS P11.0802.1.B.210</t>
  </si>
  <si>
    <t>TPB - BD Projects</t>
  </si>
  <si>
    <t>WBS P11.0803.1.B</t>
  </si>
  <si>
    <t xml:space="preserve">        WBS P11.0803.1.B.401</t>
  </si>
  <si>
    <t>WSB - PD/BD TRAVEL</t>
  </si>
  <si>
    <t xml:space="preserve">        WBS P11.0803.1.B.402</t>
  </si>
  <si>
    <t>WSB - EXPORT SUPPORT</t>
  </si>
  <si>
    <t xml:space="preserve">        WBS P11.0803.1.B.403</t>
  </si>
  <si>
    <t>WSB - ALPHA SUPPORT</t>
  </si>
  <si>
    <t xml:space="preserve">        WBS P11.0803.1.B.406</t>
  </si>
  <si>
    <t>WSB - DEVELOPMENT OF GDAMS</t>
  </si>
  <si>
    <t xml:space="preserve">        WBS P11.0803.1.B.407</t>
  </si>
  <si>
    <t>WSB - DEVELOPMENT OF ADDER AND C-UAS</t>
  </si>
  <si>
    <t>WBS P11.0804.1.B</t>
  </si>
  <si>
    <t xml:space="preserve">        WBS P11.0804.1.B.601</t>
  </si>
  <si>
    <t>PLB - BD NGVPM</t>
  </si>
  <si>
    <t xml:space="preserve">        WBS P11.0804.1.B.602</t>
  </si>
  <si>
    <t>PLB - Business Development</t>
  </si>
  <si>
    <t xml:space="preserve">        WBS P11.0804.1.B.606</t>
  </si>
  <si>
    <t>PLB - AM BD</t>
  </si>
  <si>
    <t xml:space="preserve">        WBS P11.0804.1.B.607</t>
  </si>
  <si>
    <t>PLB - Field Factory</t>
  </si>
  <si>
    <t xml:space="preserve">        WBS P11.0804.1.B.608</t>
  </si>
  <si>
    <t>PLB - Hunter Universal Tester</t>
  </si>
  <si>
    <t>WBS P11.0805.1.B</t>
  </si>
  <si>
    <t xml:space="preserve">        WBS P11.0805.1.B.801</t>
  </si>
  <si>
    <t>RSB - BD TAURUS UGV Development</t>
  </si>
  <si>
    <t xml:space="preserve">        WBS P11.0805.1.B.802</t>
  </si>
  <si>
    <t>RSB - BD XPYDER System and Mock-Up</t>
  </si>
  <si>
    <t xml:space="preserve">        WBS P11.0805.1.B.803</t>
  </si>
  <si>
    <t>RSB - BD Project Cyclops</t>
  </si>
  <si>
    <t xml:space="preserve">        WBS P11.0805.1.B.804</t>
  </si>
  <si>
    <t>RSB - BD Prospecting</t>
  </si>
  <si>
    <t>Result</t>
  </si>
  <si>
    <t>Object</t>
  </si>
  <si>
    <t>WBS P11.0801.1.P</t>
  </si>
  <si>
    <t>2026 BD MANPOWER (COS)</t>
  </si>
  <si>
    <t>WPB - BDMH Terrex s5 MBT Cert 2026</t>
  </si>
  <si>
    <t>ETMS Pre-trial preparation s5 MBT Cert26</t>
  </si>
  <si>
    <t>5,789-</t>
  </si>
  <si>
    <t>ETMS Trial preparation s5 MBT Cert26</t>
  </si>
  <si>
    <t>7,070-</t>
  </si>
  <si>
    <t>WPB - BDMH Terrex s5 Qatar Trial Demo</t>
  </si>
  <si>
    <t>ETMS Pre-trial preparation s5Qatar Trial</t>
  </si>
  <si>
    <t>120,420-</t>
  </si>
  <si>
    <t>WPB - BDMH GCC</t>
  </si>
  <si>
    <t>WBS P11.0802.1.P</t>
  </si>
  <si>
    <t>TPB - MH BD Austria Bronco</t>
  </si>
  <si>
    <t>TPB - MH BD Finland Bronco</t>
  </si>
  <si>
    <t>TPB - MH BD Italy Bronco</t>
  </si>
  <si>
    <t>TPB - MH BD Product Improvement</t>
  </si>
  <si>
    <t>TPB - MH BD Container housekeeping</t>
  </si>
  <si>
    <t>TPB - MH BD Annual Recurring Costs</t>
  </si>
  <si>
    <t>425-</t>
  </si>
  <si>
    <t>TPB - MH BD CREX</t>
  </si>
  <si>
    <t>TPB - MH BD Integrated Logistics (ILS)</t>
  </si>
  <si>
    <t>TPB - MH BD Remediation</t>
  </si>
  <si>
    <t>307-</t>
  </si>
  <si>
    <t>TPB - MH BD Projects</t>
  </si>
  <si>
    <t>TPB - MH BD production Div Support</t>
  </si>
  <si>
    <t>Production: IEH Support</t>
  </si>
  <si>
    <t>Production: OPS Cost</t>
  </si>
  <si>
    <t>WBS P11.0803.1.P</t>
  </si>
  <si>
    <t>WSB -MH PD/BD TRAVEL</t>
  </si>
  <si>
    <t>WSB -MH EXPORT SUPPORT</t>
  </si>
  <si>
    <t>WSB -MH ALPHA SUPPORT</t>
  </si>
  <si>
    <t>2,583-</t>
  </si>
  <si>
    <t>WSB -MH RFI/RFP DEVELOPMENT</t>
  </si>
  <si>
    <t>WSB -MH DEVELOPMENT OF SRAMS</t>
  </si>
  <si>
    <t>WSB -MH DEVELOPMENT OF GDAMS</t>
  </si>
  <si>
    <t>WSB -MH DEVELOPMENT OF ADDER AND C-UAS</t>
  </si>
  <si>
    <t>1,635-</t>
  </si>
  <si>
    <t>WBS P11.0804.1.P</t>
  </si>
  <si>
    <t>MH PLB - BD NGVPM</t>
  </si>
  <si>
    <t>MH PLB - BD NGVPM Hardware</t>
  </si>
  <si>
    <t>MH PLB - BD NGVPM Software</t>
  </si>
  <si>
    <t>MH PLB - Req gathering -Wiesel Replaceme</t>
  </si>
  <si>
    <t>MH PLB - Support Ad-hocs Proposals</t>
  </si>
  <si>
    <t>MH PLB - AM BD</t>
  </si>
  <si>
    <t>MH PLB - FDMM AlumaPower Export Power</t>
  </si>
  <si>
    <t>WBS P11.0805.1.P</t>
  </si>
  <si>
    <t>RSB - MH CEP PreWork - NRE</t>
  </si>
  <si>
    <t xml:space="preserve">        WBS P11.0801.1.P.001</t>
  </si>
  <si>
    <t xml:space="preserve">                WBS P11.0801.1.P.001.001</t>
  </si>
  <si>
    <t xml:space="preserve">                WBS P11.0801.1.P.001.002</t>
  </si>
  <si>
    <t xml:space="preserve">        WBS P11.0801.1.P.002</t>
  </si>
  <si>
    <t xml:space="preserve">                WBS P11.0801.1.P.002.001</t>
  </si>
  <si>
    <t xml:space="preserve">        WBS P11.0801.1.P.003</t>
  </si>
  <si>
    <t xml:space="preserve">        WBS P11.0802.1.P.201</t>
  </si>
  <si>
    <t xml:space="preserve">        WBS P11.0802.1.P.202</t>
  </si>
  <si>
    <t xml:space="preserve">        WBS P11.0802.1.P.203</t>
  </si>
  <si>
    <t xml:space="preserve">        WBS P11.0802.1.P.204</t>
  </si>
  <si>
    <t xml:space="preserve">        WBS P11.0802.1.P.205</t>
  </si>
  <si>
    <t xml:space="preserve">        WBS P11.0802.1.P.206</t>
  </si>
  <si>
    <t xml:space="preserve">                ORD 113T0KW26041</t>
  </si>
  <si>
    <t xml:space="preserve">        WBS P11.0802.1.P.207</t>
  </si>
  <si>
    <t xml:space="preserve">        WBS P11.0802.1.P.208</t>
  </si>
  <si>
    <t xml:space="preserve">        WBS P11.0802.1.P.209</t>
  </si>
  <si>
    <t xml:space="preserve">                ORD 113T0MFG0118</t>
  </si>
  <si>
    <t xml:space="preserve">        WBS P11.0802.1.P.210</t>
  </si>
  <si>
    <t xml:space="preserve">        WBS P11.0802.1.P.211</t>
  </si>
  <si>
    <t xml:space="preserve">                WBS P11.0802.1.P.211.001</t>
  </si>
  <si>
    <t xml:space="preserve">                WBS P11.0802.1.P.211.002</t>
  </si>
  <si>
    <t xml:space="preserve">        WBS P11.0803.1.P.401</t>
  </si>
  <si>
    <t xml:space="preserve">        WBS P11.0803.1.P.402</t>
  </si>
  <si>
    <t xml:space="preserve">        WBS P11.0803.1.P.403</t>
  </si>
  <si>
    <t xml:space="preserve">                ORD 113T0KW26036</t>
  </si>
  <si>
    <t xml:space="preserve">        WBS P11.0803.1.P.404</t>
  </si>
  <si>
    <t xml:space="preserve">        WBS P11.0803.1.P.405</t>
  </si>
  <si>
    <t xml:space="preserve">        WBS P11.0803.1.P.406</t>
  </si>
  <si>
    <t xml:space="preserve">        WBS P11.0803.1.P.407</t>
  </si>
  <si>
    <t xml:space="preserve">                ORD 113T0KW26039</t>
  </si>
  <si>
    <t xml:space="preserve">        WBS P11.0804.1.P.601</t>
  </si>
  <si>
    <t xml:space="preserve">                WBS P11.0804.1.P.601.001</t>
  </si>
  <si>
    <t xml:space="preserve">                WBS P11.0804.1.P.601.002</t>
  </si>
  <si>
    <t xml:space="preserve">        WBS P11.0804.1.P.602</t>
  </si>
  <si>
    <t>MH PLB - Business Development</t>
  </si>
  <si>
    <t xml:space="preserve">        WBS P11.0804.1.P.603</t>
  </si>
  <si>
    <t>MH PLB - Creation ProgrammePlan-M60/M113</t>
  </si>
  <si>
    <t xml:space="preserve">        WBS P11.0804.1.P.604</t>
  </si>
  <si>
    <t xml:space="preserve">        WBS P11.0804.1.P.605</t>
  </si>
  <si>
    <t xml:space="preserve">        WBS P11.0804.1.P.606</t>
  </si>
  <si>
    <t xml:space="preserve">        WBS P11.0804.1.P.609</t>
  </si>
  <si>
    <t xml:space="preserve">        WBS P11.0805.1.P.805</t>
  </si>
  <si>
    <t>Cost Centre</t>
  </si>
  <si>
    <t>Advance</t>
  </si>
  <si>
    <t>P11.0802</t>
  </si>
  <si>
    <t>If whether production order can have a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</si>
</sst>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F1F6"/>
        <bgColor indexed="64"/>
      </patternFill>
    </fill>
    <fill>
      <patternFill patternType="solid">
        <fgColor rgb="FFF3FAFF"/>
        <bgColor indexed="64"/>
      </patternFill>
    </fill>
    <fill>
      <patternFill patternType="solid">
        <fgColor rgb="FFFFFDB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3" fontId="0" fillId="0" borderId="0" xfId="0" applyNumberFormat="1"/>
    <xf numFmtId="0" fontId="2" fillId="0" borderId="0" xfId="0" applyFont="1"/>
    <xf numFmtId="0" fontId="0" fillId="2" borderId="0" xfId="0" applyFill="1"/>
    <xf numFmtId="3" fontId="0" fillId="2" borderId="0" xfId="0" applyNumberFormat="1" applyFill="1"/>
    <xf numFmtId="0" fontId="2" fillId="3" borderId="0" xfId="0" applyFont="1" applyFill="1"/>
    <xf numFmtId="0" fontId="0" fillId="3" borderId="0" xfId="0" applyFill="1"/>
    <xf numFmtId="3" fontId="2" fillId="3" borderId="0" xfId="0" applyNumberFormat="1" applyFont="1" applyFill="1"/>
    <xf numFmtId="43" fontId="0" fillId="0" borderId="0" xfId="1" applyFont="1"/>
    <xf numFmtId="43" fontId="0" fillId="0" borderId="0" xfId="0" applyNumberFormat="1"/>
    <xf numFmtId="43" fontId="0" fillId="3" borderId="0" xfId="0" applyNumberFormat="1" applyFill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right" vertical="center" wrapText="1"/>
    </xf>
    <xf numFmtId="0" fontId="4" fillId="5" borderId="0" xfId="0" applyFont="1" applyFill="1" applyAlignment="1">
      <alignment vertical="center" wrapText="1"/>
    </xf>
    <xf numFmtId="0" fontId="4" fillId="5" borderId="0" xfId="0" applyFont="1" applyFill="1" applyAlignment="1">
      <alignment horizontal="right" vertical="center" wrapText="1"/>
    </xf>
    <xf numFmtId="0" fontId="3" fillId="6" borderId="0" xfId="0" applyFont="1" applyFill="1" applyAlignment="1">
      <alignment vertical="center" wrapText="1"/>
    </xf>
    <xf numFmtId="3" fontId="4" fillId="4" borderId="0" xfId="0" applyNumberFormat="1" applyFont="1" applyFill="1" applyAlignment="1">
      <alignment horizontal="right" vertical="center" wrapText="1"/>
    </xf>
    <xf numFmtId="3" fontId="4" fillId="5" borderId="0" xfId="0" applyNumberFormat="1" applyFont="1" applyFill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43" fontId="2" fillId="0" borderId="0" xfId="1" applyFont="1"/>
    <xf numFmtId="43" fontId="0" fillId="2" borderId="0" xfId="1" applyFont="1" applyFill="1"/>
    <xf numFmtId="43" fontId="2" fillId="3" borderId="0" xfId="1" applyFont="1" applyFill="1"/>
    <xf numFmtId="3" fontId="4" fillId="2" borderId="0" xfId="0" applyNumberFormat="1" applyFont="1" applyFill="1" applyAlignment="1">
      <alignment horizontal="right" vertical="center" wrapText="1"/>
    </xf>
    <xf numFmtId="3" fontId="3" fillId="6" borderId="0" xfId="0" applyNumberFormat="1" applyFont="1" applyFill="1" applyAlignment="1">
      <alignment horizontal="right" vertical="center" wrapText="1"/>
    </xf>
    <xf numFmtId="15" fontId="3" fillId="0" borderId="0" xfId="0" applyNumberFormat="1" applyFont="1" applyAlignment="1">
      <alignment horizontal="left" vertical="center" wrapText="1"/>
    </xf>
    <xf numFmtId="15" fontId="2" fillId="0" borderId="0" xfId="0" applyNumberFormat="1" applyFon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CE41-B3A0-43B8-A009-9B53CE69C065}">
  <sheetPr>
    <pageSetUpPr fitToPage="1"/>
  </sheetPr>
  <dimension ref="A1:M44"/>
  <sheetViews>
    <sheetView workbookViewId="0">
      <selection activeCell="B9" sqref="B9"/>
    </sheetView>
  </sheetViews>
  <sheetFormatPr defaultRowHeight="14.4" x14ac:dyDescent="0.3"/>
  <cols>
    <col min="1" max="1" width="33.88671875" customWidth="1"/>
    <col min="2" max="2" width="40.5546875" customWidth="1"/>
    <col min="3" max="3" width="16.44140625" customWidth="1"/>
    <col min="4" max="4" width="16.88671875" customWidth="1"/>
    <col min="5" max="5" width="13.21875" customWidth="1"/>
    <col min="6" max="6" width="18.33203125" customWidth="1"/>
    <col min="7" max="7" width="17.6640625" style="8" customWidth="1"/>
    <col min="8" max="8" width="14.109375" bestFit="1" customWidth="1"/>
  </cols>
  <sheetData>
    <row r="1" spans="1:13" ht="15" thickBot="1" x14ac:dyDescent="0.35">
      <c r="H1" s="2"/>
    </row>
    <row r="2" spans="1:13" x14ac:dyDescent="0.3">
      <c r="C2" s="2" t="s">
        <v>0</v>
      </c>
      <c r="D2" s="2" t="s">
        <v>1</v>
      </c>
      <c r="E2" s="2" t="s">
        <v>2</v>
      </c>
      <c r="F2" s="2" t="s">
        <v>3</v>
      </c>
      <c r="G2" s="23" t="s">
        <v>4</v>
      </c>
      <c r="H2" s="2"/>
      <c r="I2" s="30"/>
      <c r="J2" s="31"/>
      <c r="K2" s="31"/>
      <c r="L2" s="31"/>
      <c r="M2" s="32"/>
    </row>
    <row r="3" spans="1:13" x14ac:dyDescent="0.3">
      <c r="A3" s="29">
        <v>46056</v>
      </c>
      <c r="I3" s="33" t="s">
        <v>170</v>
      </c>
      <c r="J3" s="34" t="s">
        <v>171</v>
      </c>
      <c r="K3" s="34"/>
      <c r="L3" s="34"/>
      <c r="M3" s="35"/>
    </row>
    <row r="4" spans="1:13" x14ac:dyDescent="0.3">
      <c r="A4" s="3" t="s">
        <v>5</v>
      </c>
      <c r="B4" s="3" t="s">
        <v>6</v>
      </c>
      <c r="C4" s="4">
        <v>6100000</v>
      </c>
      <c r="D4" s="4">
        <f>99617</f>
        <v>99617</v>
      </c>
      <c r="E4" s="4">
        <v>733229</v>
      </c>
      <c r="F4" s="4">
        <v>832846</v>
      </c>
      <c r="G4" s="24">
        <v>5267154</v>
      </c>
      <c r="H4" s="10"/>
      <c r="I4" s="33" t="s">
        <v>172</v>
      </c>
      <c r="J4" s="34"/>
      <c r="K4" s="34"/>
      <c r="L4" s="34"/>
      <c r="M4" s="35"/>
    </row>
    <row r="5" spans="1:13" ht="15" thickBot="1" x14ac:dyDescent="0.35">
      <c r="A5" t="s">
        <v>7</v>
      </c>
      <c r="B5" t="s">
        <v>8</v>
      </c>
      <c r="C5" s="1">
        <v>1629000</v>
      </c>
      <c r="D5" s="1">
        <v>2125</v>
      </c>
      <c r="E5" s="1">
        <v>519653</v>
      </c>
      <c r="F5" s="1">
        <v>521778</v>
      </c>
      <c r="G5" s="8">
        <v>1107222</v>
      </c>
      <c r="I5" s="36"/>
      <c r="J5" s="37"/>
      <c r="K5" s="37"/>
      <c r="L5" s="37"/>
      <c r="M5" s="38"/>
    </row>
    <row r="6" spans="1:13" x14ac:dyDescent="0.3">
      <c r="A6" t="s">
        <v>9</v>
      </c>
      <c r="B6" t="s">
        <v>10</v>
      </c>
      <c r="C6" s="1">
        <v>561506</v>
      </c>
      <c r="D6" s="1">
        <v>51424</v>
      </c>
      <c r="E6" s="1">
        <v>18576</v>
      </c>
      <c r="F6" s="1">
        <v>70000</v>
      </c>
      <c r="G6" s="8">
        <v>491506</v>
      </c>
    </row>
    <row r="7" spans="1:13" x14ac:dyDescent="0.3">
      <c r="A7" t="s">
        <v>11</v>
      </c>
      <c r="B7" t="s">
        <v>12</v>
      </c>
      <c r="C7">
        <v>0</v>
      </c>
      <c r="D7" s="1">
        <v>19840</v>
      </c>
      <c r="E7">
        <v>0</v>
      </c>
      <c r="F7" s="1">
        <v>19840</v>
      </c>
      <c r="G7" s="8">
        <v>-19840</v>
      </c>
    </row>
    <row r="8" spans="1:13" x14ac:dyDescent="0.3">
      <c r="A8" t="s">
        <v>13</v>
      </c>
      <c r="B8" t="s">
        <v>14</v>
      </c>
      <c r="C8">
        <v>0</v>
      </c>
      <c r="D8" s="1">
        <v>18471</v>
      </c>
      <c r="E8" s="1">
        <v>18576</v>
      </c>
      <c r="F8" s="1">
        <v>37047</v>
      </c>
      <c r="G8" s="8">
        <v>-37047</v>
      </c>
    </row>
    <row r="9" spans="1:13" x14ac:dyDescent="0.3">
      <c r="A9" t="s">
        <v>15</v>
      </c>
      <c r="B9" t="s">
        <v>16</v>
      </c>
      <c r="C9">
        <v>0</v>
      </c>
      <c r="D9" s="1">
        <v>5160</v>
      </c>
      <c r="E9">
        <v>0</v>
      </c>
      <c r="F9" s="1">
        <v>5160</v>
      </c>
      <c r="G9" s="8">
        <v>-5160</v>
      </c>
    </row>
    <row r="10" spans="1:13" x14ac:dyDescent="0.3">
      <c r="A10" t="s">
        <v>17</v>
      </c>
      <c r="B10" t="s">
        <v>18</v>
      </c>
      <c r="C10">
        <v>0</v>
      </c>
      <c r="D10" s="1">
        <f>1805+3838.21</f>
        <v>5643.21</v>
      </c>
      <c r="E10">
        <v>0</v>
      </c>
      <c r="F10" s="1">
        <v>1805</v>
      </c>
      <c r="G10" s="8">
        <v>-1805</v>
      </c>
      <c r="H10" s="9"/>
    </row>
    <row r="11" spans="1:13" x14ac:dyDescent="0.3">
      <c r="A11" t="s">
        <v>19</v>
      </c>
      <c r="B11" t="s">
        <v>20</v>
      </c>
      <c r="C11" s="1">
        <v>1000000</v>
      </c>
      <c r="D11" s="1">
        <f>46068</f>
        <v>46068</v>
      </c>
      <c r="E11" s="1">
        <v>195000</v>
      </c>
      <c r="F11" s="1">
        <v>241068</v>
      </c>
      <c r="G11" s="8">
        <v>758932</v>
      </c>
      <c r="H11" s="9"/>
    </row>
    <row r="12" spans="1:13" x14ac:dyDescent="0.3">
      <c r="A12" s="3" t="s">
        <v>21</v>
      </c>
      <c r="B12" s="3" t="s">
        <v>6</v>
      </c>
      <c r="C12" s="4">
        <v>4000000</v>
      </c>
      <c r="D12" s="4">
        <v>64624</v>
      </c>
      <c r="E12" s="4">
        <v>28572</v>
      </c>
      <c r="F12" s="4">
        <v>93196</v>
      </c>
      <c r="G12" s="24">
        <v>3906804</v>
      </c>
    </row>
    <row r="13" spans="1:13" x14ac:dyDescent="0.3">
      <c r="A13" t="s">
        <v>22</v>
      </c>
      <c r="B13" t="s">
        <v>23</v>
      </c>
      <c r="C13" s="1">
        <v>350000</v>
      </c>
      <c r="D13" s="1">
        <v>35237</v>
      </c>
      <c r="E13" s="1">
        <v>10745</v>
      </c>
      <c r="F13" s="1">
        <v>45982</v>
      </c>
      <c r="G13" s="8">
        <v>304018</v>
      </c>
    </row>
    <row r="14" spans="1:13" x14ac:dyDescent="0.3">
      <c r="A14" t="s">
        <v>24</v>
      </c>
      <c r="B14" t="s">
        <v>12</v>
      </c>
      <c r="C14">
        <v>0</v>
      </c>
      <c r="D14" s="1">
        <v>7608</v>
      </c>
      <c r="E14">
        <v>0</v>
      </c>
      <c r="F14" s="1">
        <v>7608</v>
      </c>
      <c r="G14" s="8">
        <v>-7608</v>
      </c>
    </row>
    <row r="15" spans="1:13" x14ac:dyDescent="0.3">
      <c r="A15" t="s">
        <v>25</v>
      </c>
      <c r="B15" t="s">
        <v>26</v>
      </c>
      <c r="C15" s="1">
        <v>300000</v>
      </c>
      <c r="D15">
        <v>0</v>
      </c>
      <c r="E15">
        <v>0</v>
      </c>
      <c r="F15">
        <v>0</v>
      </c>
      <c r="G15" s="8">
        <v>300000</v>
      </c>
    </row>
    <row r="16" spans="1:13" x14ac:dyDescent="0.3">
      <c r="A16" t="s">
        <v>27</v>
      </c>
      <c r="B16" t="s">
        <v>28</v>
      </c>
      <c r="C16" s="1">
        <v>100000</v>
      </c>
      <c r="D16">
        <v>0</v>
      </c>
      <c r="E16">
        <v>0</v>
      </c>
      <c r="F16">
        <v>0</v>
      </c>
      <c r="G16" s="8">
        <v>100000</v>
      </c>
    </row>
    <row r="17" spans="1:7" x14ac:dyDescent="0.3">
      <c r="A17" t="s">
        <v>29</v>
      </c>
      <c r="B17" t="s">
        <v>30</v>
      </c>
      <c r="C17" s="1">
        <v>100000</v>
      </c>
      <c r="D17">
        <v>0</v>
      </c>
      <c r="E17">
        <v>0</v>
      </c>
      <c r="F17">
        <v>0</v>
      </c>
      <c r="G17" s="8">
        <v>100000</v>
      </c>
    </row>
    <row r="18" spans="1:7" x14ac:dyDescent="0.3">
      <c r="A18" t="s">
        <v>31</v>
      </c>
      <c r="B18" t="s">
        <v>32</v>
      </c>
      <c r="C18" s="1">
        <v>50000</v>
      </c>
      <c r="D18">
        <v>0</v>
      </c>
      <c r="E18">
        <v>0</v>
      </c>
      <c r="F18">
        <v>0</v>
      </c>
      <c r="G18" s="8">
        <v>50000</v>
      </c>
    </row>
    <row r="19" spans="1:7" x14ac:dyDescent="0.3">
      <c r="A19" t="s">
        <v>33</v>
      </c>
      <c r="B19" t="s">
        <v>34</v>
      </c>
      <c r="C19" s="1">
        <v>137000</v>
      </c>
      <c r="D19" s="1">
        <v>1252</v>
      </c>
      <c r="E19" s="1">
        <v>10157</v>
      </c>
      <c r="F19" s="1">
        <v>11409</v>
      </c>
      <c r="G19" s="8">
        <v>125591</v>
      </c>
    </row>
    <row r="20" spans="1:7" x14ac:dyDescent="0.3">
      <c r="A20" t="s">
        <v>35</v>
      </c>
      <c r="B20" t="s">
        <v>36</v>
      </c>
      <c r="C20" s="1">
        <v>510000</v>
      </c>
      <c r="D20">
        <v>92</v>
      </c>
      <c r="E20">
        <v>0</v>
      </c>
      <c r="F20">
        <v>92</v>
      </c>
      <c r="G20" s="8">
        <v>509908</v>
      </c>
    </row>
    <row r="21" spans="1:7" x14ac:dyDescent="0.3">
      <c r="A21" t="s">
        <v>37</v>
      </c>
      <c r="B21" t="s">
        <v>38</v>
      </c>
      <c r="C21" s="1">
        <v>3000</v>
      </c>
      <c r="D21">
        <v>41</v>
      </c>
      <c r="E21">
        <v>794</v>
      </c>
      <c r="F21">
        <v>835</v>
      </c>
      <c r="G21" s="8">
        <v>2165</v>
      </c>
    </row>
    <row r="22" spans="1:7" x14ac:dyDescent="0.3">
      <c r="A22" t="s">
        <v>39</v>
      </c>
      <c r="B22" t="s">
        <v>40</v>
      </c>
      <c r="C22" s="1">
        <v>340000</v>
      </c>
      <c r="D22" s="1">
        <v>27931</v>
      </c>
      <c r="E22" s="1">
        <v>1950</v>
      </c>
      <c r="F22" s="1">
        <v>29881</v>
      </c>
      <c r="G22" s="8">
        <v>310119</v>
      </c>
    </row>
    <row r="23" spans="1:7" x14ac:dyDescent="0.3">
      <c r="A23" t="s">
        <v>41</v>
      </c>
      <c r="B23" t="s">
        <v>42</v>
      </c>
      <c r="C23">
        <v>0</v>
      </c>
      <c r="D23" s="1">
        <v>1120</v>
      </c>
      <c r="E23">
        <v>0</v>
      </c>
      <c r="F23" s="1">
        <v>1120</v>
      </c>
      <c r="G23" s="8">
        <v>-1120</v>
      </c>
    </row>
    <row r="24" spans="1:7" x14ac:dyDescent="0.3">
      <c r="A24" t="s">
        <v>43</v>
      </c>
      <c r="B24" t="s">
        <v>42</v>
      </c>
      <c r="C24">
        <v>0</v>
      </c>
      <c r="D24" s="1">
        <v>1036</v>
      </c>
      <c r="E24">
        <v>0</v>
      </c>
      <c r="F24" s="1">
        <v>1036</v>
      </c>
      <c r="G24" s="8">
        <v>-1036</v>
      </c>
    </row>
    <row r="25" spans="1:7" x14ac:dyDescent="0.3">
      <c r="A25" t="s">
        <v>44</v>
      </c>
      <c r="B25" t="s">
        <v>42</v>
      </c>
      <c r="C25">
        <v>0</v>
      </c>
      <c r="D25" s="1">
        <v>14133</v>
      </c>
      <c r="E25">
        <v>0</v>
      </c>
      <c r="F25" s="1">
        <v>14133</v>
      </c>
      <c r="G25" s="8">
        <v>-14133</v>
      </c>
    </row>
    <row r="26" spans="1:7" x14ac:dyDescent="0.3">
      <c r="A26" t="s">
        <v>45</v>
      </c>
      <c r="B26" t="s">
        <v>46</v>
      </c>
      <c r="C26" s="1">
        <v>410000</v>
      </c>
      <c r="D26">
        <v>72</v>
      </c>
      <c r="E26" s="1">
        <v>4926</v>
      </c>
      <c r="F26" s="1">
        <v>4998</v>
      </c>
      <c r="G26" s="8">
        <v>405002</v>
      </c>
    </row>
    <row r="27" spans="1:7" x14ac:dyDescent="0.3">
      <c r="A27" s="3" t="s">
        <v>47</v>
      </c>
      <c r="B27" s="3" t="s">
        <v>6</v>
      </c>
      <c r="C27" s="4">
        <v>1400000</v>
      </c>
      <c r="D27" s="4">
        <v>15777</v>
      </c>
      <c r="E27" s="4">
        <v>72707</v>
      </c>
      <c r="F27" s="4">
        <v>88484</v>
      </c>
      <c r="G27" s="24">
        <v>1311516</v>
      </c>
    </row>
    <row r="28" spans="1:7" x14ac:dyDescent="0.3">
      <c r="A28" t="s">
        <v>48</v>
      </c>
      <c r="B28" t="s">
        <v>49</v>
      </c>
      <c r="C28" s="1">
        <v>250000</v>
      </c>
      <c r="D28" s="1">
        <v>9044</v>
      </c>
      <c r="E28">
        <v>0</v>
      </c>
      <c r="F28" s="1">
        <v>9044</v>
      </c>
      <c r="G28" s="8">
        <v>240956</v>
      </c>
    </row>
    <row r="29" spans="1:7" x14ac:dyDescent="0.3">
      <c r="A29" t="s">
        <v>50</v>
      </c>
      <c r="B29" t="s">
        <v>51</v>
      </c>
      <c r="C29" s="1">
        <v>300000</v>
      </c>
      <c r="D29">
        <v>266</v>
      </c>
      <c r="E29" s="1">
        <v>4931</v>
      </c>
      <c r="F29" s="1">
        <v>5197</v>
      </c>
      <c r="G29" s="8">
        <v>294803</v>
      </c>
    </row>
    <row r="30" spans="1:7" x14ac:dyDescent="0.3">
      <c r="A30" t="s">
        <v>52</v>
      </c>
      <c r="B30" t="s">
        <v>53</v>
      </c>
      <c r="C30" s="1">
        <v>50000</v>
      </c>
      <c r="D30">
        <v>51</v>
      </c>
      <c r="E30">
        <v>900</v>
      </c>
      <c r="F30">
        <v>951</v>
      </c>
      <c r="G30" s="8">
        <v>49049</v>
      </c>
    </row>
    <row r="31" spans="1:7" x14ac:dyDescent="0.3">
      <c r="A31" t="s">
        <v>54</v>
      </c>
      <c r="B31" t="s">
        <v>55</v>
      </c>
      <c r="C31" s="1">
        <v>500000</v>
      </c>
      <c r="D31" s="1">
        <v>5559</v>
      </c>
      <c r="E31" s="1">
        <v>57083</v>
      </c>
      <c r="F31" s="1">
        <v>62641</v>
      </c>
      <c r="G31" s="8">
        <v>437359</v>
      </c>
    </row>
    <row r="32" spans="1:7" x14ac:dyDescent="0.3">
      <c r="A32" t="s">
        <v>56</v>
      </c>
      <c r="B32" t="s">
        <v>57</v>
      </c>
      <c r="C32" s="1">
        <v>300000</v>
      </c>
      <c r="D32">
        <v>858</v>
      </c>
      <c r="E32" s="1">
        <v>9793</v>
      </c>
      <c r="F32" s="1">
        <v>10651</v>
      </c>
      <c r="G32" s="8">
        <v>289349</v>
      </c>
    </row>
    <row r="33" spans="1:8" x14ac:dyDescent="0.3">
      <c r="A33" s="3" t="s">
        <v>58</v>
      </c>
      <c r="B33" s="3" t="s">
        <v>6</v>
      </c>
      <c r="C33" s="4">
        <v>2900000</v>
      </c>
      <c r="D33" s="3">
        <v>460</v>
      </c>
      <c r="E33" s="4">
        <v>249181</v>
      </c>
      <c r="F33" s="4">
        <v>249640</v>
      </c>
      <c r="G33" s="24">
        <v>2650360</v>
      </c>
    </row>
    <row r="34" spans="1:8" x14ac:dyDescent="0.3">
      <c r="A34" t="s">
        <v>59</v>
      </c>
      <c r="B34" t="s">
        <v>60</v>
      </c>
      <c r="C34" s="1">
        <v>36608</v>
      </c>
      <c r="D34">
        <v>0</v>
      </c>
      <c r="E34">
        <v>0</v>
      </c>
      <c r="F34">
        <v>0</v>
      </c>
      <c r="G34" s="8">
        <v>36608</v>
      </c>
    </row>
    <row r="35" spans="1:8" x14ac:dyDescent="0.3">
      <c r="A35" t="s">
        <v>61</v>
      </c>
      <c r="B35" t="s">
        <v>62</v>
      </c>
      <c r="C35" s="1">
        <v>50000</v>
      </c>
      <c r="D35">
        <v>460</v>
      </c>
      <c r="E35">
        <v>0</v>
      </c>
      <c r="F35">
        <v>460</v>
      </c>
      <c r="G35" s="8">
        <v>49540</v>
      </c>
    </row>
    <row r="36" spans="1:8" x14ac:dyDescent="0.3">
      <c r="A36" t="s">
        <v>63</v>
      </c>
      <c r="B36" t="s">
        <v>64</v>
      </c>
      <c r="C36" s="1">
        <v>250000</v>
      </c>
      <c r="D36">
        <v>0</v>
      </c>
      <c r="E36">
        <v>800</v>
      </c>
      <c r="F36">
        <v>800</v>
      </c>
      <c r="G36" s="8">
        <v>249200</v>
      </c>
    </row>
    <row r="37" spans="1:8" x14ac:dyDescent="0.3">
      <c r="A37" t="s">
        <v>65</v>
      </c>
      <c r="B37" t="s">
        <v>66</v>
      </c>
      <c r="C37" s="1">
        <v>250000</v>
      </c>
      <c r="D37">
        <v>0</v>
      </c>
      <c r="E37" s="1">
        <v>248381</v>
      </c>
      <c r="F37" s="1">
        <v>248381</v>
      </c>
      <c r="G37" s="8">
        <v>1619</v>
      </c>
    </row>
    <row r="38" spans="1:8" x14ac:dyDescent="0.3">
      <c r="A38" t="s">
        <v>67</v>
      </c>
      <c r="B38" t="s">
        <v>68</v>
      </c>
      <c r="C38" s="1">
        <v>29884</v>
      </c>
      <c r="D38">
        <v>0</v>
      </c>
      <c r="E38">
        <v>0</v>
      </c>
      <c r="F38">
        <v>0</v>
      </c>
      <c r="G38" s="8">
        <v>29884</v>
      </c>
    </row>
    <row r="39" spans="1:8" x14ac:dyDescent="0.3">
      <c r="A39" s="3" t="s">
        <v>69</v>
      </c>
      <c r="B39" s="3" t="s">
        <v>6</v>
      </c>
      <c r="C39" s="4">
        <v>900000</v>
      </c>
      <c r="D39" s="4">
        <v>14242</v>
      </c>
      <c r="E39" s="4">
        <v>39512</v>
      </c>
      <c r="F39" s="4">
        <v>53753</v>
      </c>
      <c r="G39" s="24">
        <v>846247</v>
      </c>
    </row>
    <row r="40" spans="1:8" x14ac:dyDescent="0.3">
      <c r="A40" t="s">
        <v>70</v>
      </c>
      <c r="B40" t="s">
        <v>71</v>
      </c>
      <c r="C40" s="1">
        <v>10000</v>
      </c>
      <c r="D40" s="1">
        <v>8478</v>
      </c>
      <c r="E40" s="1">
        <v>6204</v>
      </c>
      <c r="F40" s="1">
        <v>14682</v>
      </c>
      <c r="G40" s="8">
        <v>-4682</v>
      </c>
    </row>
    <row r="41" spans="1:8" x14ac:dyDescent="0.3">
      <c r="A41" t="s">
        <v>72</v>
      </c>
      <c r="B41" t="s">
        <v>73</v>
      </c>
      <c r="C41" s="1">
        <v>130000</v>
      </c>
      <c r="D41">
        <v>0</v>
      </c>
      <c r="E41">
        <v>0</v>
      </c>
      <c r="F41">
        <v>0</v>
      </c>
      <c r="G41" s="8">
        <v>130000</v>
      </c>
    </row>
    <row r="42" spans="1:8" x14ac:dyDescent="0.3">
      <c r="A42" t="s">
        <v>74</v>
      </c>
      <c r="B42" t="s">
        <v>75</v>
      </c>
      <c r="C42" s="1">
        <v>120000</v>
      </c>
      <c r="D42" s="1">
        <v>5505</v>
      </c>
      <c r="E42" s="1">
        <v>31894</v>
      </c>
      <c r="F42" s="1">
        <v>37399</v>
      </c>
      <c r="G42" s="8">
        <v>82601</v>
      </c>
    </row>
    <row r="43" spans="1:8" x14ac:dyDescent="0.3">
      <c r="A43" t="s">
        <v>76</v>
      </c>
      <c r="B43" t="s">
        <v>77</v>
      </c>
      <c r="C43" s="1">
        <v>100000</v>
      </c>
      <c r="D43">
        <v>259</v>
      </c>
      <c r="E43" s="1">
        <v>1414</v>
      </c>
      <c r="F43" s="1">
        <v>1673</v>
      </c>
      <c r="G43" s="8">
        <v>98327</v>
      </c>
    </row>
    <row r="44" spans="1:8" x14ac:dyDescent="0.3">
      <c r="A44" s="5" t="s">
        <v>78</v>
      </c>
      <c r="B44" s="6"/>
      <c r="C44" s="7">
        <v>15300000</v>
      </c>
      <c r="D44" s="7">
        <f>194720+20327.91</f>
        <v>215047.91</v>
      </c>
      <c r="E44" s="7">
        <v>1123200</v>
      </c>
      <c r="F44" s="7">
        <v>1317920</v>
      </c>
      <c r="G44" s="25">
        <v>13982080</v>
      </c>
      <c r="H44" s="10"/>
    </row>
  </sheetData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8A38-99F6-4969-B9E0-427B6CB5773B}">
  <sheetPr>
    <pageSetUpPr fitToPage="1"/>
  </sheetPr>
  <dimension ref="A1:H49"/>
  <sheetViews>
    <sheetView tabSelected="1" workbookViewId="0">
      <selection activeCell="B30" sqref="B30"/>
    </sheetView>
  </sheetViews>
  <sheetFormatPr defaultRowHeight="14.4" x14ac:dyDescent="0.3"/>
  <cols>
    <col min="1" max="1" width="35.33203125" customWidth="1"/>
    <col min="2" max="2" width="43.33203125" customWidth="1"/>
    <col min="3" max="3" width="22.6640625" customWidth="1"/>
    <col min="4" max="4" width="14" customWidth="1"/>
    <col min="5" max="5" width="17.6640625" customWidth="1"/>
    <col min="6" max="6" width="13.5546875" customWidth="1"/>
    <col min="7" max="7" width="22.44140625" customWidth="1"/>
    <col min="8" max="8" width="16" customWidth="1"/>
  </cols>
  <sheetData>
    <row r="1" spans="1:8" x14ac:dyDescent="0.3">
      <c r="G1" t="s">
        <v>4</v>
      </c>
    </row>
    <row r="2" spans="1:8" ht="29.4" customHeight="1" x14ac:dyDescent="0.3">
      <c r="A2" s="11" t="s">
        <v>79</v>
      </c>
      <c r="B2" s="11"/>
      <c r="C2" s="12" t="s">
        <v>0</v>
      </c>
      <c r="D2" s="12" t="s">
        <v>1</v>
      </c>
      <c r="E2" s="12" t="s">
        <v>2</v>
      </c>
      <c r="F2" s="12" t="s">
        <v>3</v>
      </c>
      <c r="G2" s="12" t="s">
        <v>4</v>
      </c>
      <c r="H2" s="12" t="s">
        <v>169</v>
      </c>
    </row>
    <row r="3" spans="1:8" x14ac:dyDescent="0.3">
      <c r="A3" s="28">
        <v>46056</v>
      </c>
      <c r="B3" s="13"/>
      <c r="C3" s="12"/>
      <c r="D3" s="12"/>
      <c r="E3" s="12"/>
      <c r="F3" s="12"/>
      <c r="G3" s="12"/>
    </row>
    <row r="4" spans="1:8" x14ac:dyDescent="0.3">
      <c r="A4" s="21" t="s">
        <v>80</v>
      </c>
      <c r="B4" s="21" t="s">
        <v>81</v>
      </c>
      <c r="C4" s="26">
        <v>669475</v>
      </c>
      <c r="D4" s="26">
        <v>152179</v>
      </c>
      <c r="E4" s="26">
        <v>2496</v>
      </c>
      <c r="F4" s="26">
        <v>154675</v>
      </c>
      <c r="G4" s="26">
        <v>514800</v>
      </c>
    </row>
    <row r="5" spans="1:8" x14ac:dyDescent="0.3">
      <c r="A5" s="14" t="s">
        <v>127</v>
      </c>
      <c r="B5" s="14" t="s">
        <v>82</v>
      </c>
      <c r="C5" s="19">
        <v>113000</v>
      </c>
      <c r="D5" s="19">
        <v>12859</v>
      </c>
      <c r="E5" s="15">
        <v>0</v>
      </c>
      <c r="F5" s="19">
        <v>12859</v>
      </c>
      <c r="G5" s="19">
        <v>100141</v>
      </c>
    </row>
    <row r="6" spans="1:8" x14ac:dyDescent="0.3">
      <c r="A6" s="16" t="s">
        <v>128</v>
      </c>
      <c r="B6" s="16" t="s">
        <v>83</v>
      </c>
      <c r="C6" s="17">
        <v>0</v>
      </c>
      <c r="D6" s="20">
        <v>5789</v>
      </c>
      <c r="E6" s="17">
        <v>0</v>
      </c>
      <c r="F6" s="20">
        <v>5789</v>
      </c>
      <c r="G6" s="20" t="s">
        <v>84</v>
      </c>
    </row>
    <row r="7" spans="1:8" x14ac:dyDescent="0.3">
      <c r="A7" s="16" t="s">
        <v>129</v>
      </c>
      <c r="B7" s="16" t="s">
        <v>85</v>
      </c>
      <c r="C7" s="17">
        <v>0</v>
      </c>
      <c r="D7" s="20">
        <v>7070</v>
      </c>
      <c r="E7" s="17">
        <v>0</v>
      </c>
      <c r="F7" s="20">
        <v>7070</v>
      </c>
      <c r="G7" s="17" t="s">
        <v>86</v>
      </c>
    </row>
    <row r="8" spans="1:8" x14ac:dyDescent="0.3">
      <c r="A8" s="14" t="s">
        <v>130</v>
      </c>
      <c r="B8" s="14" t="s">
        <v>87</v>
      </c>
      <c r="C8" s="19">
        <v>356475</v>
      </c>
      <c r="D8" s="19">
        <v>120420</v>
      </c>
      <c r="E8" s="19">
        <v>2496</v>
      </c>
      <c r="F8" s="19">
        <v>122915</v>
      </c>
      <c r="G8" s="19">
        <v>233560</v>
      </c>
    </row>
    <row r="9" spans="1:8" x14ac:dyDescent="0.3">
      <c r="A9" s="16" t="s">
        <v>131</v>
      </c>
      <c r="B9" s="16" t="s">
        <v>88</v>
      </c>
      <c r="C9" s="17">
        <v>0</v>
      </c>
      <c r="D9" s="20">
        <v>120420</v>
      </c>
      <c r="E9" s="17">
        <v>0</v>
      </c>
      <c r="F9" s="20">
        <v>120420</v>
      </c>
      <c r="G9" s="17" t="s">
        <v>89</v>
      </c>
    </row>
    <row r="10" spans="1:8" x14ac:dyDescent="0.3">
      <c r="A10" s="14" t="s">
        <v>132</v>
      </c>
      <c r="B10" s="14" t="s">
        <v>90</v>
      </c>
      <c r="C10" s="19">
        <v>200000</v>
      </c>
      <c r="D10" s="19">
        <v>18900</v>
      </c>
      <c r="E10" s="15">
        <v>0</v>
      </c>
      <c r="F10" s="19">
        <v>18900</v>
      </c>
      <c r="G10" s="19">
        <v>181100</v>
      </c>
    </row>
    <row r="11" spans="1:8" x14ac:dyDescent="0.3">
      <c r="A11" s="21" t="s">
        <v>91</v>
      </c>
      <c r="B11" s="21" t="s">
        <v>81</v>
      </c>
      <c r="C11" s="26">
        <v>2788260</v>
      </c>
      <c r="D11" s="26">
        <v>349174</v>
      </c>
      <c r="E11" s="22">
        <v>0</v>
      </c>
      <c r="F11" s="26">
        <v>349267</v>
      </c>
      <c r="G11" s="26">
        <v>2438993</v>
      </c>
    </row>
    <row r="12" spans="1:8" x14ac:dyDescent="0.3">
      <c r="A12" s="14" t="s">
        <v>133</v>
      </c>
      <c r="B12" s="14" t="s">
        <v>92</v>
      </c>
      <c r="C12" s="19">
        <v>350000</v>
      </c>
      <c r="D12" s="19">
        <v>87717</v>
      </c>
      <c r="E12" s="15">
        <v>0</v>
      </c>
      <c r="F12" s="19">
        <v>87717</v>
      </c>
      <c r="G12" s="19">
        <v>262283</v>
      </c>
    </row>
    <row r="13" spans="1:8" x14ac:dyDescent="0.3">
      <c r="A13" s="14" t="s">
        <v>134</v>
      </c>
      <c r="B13" s="14" t="s">
        <v>93</v>
      </c>
      <c r="C13" s="19">
        <v>300000</v>
      </c>
      <c r="D13" s="15">
        <v>0</v>
      </c>
      <c r="E13" s="15">
        <v>0</v>
      </c>
      <c r="F13" s="15">
        <v>0</v>
      </c>
      <c r="G13" s="19">
        <v>300000</v>
      </c>
    </row>
    <row r="14" spans="1:8" x14ac:dyDescent="0.3">
      <c r="A14" s="14" t="s">
        <v>135</v>
      </c>
      <c r="B14" s="14" t="s">
        <v>94</v>
      </c>
      <c r="C14" s="19">
        <v>100000</v>
      </c>
      <c r="D14" s="19">
        <v>20916</v>
      </c>
      <c r="E14" s="15">
        <v>0</v>
      </c>
      <c r="F14" s="19">
        <v>20916</v>
      </c>
      <c r="G14" s="19">
        <v>79085</v>
      </c>
    </row>
    <row r="15" spans="1:8" x14ac:dyDescent="0.3">
      <c r="A15" s="14" t="s">
        <v>136</v>
      </c>
      <c r="B15" s="14" t="s">
        <v>95</v>
      </c>
      <c r="C15" s="19">
        <v>100000</v>
      </c>
      <c r="D15" s="15">
        <v>0</v>
      </c>
      <c r="E15" s="15">
        <v>0</v>
      </c>
      <c r="F15" s="15">
        <v>0</v>
      </c>
      <c r="G15" s="19">
        <v>100000</v>
      </c>
    </row>
    <row r="16" spans="1:8" x14ac:dyDescent="0.3">
      <c r="A16" s="14" t="s">
        <v>137</v>
      </c>
      <c r="B16" s="14" t="s">
        <v>96</v>
      </c>
      <c r="C16" s="19">
        <v>50000</v>
      </c>
      <c r="D16" s="15">
        <v>0</v>
      </c>
      <c r="E16" s="15">
        <v>0</v>
      </c>
      <c r="F16" s="15">
        <v>0</v>
      </c>
      <c r="G16" s="19">
        <v>50000</v>
      </c>
    </row>
    <row r="17" spans="1:7" x14ac:dyDescent="0.3">
      <c r="A17" s="14" t="s">
        <v>138</v>
      </c>
      <c r="B17" s="14" t="s">
        <v>97</v>
      </c>
      <c r="C17" s="19">
        <v>187149</v>
      </c>
      <c r="D17" s="19">
        <v>9304</v>
      </c>
      <c r="E17" s="15">
        <v>0</v>
      </c>
      <c r="F17" s="19">
        <v>9304</v>
      </c>
      <c r="G17" s="19">
        <v>177845</v>
      </c>
    </row>
    <row r="18" spans="1:7" x14ac:dyDescent="0.3">
      <c r="A18" s="16" t="s">
        <v>139</v>
      </c>
      <c r="B18" s="16" t="s">
        <v>12</v>
      </c>
      <c r="C18" s="17">
        <v>0</v>
      </c>
      <c r="D18" s="17">
        <v>425</v>
      </c>
      <c r="E18" s="17">
        <v>0</v>
      </c>
      <c r="F18" s="17">
        <v>425</v>
      </c>
      <c r="G18" s="17" t="s">
        <v>98</v>
      </c>
    </row>
    <row r="19" spans="1:7" x14ac:dyDescent="0.3">
      <c r="A19" s="14" t="s">
        <v>140</v>
      </c>
      <c r="B19" s="14" t="s">
        <v>99</v>
      </c>
      <c r="C19" s="19">
        <v>394634</v>
      </c>
      <c r="D19" s="19">
        <v>7997</v>
      </c>
      <c r="E19" s="15">
        <v>0</v>
      </c>
      <c r="F19" s="19">
        <v>7997</v>
      </c>
      <c r="G19" s="19">
        <v>386638</v>
      </c>
    </row>
    <row r="20" spans="1:7" x14ac:dyDescent="0.3">
      <c r="A20" s="14" t="s">
        <v>141</v>
      </c>
      <c r="B20" s="14" t="s">
        <v>100</v>
      </c>
      <c r="C20" s="19">
        <v>106502</v>
      </c>
      <c r="D20" s="19">
        <v>22440</v>
      </c>
      <c r="E20" s="15">
        <v>0</v>
      </c>
      <c r="F20" s="19">
        <v>22440</v>
      </c>
      <c r="G20" s="19">
        <v>84062</v>
      </c>
    </row>
    <row r="21" spans="1:7" x14ac:dyDescent="0.3">
      <c r="A21" s="14" t="s">
        <v>142</v>
      </c>
      <c r="B21" s="14" t="s">
        <v>101</v>
      </c>
      <c r="C21" s="19">
        <v>133648</v>
      </c>
      <c r="D21" s="19">
        <v>86293</v>
      </c>
      <c r="E21" s="15">
        <v>0</v>
      </c>
      <c r="F21" s="19">
        <v>86386</v>
      </c>
      <c r="G21" s="19">
        <v>47262</v>
      </c>
    </row>
    <row r="22" spans="1:7" x14ac:dyDescent="0.3">
      <c r="A22" s="16" t="s">
        <v>143</v>
      </c>
      <c r="B22" s="16" t="s">
        <v>42</v>
      </c>
      <c r="C22" s="17">
        <v>0</v>
      </c>
      <c r="D22" s="17">
        <v>307</v>
      </c>
      <c r="E22" s="17">
        <v>0</v>
      </c>
      <c r="F22" s="17">
        <v>307</v>
      </c>
      <c r="G22" s="17" t="s">
        <v>102</v>
      </c>
    </row>
    <row r="23" spans="1:7" x14ac:dyDescent="0.3">
      <c r="A23" s="14" t="s">
        <v>144</v>
      </c>
      <c r="B23" s="14" t="s">
        <v>103</v>
      </c>
      <c r="C23" s="19">
        <v>561255</v>
      </c>
      <c r="D23" s="15">
        <v>563</v>
      </c>
      <c r="E23" s="15">
        <v>0</v>
      </c>
      <c r="F23" s="15">
        <v>563</v>
      </c>
      <c r="G23" s="19">
        <v>560692</v>
      </c>
    </row>
    <row r="24" spans="1:7" x14ac:dyDescent="0.3">
      <c r="A24" s="14" t="s">
        <v>145</v>
      </c>
      <c r="B24" s="14" t="s">
        <v>104</v>
      </c>
      <c r="C24" s="19">
        <v>505072</v>
      </c>
      <c r="D24" s="19">
        <v>113945</v>
      </c>
      <c r="E24" s="15">
        <v>0</v>
      </c>
      <c r="F24" s="19">
        <v>113945</v>
      </c>
      <c r="G24" s="19">
        <v>391127</v>
      </c>
    </row>
    <row r="25" spans="1:7" x14ac:dyDescent="0.3">
      <c r="A25" s="16" t="s">
        <v>146</v>
      </c>
      <c r="B25" s="16" t="s">
        <v>105</v>
      </c>
      <c r="C25" s="20">
        <v>188114</v>
      </c>
      <c r="D25" s="20">
        <v>47506</v>
      </c>
      <c r="E25" s="17">
        <v>0</v>
      </c>
      <c r="F25" s="20">
        <v>47506</v>
      </c>
      <c r="G25" s="20">
        <v>140608</v>
      </c>
    </row>
    <row r="26" spans="1:7" x14ac:dyDescent="0.3">
      <c r="A26" s="16" t="s">
        <v>147</v>
      </c>
      <c r="B26" s="16" t="s">
        <v>106</v>
      </c>
      <c r="C26" s="20">
        <v>316958</v>
      </c>
      <c r="D26" s="20">
        <v>66439</v>
      </c>
      <c r="E26" s="17">
        <v>0</v>
      </c>
      <c r="F26" s="20">
        <v>66439</v>
      </c>
      <c r="G26" s="20">
        <v>250519</v>
      </c>
    </row>
    <row r="27" spans="1:7" x14ac:dyDescent="0.3">
      <c r="A27" s="21" t="s">
        <v>107</v>
      </c>
      <c r="B27" s="21" t="s">
        <v>81</v>
      </c>
      <c r="C27" s="26">
        <v>1150000</v>
      </c>
      <c r="D27" s="26">
        <v>212738</v>
      </c>
      <c r="E27" s="22">
        <v>300</v>
      </c>
      <c r="F27" s="26">
        <v>213038</v>
      </c>
      <c r="G27" s="26">
        <v>936962</v>
      </c>
    </row>
    <row r="28" spans="1:7" x14ac:dyDescent="0.3">
      <c r="A28" s="14" t="s">
        <v>148</v>
      </c>
      <c r="B28" s="14" t="s">
        <v>108</v>
      </c>
      <c r="C28" s="19">
        <v>50000</v>
      </c>
      <c r="D28" s="15">
        <v>0</v>
      </c>
      <c r="E28" s="15">
        <v>0</v>
      </c>
      <c r="F28" s="15">
        <v>0</v>
      </c>
      <c r="G28" s="19">
        <v>50000</v>
      </c>
    </row>
    <row r="29" spans="1:7" x14ac:dyDescent="0.3">
      <c r="A29" s="14" t="s">
        <v>149</v>
      </c>
      <c r="B29" s="14" t="s">
        <v>109</v>
      </c>
      <c r="C29" s="19">
        <v>150000</v>
      </c>
      <c r="D29" s="19">
        <v>9906</v>
      </c>
      <c r="E29" s="15">
        <v>300</v>
      </c>
      <c r="F29" s="19">
        <v>10206</v>
      </c>
      <c r="G29" s="19">
        <v>139794</v>
      </c>
    </row>
    <row r="30" spans="1:7" x14ac:dyDescent="0.3">
      <c r="A30" s="14" t="s">
        <v>150</v>
      </c>
      <c r="B30" s="14" t="s">
        <v>110</v>
      </c>
      <c r="C30" s="19">
        <v>150000</v>
      </c>
      <c r="D30" s="19">
        <v>18266</v>
      </c>
      <c r="E30" s="15">
        <v>0</v>
      </c>
      <c r="F30" s="19">
        <v>18266</v>
      </c>
      <c r="G30" s="19">
        <v>131734</v>
      </c>
    </row>
    <row r="31" spans="1:7" x14ac:dyDescent="0.3">
      <c r="A31" s="16" t="s">
        <v>151</v>
      </c>
      <c r="B31" s="16" t="s">
        <v>12</v>
      </c>
      <c r="C31" s="17">
        <v>0</v>
      </c>
      <c r="D31" s="20">
        <v>2583</v>
      </c>
      <c r="E31" s="17">
        <v>0</v>
      </c>
      <c r="F31" s="20">
        <v>2583</v>
      </c>
      <c r="G31" s="17" t="s">
        <v>111</v>
      </c>
    </row>
    <row r="32" spans="1:7" x14ac:dyDescent="0.3">
      <c r="A32" s="14" t="s">
        <v>152</v>
      </c>
      <c r="B32" s="14" t="s">
        <v>112</v>
      </c>
      <c r="C32" s="19">
        <v>200000</v>
      </c>
      <c r="D32" s="19">
        <v>1300</v>
      </c>
      <c r="E32" s="15">
        <v>0</v>
      </c>
      <c r="F32" s="19">
        <v>1300</v>
      </c>
      <c r="G32" s="19">
        <v>198700</v>
      </c>
    </row>
    <row r="33" spans="1:7" x14ac:dyDescent="0.3">
      <c r="A33" s="14" t="s">
        <v>153</v>
      </c>
      <c r="B33" s="14" t="s">
        <v>113</v>
      </c>
      <c r="C33" s="19">
        <v>100000</v>
      </c>
      <c r="D33" s="19">
        <v>2063</v>
      </c>
      <c r="E33" s="15">
        <v>0</v>
      </c>
      <c r="F33" s="19">
        <v>2063</v>
      </c>
      <c r="G33" s="19">
        <v>97938</v>
      </c>
    </row>
    <row r="34" spans="1:7" ht="26.4" customHeight="1" x14ac:dyDescent="0.3">
      <c r="A34" s="14" t="s">
        <v>154</v>
      </c>
      <c r="B34" s="14" t="s">
        <v>114</v>
      </c>
      <c r="C34" s="19">
        <v>250000</v>
      </c>
      <c r="D34" s="19">
        <v>78629</v>
      </c>
      <c r="E34" s="15">
        <v>0</v>
      </c>
      <c r="F34" s="19">
        <v>78629</v>
      </c>
      <c r="G34" s="19">
        <v>171371</v>
      </c>
    </row>
    <row r="35" spans="1:7" x14ac:dyDescent="0.3">
      <c r="A35" s="14" t="s">
        <v>155</v>
      </c>
      <c r="B35" s="14" t="s">
        <v>115</v>
      </c>
      <c r="C35" s="19">
        <v>250000</v>
      </c>
      <c r="D35" s="19">
        <v>102575</v>
      </c>
      <c r="E35" s="15">
        <v>0</v>
      </c>
      <c r="F35" s="19">
        <v>102575</v>
      </c>
      <c r="G35" s="19">
        <v>147425</v>
      </c>
    </row>
    <row r="36" spans="1:7" x14ac:dyDescent="0.3">
      <c r="A36" s="16" t="s">
        <v>156</v>
      </c>
      <c r="B36" s="16" t="s">
        <v>12</v>
      </c>
      <c r="C36" s="17">
        <v>0</v>
      </c>
      <c r="D36" s="20">
        <v>1635</v>
      </c>
      <c r="E36" s="17">
        <v>0</v>
      </c>
      <c r="F36" s="20">
        <v>1635</v>
      </c>
      <c r="G36" s="17" t="s">
        <v>116</v>
      </c>
    </row>
    <row r="37" spans="1:7" x14ac:dyDescent="0.3">
      <c r="A37" s="21" t="s">
        <v>117</v>
      </c>
      <c r="B37" s="21" t="s">
        <v>81</v>
      </c>
      <c r="C37" s="26">
        <v>1062215</v>
      </c>
      <c r="D37" s="26">
        <v>133963</v>
      </c>
      <c r="E37" s="22">
        <v>0</v>
      </c>
      <c r="F37" s="26">
        <v>133963</v>
      </c>
      <c r="G37" s="26">
        <v>928252</v>
      </c>
    </row>
    <row r="38" spans="1:7" x14ac:dyDescent="0.3">
      <c r="A38" s="14" t="s">
        <v>157</v>
      </c>
      <c r="B38" s="14" t="s">
        <v>118</v>
      </c>
      <c r="C38" s="19">
        <v>363275</v>
      </c>
      <c r="D38" s="19">
        <v>8838</v>
      </c>
      <c r="E38" s="15">
        <v>0</v>
      </c>
      <c r="F38" s="19">
        <v>8838</v>
      </c>
      <c r="G38" s="19">
        <v>354438</v>
      </c>
    </row>
    <row r="39" spans="1:7" x14ac:dyDescent="0.3">
      <c r="A39" s="16" t="s">
        <v>158</v>
      </c>
      <c r="B39" s="16" t="s">
        <v>119</v>
      </c>
      <c r="C39" s="20">
        <v>242000</v>
      </c>
      <c r="D39" s="20">
        <v>8838</v>
      </c>
      <c r="E39" s="17">
        <v>0</v>
      </c>
      <c r="F39" s="20">
        <v>8838</v>
      </c>
      <c r="G39" s="20">
        <v>233163</v>
      </c>
    </row>
    <row r="40" spans="1:7" x14ac:dyDescent="0.3">
      <c r="A40" s="16" t="s">
        <v>159</v>
      </c>
      <c r="B40" s="16" t="s">
        <v>120</v>
      </c>
      <c r="C40" s="20">
        <v>121275</v>
      </c>
      <c r="D40" s="17">
        <v>0</v>
      </c>
      <c r="E40" s="17">
        <v>0</v>
      </c>
      <c r="F40" s="17">
        <v>0</v>
      </c>
      <c r="G40" s="20">
        <v>121275</v>
      </c>
    </row>
    <row r="41" spans="1:7" x14ac:dyDescent="0.3">
      <c r="A41" s="14" t="s">
        <v>160</v>
      </c>
      <c r="B41" s="14" t="s">
        <v>161</v>
      </c>
      <c r="C41" s="19">
        <v>250000</v>
      </c>
      <c r="D41" s="19">
        <v>92276</v>
      </c>
      <c r="E41" s="15">
        <v>0</v>
      </c>
      <c r="F41" s="19">
        <v>92276</v>
      </c>
      <c r="G41" s="19">
        <v>157724</v>
      </c>
    </row>
    <row r="42" spans="1:7" ht="23.4" customHeight="1" x14ac:dyDescent="0.3">
      <c r="A42" s="14" t="s">
        <v>162</v>
      </c>
      <c r="B42" s="14" t="s">
        <v>163</v>
      </c>
      <c r="C42" s="19">
        <v>47677</v>
      </c>
      <c r="D42" s="19">
        <v>21380</v>
      </c>
      <c r="E42" s="15">
        <v>0</v>
      </c>
      <c r="F42" s="19">
        <v>21380</v>
      </c>
      <c r="G42" s="19">
        <v>26298</v>
      </c>
    </row>
    <row r="43" spans="1:7" x14ac:dyDescent="0.3">
      <c r="A43" s="14" t="s">
        <v>164</v>
      </c>
      <c r="B43" s="14" t="s">
        <v>121</v>
      </c>
      <c r="C43" s="19">
        <v>31785</v>
      </c>
      <c r="D43" s="19">
        <v>1970</v>
      </c>
      <c r="E43" s="15">
        <v>0</v>
      </c>
      <c r="F43" s="19">
        <v>1970</v>
      </c>
      <c r="G43" s="19">
        <v>29815</v>
      </c>
    </row>
    <row r="44" spans="1:7" x14ac:dyDescent="0.3">
      <c r="A44" s="14" t="s">
        <v>165</v>
      </c>
      <c r="B44" s="14" t="s">
        <v>122</v>
      </c>
      <c r="C44" s="19">
        <v>100000</v>
      </c>
      <c r="D44" s="19">
        <v>4320</v>
      </c>
      <c r="E44" s="15">
        <v>0</v>
      </c>
      <c r="F44" s="19">
        <v>4320</v>
      </c>
      <c r="G44" s="19">
        <v>95680</v>
      </c>
    </row>
    <row r="45" spans="1:7" x14ac:dyDescent="0.3">
      <c r="A45" s="14" t="s">
        <v>166</v>
      </c>
      <c r="B45" s="14" t="s">
        <v>123</v>
      </c>
      <c r="C45" s="19">
        <v>250000</v>
      </c>
      <c r="D45" s="19">
        <v>1470</v>
      </c>
      <c r="E45" s="15">
        <v>0</v>
      </c>
      <c r="F45" s="19">
        <v>1470</v>
      </c>
      <c r="G45" s="19">
        <v>248530</v>
      </c>
    </row>
    <row r="46" spans="1:7" x14ac:dyDescent="0.3">
      <c r="A46" s="14" t="s">
        <v>167</v>
      </c>
      <c r="B46" s="14" t="s">
        <v>124</v>
      </c>
      <c r="C46" s="19">
        <v>19478</v>
      </c>
      <c r="D46" s="19">
        <v>3710</v>
      </c>
      <c r="E46" s="15">
        <v>0</v>
      </c>
      <c r="F46" s="19">
        <v>3710</v>
      </c>
      <c r="G46" s="19">
        <v>15768</v>
      </c>
    </row>
    <row r="47" spans="1:7" x14ac:dyDescent="0.3">
      <c r="A47" s="21" t="s">
        <v>125</v>
      </c>
      <c r="B47" s="21" t="s">
        <v>81</v>
      </c>
      <c r="C47" s="26">
        <v>300000</v>
      </c>
      <c r="D47" s="26">
        <v>150889</v>
      </c>
      <c r="E47" s="22">
        <v>0</v>
      </c>
      <c r="F47" s="26">
        <v>150889</v>
      </c>
      <c r="G47" s="26">
        <v>149111</v>
      </c>
    </row>
    <row r="48" spans="1:7" x14ac:dyDescent="0.3">
      <c r="A48" s="14" t="s">
        <v>168</v>
      </c>
      <c r="B48" s="14" t="s">
        <v>126</v>
      </c>
      <c r="C48" s="19">
        <v>300000</v>
      </c>
      <c r="D48" s="19">
        <v>150889</v>
      </c>
      <c r="E48" s="15">
        <v>0</v>
      </c>
      <c r="F48" s="19">
        <v>150889</v>
      </c>
      <c r="G48" s="19">
        <v>149111</v>
      </c>
    </row>
    <row r="49" spans="1:7" x14ac:dyDescent="0.3">
      <c r="A49" s="18" t="s">
        <v>78</v>
      </c>
      <c r="B49" s="18"/>
      <c r="C49" s="27">
        <v>5969950</v>
      </c>
      <c r="D49" s="27">
        <v>998942</v>
      </c>
      <c r="E49" s="27">
        <v>2796</v>
      </c>
      <c r="F49" s="27">
        <v>1001831</v>
      </c>
      <c r="G49" s="27">
        <v>4968119</v>
      </c>
    </row>
  </sheetData>
  <pageMargins left="0.70866141732283472" right="0.70866141732283472" top="0.74803149606299213" bottom="0.74803149606299213" header="0.31496062992125984" footer="0.31496062992125984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3rd Party 26 </vt:lpstr>
      <vt:lpstr>Manpower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PECK Lay Keong Pat</dc:creator>
  <cp:lastModifiedBy>PECK Lay Keong Pat</cp:lastModifiedBy>
  <cp:lastPrinted>2026-02-12T02:36:30Z</cp:lastPrinted>
  <dcterms:created xsi:type="dcterms:W3CDTF">2026-02-03T05:09:23Z</dcterms:created>
  <dcterms:modified xsi:type="dcterms:W3CDTF">2026-04-16T06:51:52Z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2026-02-03T05:12:09Z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ed3b3ace-aced-4dae-ae2f-6a9a71831c2a</vt:lpwstr>
  </property>
  <property fmtid="{D5CDD505-2E9C-101B-9397-08002B2CF9AE}" pid="8" name="MSIP_Label_a043ec3a-92eb-434b-bfcd-dd5fcd578c71_ContentBits">
    <vt:lpwstr>0</vt:lpwstr>
  </property>
  <property fmtid="{D5CDD505-2E9C-101B-9397-08002B2CF9AE}" pid="9" name="MSIP_Label_a043ec3a-92eb-434b-bfcd-dd5fcd578c71_Tag">
    <vt:lpwstr>10, 0, 1, 1</vt:lpwstr>
  </property>
</Properties>
</file>