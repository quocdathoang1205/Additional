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Cases\S_ALR_87013558\"/>
    </mc:Choice>
  </mc:AlternateContent>
  <xr:revisionPtr revIDLastSave="0" documentId="13_ncr:1_{4B62BC47-91F6-481A-8AB5-7E19FF87FE0E}" xr6:coauthVersionLast="47" xr6:coauthVersionMax="47" xr10:uidLastSave="{00000000-0000-0000-0000-000000000000}"/>
  <bookViews>
    <workbookView xWindow="-110" yWindow="-110" windowWidth="19420" windowHeight="10300" activeTab="1" xr2:uid="{AABC58AA-D2BA-4691-94D4-13F432D2F8CB}"/>
  </bookViews>
  <sheets>
    <sheet name="3rd Party" sheetId="2" r:id="rId1"/>
    <sheet name="Manpow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2" i="2"/>
  <c r="G7" i="3"/>
  <c r="F7" i="3"/>
  <c r="E7" i="3"/>
  <c r="D7" i="3"/>
  <c r="C7" i="3"/>
  <c r="G137" i="2"/>
  <c r="F137" i="2"/>
  <c r="E137" i="2"/>
  <c r="D137" i="2"/>
  <c r="C137" i="2"/>
</calcChain>
</file>

<file path=xl/sharedStrings.xml><?xml version="1.0" encoding="utf-8"?>
<sst xmlns="http://schemas.openxmlformats.org/spreadsheetml/2006/main" count="724" uniqueCount="374">
  <si>
    <t>Object</t>
  </si>
  <si>
    <t>Description</t>
  </si>
  <si>
    <t>Level</t>
  </si>
  <si>
    <t>WBS/ORD</t>
  </si>
  <si>
    <t>Cost Center</t>
  </si>
  <si>
    <t>Cost Center description</t>
  </si>
  <si>
    <t>Production</t>
  </si>
  <si>
    <t>P11.0011.2.P</t>
  </si>
  <si>
    <t/>
  </si>
  <si>
    <t>PRJ P11.0012</t>
  </si>
  <si>
    <t>TSL Project - NRE Settlement</t>
  </si>
  <si>
    <t>Notfound</t>
  </si>
  <si>
    <t>TSL Project - NRE settlement</t>
  </si>
  <si>
    <t>P11.0012</t>
  </si>
  <si>
    <t>KIM</t>
  </si>
  <si>
    <t>P11.0012.2</t>
  </si>
  <si>
    <t>Allocation A</t>
  </si>
  <si>
    <t>P11.0012.2.A</t>
  </si>
  <si>
    <t>ILS</t>
  </si>
  <si>
    <t>P11.0012.2.L</t>
  </si>
  <si>
    <t>NRE</t>
  </si>
  <si>
    <t>P11.0012.2.N</t>
  </si>
  <si>
    <t>RASB-Aethon New Plant NRE Projects</t>
  </si>
  <si>
    <t>P52.6200.5.P</t>
  </si>
  <si>
    <t>Aisen - TUG20</t>
  </si>
  <si>
    <t>P52.6200.5.P.9</t>
  </si>
  <si>
    <t>P52.6200.5.R</t>
  </si>
  <si>
    <t>ASYS - OASIS</t>
  </si>
  <si>
    <t>P52.6200.5.R.2</t>
  </si>
  <si>
    <t>PRJ P52.6299</t>
  </si>
  <si>
    <t>STEAS_NRE-Aethon APAC</t>
  </si>
  <si>
    <t>P52.6299</t>
  </si>
  <si>
    <t>P52.6299.5</t>
  </si>
  <si>
    <t>STEAS-Aethon APAC NRE Projects</t>
  </si>
  <si>
    <t>P52.6299.5.N</t>
  </si>
  <si>
    <t>521201</t>
  </si>
  <si>
    <t>Aethon Overheads</t>
  </si>
  <si>
    <t>P52.6299.5.N.002</t>
  </si>
  <si>
    <t>PRJ P52.6301</t>
  </si>
  <si>
    <t>STEAS_NRE-LA - PSA AGV</t>
  </si>
  <si>
    <t>P52.6301</t>
  </si>
  <si>
    <t>P52.6301.5</t>
  </si>
  <si>
    <t>PSA AGV</t>
  </si>
  <si>
    <t>P52.6301.5.N</t>
  </si>
  <si>
    <t>PSA AGV_PLATFORM</t>
  </si>
  <si>
    <t>P52.6301.5.N.001</t>
  </si>
  <si>
    <t>PRJ P52.ZZZZ</t>
  </si>
  <si>
    <t>Migration Project</t>
  </si>
  <si>
    <t>P52.ZZZZ</t>
  </si>
  <si>
    <t>RASB</t>
  </si>
  <si>
    <t>P52.ZZZZ.1</t>
  </si>
  <si>
    <t>P52.ZZZZ.1.N</t>
  </si>
  <si>
    <t>521000 KXR AV</t>
  </si>
  <si>
    <t>P52.ZZZZ.1.N.001</t>
  </si>
  <si>
    <t>521200 Aethon APAC</t>
  </si>
  <si>
    <t>P52.ZZZZ.1.N.003</t>
  </si>
  <si>
    <t>PRJ S11.0003</t>
  </si>
  <si>
    <t>SSC-ARO</t>
  </si>
  <si>
    <t>S11.0003</t>
  </si>
  <si>
    <t>PRJ S11.2000</t>
  </si>
  <si>
    <t>Statistical WBS Integration testing</t>
  </si>
  <si>
    <t>Make to order sales process</t>
  </si>
  <si>
    <t>S11.2000</t>
  </si>
  <si>
    <t>Make to order sales - LOCAL</t>
  </si>
  <si>
    <t>S11.2000.01</t>
  </si>
  <si>
    <t>Make to order sales - EXPORT</t>
  </si>
  <si>
    <t>S11.2000.02</t>
  </si>
  <si>
    <t>PRJ S11.2001</t>
  </si>
  <si>
    <t>Statistical Project A</t>
  </si>
  <si>
    <t>S11.2001</t>
  </si>
  <si>
    <t>PRJ S11.6002</t>
  </si>
  <si>
    <t>ACCIDENT &amp; REPAIR</t>
  </si>
  <si>
    <t>S11.6002</t>
  </si>
  <si>
    <t>STAR AR PD</t>
  </si>
  <si>
    <t>S11.6002.1</t>
  </si>
  <si>
    <t>                        ORD 1000853</t>
  </si>
  <si>
    <t>test ad-hoc RFQ 1234</t>
  </si>
  <si>
    <t>ORD 1000853</t>
  </si>
  <si>
    <t>                        ORD 1006603</t>
  </si>
  <si>
    <t>Test</t>
  </si>
  <si>
    <t>ORD 1006603</t>
  </si>
  <si>
    <t>STAR AR UBI</t>
  </si>
  <si>
    <t>S11.6002.2</t>
  </si>
  <si>
    <t>                        ORD 1001327</t>
  </si>
  <si>
    <t>BIONIX MK2 TYPE A IF</t>
  </si>
  <si>
    <t>ORD 1001327</t>
  </si>
  <si>
    <t>                        ORD 1001866</t>
  </si>
  <si>
    <t>BIONIX MK2 40/50 IFV</t>
  </si>
  <si>
    <t>ORD 1001866</t>
  </si>
  <si>
    <t>                        ORD 1001897</t>
  </si>
  <si>
    <t>BIONIX HARNESS LHS H</t>
  </si>
  <si>
    <t>ORD 1001897</t>
  </si>
  <si>
    <t>PRJ S11.8200</t>
  </si>
  <si>
    <t>SSC "W"</t>
  </si>
  <si>
    <t>S11.8200</t>
  </si>
  <si>
    <t>                ORD 1005600</t>
  </si>
  <si>
    <t>SL For WIP Report ch</t>
  </si>
  <si>
    <t>ORD 1005600</t>
  </si>
  <si>
    <t>MRO-HA</t>
  </si>
  <si>
    <t>S11.8200.01</t>
  </si>
  <si>
    <t>                        ORD 1000081</t>
  </si>
  <si>
    <t>Costing - Back-to-ba</t>
  </si>
  <si>
    <t>ORD 1000081</t>
  </si>
  <si>
    <t>                        ORD 1000620</t>
  </si>
  <si>
    <t>inter division</t>
  </si>
  <si>
    <t>ORD 1000620</t>
  </si>
  <si>
    <t>                        ORD 1000783</t>
  </si>
  <si>
    <t>TRUCK UTI FORD F550</t>
  </si>
  <si>
    <t>ORD 1000783</t>
  </si>
  <si>
    <t>                        ORD 1005640</t>
  </si>
  <si>
    <t>A VEHICLES FOR ADHOC</t>
  </si>
  <si>
    <t>ORD 1005640</t>
  </si>
  <si>
    <t>                        ORD 1006223</t>
  </si>
  <si>
    <t>BARREL INSERT SYS AS</t>
  </si>
  <si>
    <t>ORD 1006223</t>
  </si>
  <si>
    <t>                        ORD 1006624</t>
  </si>
  <si>
    <t>ORD 1006624</t>
  </si>
  <si>
    <t>                        ORD 1006847</t>
  </si>
  <si>
    <t>Test Comprehensive</t>
  </si>
  <si>
    <t>ORD 1006847</t>
  </si>
  <si>
    <t>MRO-SA</t>
  </si>
  <si>
    <t>S11.8200.02</t>
  </si>
  <si>
    <t>                        ORD 1000521</t>
  </si>
  <si>
    <t>GENERATOR,ENGINE ACC</t>
  </si>
  <si>
    <t>ORD 1000521</t>
  </si>
  <si>
    <t>                        ORD 1000781</t>
  </si>
  <si>
    <t>Installation of Road</t>
  </si>
  <si>
    <t>ORD 1000781</t>
  </si>
  <si>
    <t>                        ORD 1006224</t>
  </si>
  <si>
    <t>ORD 1006224</t>
  </si>
  <si>
    <t>PTMS</t>
  </si>
  <si>
    <t>S11.8200.03</t>
  </si>
  <si>
    <t>                        ORD 1000982</t>
  </si>
  <si>
    <t>Installation of Stee</t>
  </si>
  <si>
    <t>ORD 1000982</t>
  </si>
  <si>
    <t>                        ORD 1006265</t>
  </si>
  <si>
    <t>Man-hour clocking wo</t>
  </si>
  <si>
    <t>ORD 1006265</t>
  </si>
  <si>
    <t>PRJ S11.8500</t>
  </si>
  <si>
    <t>SS CONTRACT</t>
  </si>
  <si>
    <t>S11.8500</t>
  </si>
  <si>
    <t>ACCIDENT REPAIR</t>
  </si>
  <si>
    <t>S11.8500.01</t>
  </si>
  <si>
    <t>                        ORD 1005420</t>
  </si>
  <si>
    <t>BIONIX 25MM CANNON</t>
  </si>
  <si>
    <t>ORD 1005420</t>
  </si>
  <si>
    <t>                        ORD 11MTSL180003</t>
  </si>
  <si>
    <t>BRONCO ATTC:COMMAND</t>
  </si>
  <si>
    <t>ORD 11MTSL180003</t>
  </si>
  <si>
    <t>SPECIFIC REPAIR</t>
  </si>
  <si>
    <t>S11.8500.02</t>
  </si>
  <si>
    <t>                        ORD 1000362</t>
  </si>
  <si>
    <t>Remove hose line to</t>
  </si>
  <si>
    <t>ORD 1000362</t>
  </si>
  <si>
    <t>                        ORD 1000363</t>
  </si>
  <si>
    <t>1-METAU VARIABLE SOW</t>
  </si>
  <si>
    <t>ORD 1000363</t>
  </si>
  <si>
    <t>                        ORD 1000365</t>
  </si>
  <si>
    <t>TEST</t>
  </si>
  <si>
    <t>ORD 1000365</t>
  </si>
  <si>
    <t>                        ORD 1000367</t>
  </si>
  <si>
    <t>BRKT,EYE,NONROTATING</t>
  </si>
  <si>
    <t>ORD 1000367</t>
  </si>
  <si>
    <t>                        ORD 1000503</t>
  </si>
  <si>
    <t>ORD 1000503</t>
  </si>
  <si>
    <t>                        ORD 1001459</t>
  </si>
  <si>
    <t>ORD 1001459</t>
  </si>
  <si>
    <t>                        ORD 1002280</t>
  </si>
  <si>
    <t>ORD 1002280</t>
  </si>
  <si>
    <t>Outsource Component</t>
  </si>
  <si>
    <t>S11.8500.03</t>
  </si>
  <si>
    <t>                        ORD 1001801</t>
  </si>
  <si>
    <t>SL COPA with Stat WB</t>
  </si>
  <si>
    <t>ORD 1001801</t>
  </si>
  <si>
    <t>SDDA Component</t>
  </si>
  <si>
    <t>S11.8500.04</t>
  </si>
  <si>
    <t>                        ORD 1002463</t>
  </si>
  <si>
    <t>ORD 1002463</t>
  </si>
  <si>
    <t>PRJ S11.SP01</t>
  </si>
  <si>
    <t>TST StatProj</t>
  </si>
  <si>
    <t>STK StatProj</t>
  </si>
  <si>
    <t>S11.SP01</t>
  </si>
  <si>
    <t>BU(1)</t>
  </si>
  <si>
    <t>S11.SP01.1</t>
  </si>
  <si>
    <t>BU(1)-BusSeg1</t>
  </si>
  <si>
    <t>S11.SP01.11</t>
  </si>
  <si>
    <t>PRJ S11.UT03</t>
  </si>
  <si>
    <t>Statistical Project for UT</t>
  </si>
  <si>
    <t>Statistical Project Template</t>
  </si>
  <si>
    <t>S11.UT03</t>
  </si>
  <si>
    <t>PRJ S11.UT04</t>
  </si>
  <si>
    <t>Statistical project II for UT</t>
  </si>
  <si>
    <t>S11.UT04</t>
  </si>
  <si>
    <t>Local</t>
  </si>
  <si>
    <t>S11.UT04.01</t>
  </si>
  <si>
    <t>Budget</t>
  </si>
  <si>
    <t>S11.UT04.02</t>
  </si>
  <si>
    <t>Non-budget</t>
  </si>
  <si>
    <t>S11.UT04.03</t>
  </si>
  <si>
    <t>PRJ S11.UTZY</t>
  </si>
  <si>
    <t>S11.UTZY</t>
  </si>
  <si>
    <t>S11.UTZY.1</t>
  </si>
  <si>
    <t>S11.UTZY.11</t>
  </si>
  <si>
    <t>BU(2)</t>
  </si>
  <si>
    <t>S11.UTZY.2</t>
  </si>
  <si>
    <t>BU(2)-BusSeg2</t>
  </si>
  <si>
    <t>S11.UTZY.21</t>
  </si>
  <si>
    <t>PRJ S12.2000</t>
  </si>
  <si>
    <t>The TG-Stat A Project</t>
  </si>
  <si>
    <t>The TG-Stat(1) Project</t>
  </si>
  <si>
    <t>S12.2000</t>
  </si>
  <si>
    <t>BU(A) - Export</t>
  </si>
  <si>
    <t>S12.2000.12</t>
  </si>
  <si>
    <t>PRJ S21.8000</t>
  </si>
  <si>
    <t>IWF-RSN</t>
  </si>
  <si>
    <t>IWF - RSN</t>
  </si>
  <si>
    <t>S21.8000</t>
  </si>
  <si>
    <t>Spare Sales and Subcontract Common</t>
  </si>
  <si>
    <t>S21.8000.08</t>
  </si>
  <si>
    <t>                        ORD 1000866</t>
  </si>
  <si>
    <t>BIONIX RECOVERY VEHI</t>
  </si>
  <si>
    <t>ORD 1000866</t>
  </si>
  <si>
    <t>PRJ S22.7002</t>
  </si>
  <si>
    <t>COMPONENT REPAIR</t>
  </si>
  <si>
    <t>S22.7002</t>
  </si>
  <si>
    <t>                ORD 1001265</t>
  </si>
  <si>
    <t>component 1</t>
  </si>
  <si>
    <t>ORD 1001265</t>
  </si>
  <si>
    <t>                ORD 1006263</t>
  </si>
  <si>
    <t>FRONT STRUT ASY 200</t>
  </si>
  <si>
    <t>ORD 1006263</t>
  </si>
  <si>
    <t>                ORD 1006331</t>
  </si>
  <si>
    <t>LEOPARD 2 HARNESS KA</t>
  </si>
  <si>
    <t>ORD 1006331</t>
  </si>
  <si>
    <t>                ORD 1007651</t>
  </si>
  <si>
    <t>FLYER R12D MK2</t>
  </si>
  <si>
    <t>ORD 1007651</t>
  </si>
  <si>
    <t>                ORD 1007663</t>
  </si>
  <si>
    <t>ORD 1007663</t>
  </si>
  <si>
    <t>                ORD 1007723</t>
  </si>
  <si>
    <t>Test RA Key ZCS005</t>
  </si>
  <si>
    <t>ORD 1007723</t>
  </si>
  <si>
    <t>                ORD 1007725</t>
  </si>
  <si>
    <t>Test Settlement to o</t>
  </si>
  <si>
    <t>ORD 1007725</t>
  </si>
  <si>
    <t>PRJ S22.8201</t>
  </si>
  <si>
    <t>MRO PROJECTS</t>
  </si>
  <si>
    <t>S22.8201</t>
  </si>
  <si>
    <t>SMALL ARMS</t>
  </si>
  <si>
    <t>S22.8201.02</t>
  </si>
  <si>
    <t>                        ORD 1007348</t>
  </si>
  <si>
    <t>Hunter - Electronics</t>
  </si>
  <si>
    <t>ORD 1007348</t>
  </si>
  <si>
    <t>PRJ S22.8400</t>
  </si>
  <si>
    <t>Hunter</t>
  </si>
  <si>
    <t>S22.8400.1</t>
  </si>
  <si>
    <t>                ORD 1007163</t>
  </si>
  <si>
    <t>ORD 1007163</t>
  </si>
  <si>
    <t>                ORD 1007403</t>
  </si>
  <si>
    <t>ORD 1007403</t>
  </si>
  <si>
    <t>                ORD 1007463</t>
  </si>
  <si>
    <t>ORD 1007463</t>
  </si>
  <si>
    <t>PRJ S22.8500</t>
  </si>
  <si>
    <t>S22.8500</t>
  </si>
  <si>
    <t>S22.8500.03</t>
  </si>
  <si>
    <t>                        ORD 1007404</t>
  </si>
  <si>
    <t>ORD 1007404</t>
  </si>
  <si>
    <t>S22.8500.04</t>
  </si>
  <si>
    <t>                        ORD 1007583</t>
  </si>
  <si>
    <t>STEERING GEAR BOX</t>
  </si>
  <si>
    <t>ORD 1007583</t>
  </si>
  <si>
    <t>                        ORD 1007585</t>
  </si>
  <si>
    <t>ORD 1007585</t>
  </si>
  <si>
    <t>PRJ S28.1090</t>
  </si>
  <si>
    <t>B Vehicle</t>
  </si>
  <si>
    <t>S28.1090</t>
  </si>
  <si>
    <t>B vehicle MRO-General</t>
  </si>
  <si>
    <t>S28.1090.01</t>
  </si>
  <si>
    <t>                        ORD 1006303</t>
  </si>
  <si>
    <t>TRUCK,UTILITY:L/R,LW</t>
  </si>
  <si>
    <t>ORD 1006303</t>
  </si>
  <si>
    <t>B vehicle MRO</t>
  </si>
  <si>
    <t>S28.1090.02</t>
  </si>
  <si>
    <t>                        ORD 1006204</t>
  </si>
  <si>
    <t>Check customer in CO</t>
  </si>
  <si>
    <t>ORD 1006204</t>
  </si>
  <si>
    <t>                        ORD 1006330</t>
  </si>
  <si>
    <t>ORD 1006330</t>
  </si>
  <si>
    <t>Result</t>
  </si>
  <si>
    <t>Allocation B</t>
  </si>
  <si>
    <t>P11.0012.2.B</t>
  </si>
  <si>
    <t>PRJ P11.0013</t>
  </si>
  <si>
    <t>NRE Project</t>
  </si>
  <si>
    <t>WS1 Big Guns</t>
  </si>
  <si>
    <t>P11.0013</t>
  </si>
  <si>
    <t>P11.0013.2</t>
  </si>
  <si>
    <t>NRE Costs</t>
  </si>
  <si>
    <t>P11.0013.2.N</t>
  </si>
  <si>
    <t>                        P11.0011.2.P</t>
  </si>
  <si>
    <t>        P11.0012</t>
  </si>
  <si>
    <t>                P11.0012.2</t>
  </si>
  <si>
    <t>                        P11.0012.2.A</t>
  </si>
  <si>
    <t>                        P11.0012.2.L</t>
  </si>
  <si>
    <t>                        P11.0012.2.N</t>
  </si>
  <si>
    <t>                        P52.6200.5.P</t>
  </si>
  <si>
    <t>                                P52.6200.5.P.9</t>
  </si>
  <si>
    <t>                        P52.6200.5.R</t>
  </si>
  <si>
    <t>                                P52.6200.5.R.2</t>
  </si>
  <si>
    <t>        P52.6299</t>
  </si>
  <si>
    <t>                P52.6299.5</t>
  </si>
  <si>
    <t>                        P52.6299.5.N</t>
  </si>
  <si>
    <t>                                P52.6299.5.N.002</t>
  </si>
  <si>
    <t>        P52.6301</t>
  </si>
  <si>
    <t>                P52.6301.5</t>
  </si>
  <si>
    <t>                        P52.6301.5.N</t>
  </si>
  <si>
    <t>                                P52.6301.5.N.001</t>
  </si>
  <si>
    <t>        P52.ZZZZ</t>
  </si>
  <si>
    <t>                P52.ZZZZ.1</t>
  </si>
  <si>
    <t>                        P52.ZZZZ.1.N</t>
  </si>
  <si>
    <t>                                P52.ZZZZ.1.N.001</t>
  </si>
  <si>
    <t>                                P52.ZZZZ.1.N.003</t>
  </si>
  <si>
    <t>        S11.0003</t>
  </si>
  <si>
    <t>        S11.2000</t>
  </si>
  <si>
    <t>                S11.2000.01</t>
  </si>
  <si>
    <t>                S11.2000.02</t>
  </si>
  <si>
    <t>        S11.2001</t>
  </si>
  <si>
    <t>        S11.6002</t>
  </si>
  <si>
    <t>                S11.6002.1</t>
  </si>
  <si>
    <t>                S11.6002.2</t>
  </si>
  <si>
    <t>        S11.8200</t>
  </si>
  <si>
    <t>                S11.8200.01</t>
  </si>
  <si>
    <t>                S11.8200.02</t>
  </si>
  <si>
    <t>                S11.8200.03</t>
  </si>
  <si>
    <t>        S11.8500</t>
  </si>
  <si>
    <t>                S11.8500.01</t>
  </si>
  <si>
    <t>                S11.8500.02</t>
  </si>
  <si>
    <t>                S11.8500.03</t>
  </si>
  <si>
    <t>                S11.8500.04</t>
  </si>
  <si>
    <t>        S11.SP01</t>
  </si>
  <si>
    <t>                S11.SP01.1</t>
  </si>
  <si>
    <t>                        S11.SP01.11</t>
  </si>
  <si>
    <t>        S11.UT03</t>
  </si>
  <si>
    <t>        S11.UT04</t>
  </si>
  <si>
    <t>                S11.UT04.01</t>
  </si>
  <si>
    <t>                S11.UT04.02</t>
  </si>
  <si>
    <t>                S11.UT04.03</t>
  </si>
  <si>
    <t>        S11.UTZY</t>
  </si>
  <si>
    <t>                S11.UTZY.1</t>
  </si>
  <si>
    <t>                        S11.UTZY.11</t>
  </si>
  <si>
    <t>                S11.UTZY.2</t>
  </si>
  <si>
    <t>                        S11.UTZY.21</t>
  </si>
  <si>
    <t>        S12.2000</t>
  </si>
  <si>
    <t>                S12.2000.12</t>
  </si>
  <si>
    <t>        S21.8000</t>
  </si>
  <si>
    <t>                S21.8000.08</t>
  </si>
  <si>
    <t>        S22.7002</t>
  </si>
  <si>
    <t>        S22.8201</t>
  </si>
  <si>
    <t>                S22.8201.02</t>
  </si>
  <si>
    <t>        S22.8400.1</t>
  </si>
  <si>
    <t>        S22.8500</t>
  </si>
  <si>
    <t>                S22.8500.03</t>
  </si>
  <si>
    <t>                S22.8500.04</t>
  </si>
  <si>
    <t>        S28.1090</t>
  </si>
  <si>
    <t>                S28.1090.01</t>
  </si>
  <si>
    <t>                S28.1090.02</t>
  </si>
  <si>
    <t>Actual</t>
  </si>
  <si>
    <t>Commitment</t>
  </si>
  <si>
    <t>Assigned</t>
  </si>
  <si>
    <t>Available</t>
  </si>
  <si>
    <t>Type</t>
  </si>
  <si>
    <t>                        P11.0012.2.B</t>
  </si>
  <si>
    <t>        P11.0013</t>
  </si>
  <si>
    <t>                P11.0013.2</t>
  </si>
  <si>
    <t>                        P11.0013.2.N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</si>
</sst>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4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4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4" fontId="0" fillId="5" borderId="0" xfId="0" applyNumberFormat="1" applyFill="1" applyAlignment="1">
      <alignment vertical="center"/>
    </xf>
    <xf numFmtId="0" fontId="1" fillId="6" borderId="0" xfId="0" applyFont="1" applyFill="1" applyAlignment="1">
      <alignment vertical="center"/>
    </xf>
    <xf numFmtId="4" fontId="1" fillId="6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339F-542A-49F6-800F-06E76E67F12E}">
  <sheetPr codeName="Sheet4"/>
  <dimension ref="A1:L137"/>
  <sheetViews>
    <sheetView topLeftCell="G1" workbookViewId="0">
      <selection activeCell="L1" sqref="L1:L1048576"/>
    </sheetView>
  </sheetViews>
  <sheetFormatPr defaultRowHeight="14.5" x14ac:dyDescent="0.35"/>
  <cols>
    <col min="1" max="1" width="31.54296875" style="1" bestFit="1" customWidth="1"/>
    <col min="2" max="2" width="32" style="1" bestFit="1" customWidth="1"/>
    <col min="3" max="3" width="17.81640625" style="1" bestFit="1" customWidth="1"/>
    <col min="4" max="4" width="17.1796875" style="1" bestFit="1" customWidth="1"/>
    <col min="5" max="5" width="24.54296875" style="1" bestFit="1" customWidth="1"/>
    <col min="6" max="6" width="19.90625" style="1" bestFit="1" customWidth="1"/>
    <col min="7" max="7" width="20.08984375" style="1" bestFit="1" customWidth="1"/>
    <col min="8" max="8" width="13.6328125" style="1" bestFit="1" customWidth="1"/>
    <col min="9" max="9" width="26.36328125" style="1" bestFit="1" customWidth="1"/>
    <col min="10" max="10" width="6.54296875" style="1" bestFit="1" customWidth="1"/>
    <col min="11" max="11" width="17.36328125" style="1" bestFit="1" customWidth="1"/>
    <col min="12" max="12" width="13.6328125" style="1" bestFit="1" customWidth="1"/>
    <col min="13" max="16384" width="8.7265625" style="1"/>
  </cols>
  <sheetData>
    <row r="1" spans="1:12" ht="41.25" customHeight="1" x14ac:dyDescent="0.35">
      <c r="A1" s="3" t="s">
        <v>0</v>
      </c>
      <c r="B1" s="3" t="s">
        <v>1</v>
      </c>
      <c r="C1" s="3" t="s">
        <v>195</v>
      </c>
      <c r="D1" s="3" t="s">
        <v>365</v>
      </c>
      <c r="E1" s="3" t="s">
        <v>366</v>
      </c>
      <c r="F1" s="3" t="s">
        <v>367</v>
      </c>
      <c r="G1" s="3" t="s">
        <v>368</v>
      </c>
      <c r="H1" s="3" t="s">
        <v>4</v>
      </c>
      <c r="I1" s="3" t="s">
        <v>5</v>
      </c>
      <c r="J1" s="3" t="s">
        <v>2</v>
      </c>
      <c r="K1" s="3" t="s">
        <v>3</v>
      </c>
      <c r="L1" s="3" t="s">
        <v>369</v>
      </c>
    </row>
    <row r="2" spans="1:12" x14ac:dyDescent="0.35">
      <c r="A2" s="1" t="s">
        <v>298</v>
      </c>
      <c r="B2" s="1" t="s">
        <v>6</v>
      </c>
      <c r="C2" s="2">
        <v>500000</v>
      </c>
      <c r="D2" s="2">
        <v>0</v>
      </c>
      <c r="E2" s="2">
        <v>0</v>
      </c>
      <c r="F2" s="2">
        <v>0</v>
      </c>
      <c r="G2" s="2">
        <v>500000</v>
      </c>
      <c r="H2" s="1" t="s">
        <v>8</v>
      </c>
      <c r="I2" s="1" t="s">
        <v>8</v>
      </c>
      <c r="J2" s="1">
        <v>4</v>
      </c>
      <c r="K2" s="1" t="s">
        <v>7</v>
      </c>
      <c r="L2" s="1" t="str">
        <f>IF(IFERROR(FIND("ORD",A2,1),-1)&gt;0,"ORD","WBS")</f>
        <v>WBS</v>
      </c>
    </row>
    <row r="3" spans="1:12" x14ac:dyDescent="0.35">
      <c r="A3" s="4" t="s">
        <v>9</v>
      </c>
      <c r="B3" s="4" t="s">
        <v>10</v>
      </c>
      <c r="C3" s="5">
        <v>16500</v>
      </c>
      <c r="D3" s="5">
        <v>2600</v>
      </c>
      <c r="E3" s="5">
        <v>0</v>
      </c>
      <c r="F3" s="5">
        <v>2600</v>
      </c>
      <c r="G3" s="5">
        <v>13900</v>
      </c>
      <c r="H3" s="4" t="s">
        <v>11</v>
      </c>
      <c r="I3" s="4" t="s">
        <v>11</v>
      </c>
      <c r="J3" s="4">
        <v>1</v>
      </c>
      <c r="K3" s="4" t="s">
        <v>9</v>
      </c>
      <c r="L3" s="4" t="str">
        <f t="shared" ref="L3:L66" si="0">IF(IFERROR(FIND("ORD",A3,1),-1)&gt;0,"ORD","WBS")</f>
        <v>WBS</v>
      </c>
    </row>
    <row r="4" spans="1:12" x14ac:dyDescent="0.35">
      <c r="A4" s="6" t="s">
        <v>299</v>
      </c>
      <c r="B4" s="6" t="s">
        <v>12</v>
      </c>
      <c r="C4" s="7">
        <v>16500</v>
      </c>
      <c r="D4" s="7">
        <v>2600</v>
      </c>
      <c r="E4" s="7">
        <v>0</v>
      </c>
      <c r="F4" s="7">
        <v>2600</v>
      </c>
      <c r="G4" s="7">
        <v>13900</v>
      </c>
      <c r="H4" s="6" t="s">
        <v>8</v>
      </c>
      <c r="I4" s="6" t="s">
        <v>8</v>
      </c>
      <c r="J4" s="6">
        <v>2</v>
      </c>
      <c r="K4" s="6" t="s">
        <v>13</v>
      </c>
      <c r="L4" s="6" t="str">
        <f t="shared" si="0"/>
        <v>WBS</v>
      </c>
    </row>
    <row r="5" spans="1:12" x14ac:dyDescent="0.35">
      <c r="A5" s="8" t="s">
        <v>300</v>
      </c>
      <c r="B5" s="8" t="s">
        <v>14</v>
      </c>
      <c r="C5" s="9">
        <v>16500</v>
      </c>
      <c r="D5" s="9">
        <v>2600</v>
      </c>
      <c r="E5" s="9">
        <v>0</v>
      </c>
      <c r="F5" s="9">
        <v>2600</v>
      </c>
      <c r="G5" s="9">
        <v>13900</v>
      </c>
      <c r="H5" s="8" t="s">
        <v>8</v>
      </c>
      <c r="I5" s="8" t="s">
        <v>8</v>
      </c>
      <c r="J5" s="8">
        <v>3</v>
      </c>
      <c r="K5" s="8" t="s">
        <v>15</v>
      </c>
      <c r="L5" s="8" t="str">
        <f t="shared" si="0"/>
        <v>WBS</v>
      </c>
    </row>
    <row r="6" spans="1:12" x14ac:dyDescent="0.35">
      <c r="A6" s="1" t="s">
        <v>301</v>
      </c>
      <c r="B6" s="1" t="s">
        <v>16</v>
      </c>
      <c r="C6" s="2">
        <v>1000</v>
      </c>
      <c r="D6" s="2">
        <v>600</v>
      </c>
      <c r="E6" s="2">
        <v>0</v>
      </c>
      <c r="F6" s="2">
        <v>600</v>
      </c>
      <c r="G6" s="2">
        <v>400</v>
      </c>
      <c r="H6" s="1" t="s">
        <v>8</v>
      </c>
      <c r="I6" s="1" t="s">
        <v>8</v>
      </c>
      <c r="J6" s="1">
        <v>4</v>
      </c>
      <c r="K6" s="1" t="s">
        <v>17</v>
      </c>
      <c r="L6" s="1" t="str">
        <f t="shared" si="0"/>
        <v>WBS</v>
      </c>
    </row>
    <row r="7" spans="1:12" x14ac:dyDescent="0.35">
      <c r="A7" s="1" t="s">
        <v>302</v>
      </c>
      <c r="B7" s="1" t="s">
        <v>18</v>
      </c>
      <c r="C7" s="2">
        <v>2000</v>
      </c>
      <c r="D7" s="2">
        <v>2000</v>
      </c>
      <c r="E7" s="2">
        <v>0</v>
      </c>
      <c r="F7" s="2">
        <v>2000</v>
      </c>
      <c r="G7" s="2">
        <v>0</v>
      </c>
      <c r="H7" s="1" t="s">
        <v>8</v>
      </c>
      <c r="I7" s="1" t="s">
        <v>8</v>
      </c>
      <c r="J7" s="1">
        <v>4</v>
      </c>
      <c r="K7" s="1" t="s">
        <v>19</v>
      </c>
      <c r="L7" s="1" t="str">
        <f t="shared" si="0"/>
        <v>WBS</v>
      </c>
    </row>
    <row r="8" spans="1:12" x14ac:dyDescent="0.35">
      <c r="A8" s="1" t="s">
        <v>303</v>
      </c>
      <c r="B8" s="1" t="s">
        <v>20</v>
      </c>
      <c r="C8" s="2">
        <v>12000</v>
      </c>
      <c r="D8" s="2">
        <v>0</v>
      </c>
      <c r="E8" s="2">
        <v>0</v>
      </c>
      <c r="F8" s="2">
        <v>0</v>
      </c>
      <c r="G8" s="2">
        <v>12000</v>
      </c>
      <c r="H8" s="1" t="s">
        <v>8</v>
      </c>
      <c r="I8" s="1" t="s">
        <v>8</v>
      </c>
      <c r="J8" s="1">
        <v>4</v>
      </c>
      <c r="K8" s="1" t="s">
        <v>21</v>
      </c>
      <c r="L8" s="1" t="str">
        <f t="shared" si="0"/>
        <v>WBS</v>
      </c>
    </row>
    <row r="9" spans="1:12" x14ac:dyDescent="0.35">
      <c r="A9" s="1" t="s">
        <v>304</v>
      </c>
      <c r="B9" s="1" t="s">
        <v>22</v>
      </c>
      <c r="C9" s="2">
        <v>0</v>
      </c>
      <c r="D9" s="2">
        <v>0</v>
      </c>
      <c r="E9" s="2">
        <v>435200</v>
      </c>
      <c r="F9" s="2">
        <v>435200</v>
      </c>
      <c r="G9" s="2">
        <v>-435200</v>
      </c>
      <c r="H9" s="1" t="s">
        <v>8</v>
      </c>
      <c r="I9" s="1" t="s">
        <v>8</v>
      </c>
      <c r="J9" s="1">
        <v>4</v>
      </c>
      <c r="K9" s="1" t="s">
        <v>23</v>
      </c>
      <c r="L9" s="1" t="str">
        <f t="shared" si="0"/>
        <v>WBS</v>
      </c>
    </row>
    <row r="10" spans="1:12" x14ac:dyDescent="0.35">
      <c r="A10" s="1" t="s">
        <v>305</v>
      </c>
      <c r="B10" s="1" t="s">
        <v>24</v>
      </c>
      <c r="C10" s="2">
        <v>0</v>
      </c>
      <c r="D10" s="2">
        <v>0</v>
      </c>
      <c r="E10" s="2">
        <v>435200</v>
      </c>
      <c r="F10" s="2">
        <v>435200</v>
      </c>
      <c r="G10" s="2">
        <v>-435200</v>
      </c>
      <c r="H10" s="1" t="s">
        <v>8</v>
      </c>
      <c r="I10" s="1" t="s">
        <v>8</v>
      </c>
      <c r="J10" s="1">
        <v>5</v>
      </c>
      <c r="K10" s="1" t="s">
        <v>25</v>
      </c>
      <c r="L10" s="1" t="str">
        <f t="shared" si="0"/>
        <v>WBS</v>
      </c>
    </row>
    <row r="11" spans="1:12" x14ac:dyDescent="0.35">
      <c r="A11" s="1" t="s">
        <v>306</v>
      </c>
      <c r="B11" s="1" t="s">
        <v>22</v>
      </c>
      <c r="C11" s="2">
        <v>0</v>
      </c>
      <c r="D11" s="2">
        <v>0</v>
      </c>
      <c r="E11" s="2">
        <v>3</v>
      </c>
      <c r="F11" s="2">
        <v>3</v>
      </c>
      <c r="G11" s="2">
        <v>-3</v>
      </c>
      <c r="H11" s="1" t="s">
        <v>8</v>
      </c>
      <c r="I11" s="1" t="s">
        <v>8</v>
      </c>
      <c r="J11" s="1">
        <v>4</v>
      </c>
      <c r="K11" s="1" t="s">
        <v>26</v>
      </c>
      <c r="L11" s="1" t="str">
        <f t="shared" si="0"/>
        <v>WBS</v>
      </c>
    </row>
    <row r="12" spans="1:12" x14ac:dyDescent="0.35">
      <c r="A12" s="1" t="s">
        <v>307</v>
      </c>
      <c r="B12" s="1" t="s">
        <v>27</v>
      </c>
      <c r="C12" s="2">
        <v>0</v>
      </c>
      <c r="D12" s="2">
        <v>0</v>
      </c>
      <c r="E12" s="2">
        <v>3</v>
      </c>
      <c r="F12" s="2">
        <v>3</v>
      </c>
      <c r="G12" s="2">
        <v>-3</v>
      </c>
      <c r="H12" s="1" t="s">
        <v>8</v>
      </c>
      <c r="I12" s="1" t="s">
        <v>8</v>
      </c>
      <c r="J12" s="1">
        <v>5</v>
      </c>
      <c r="K12" s="1" t="s">
        <v>28</v>
      </c>
      <c r="L12" s="1" t="str">
        <f t="shared" si="0"/>
        <v>WBS</v>
      </c>
    </row>
    <row r="13" spans="1:12" x14ac:dyDescent="0.35">
      <c r="A13" s="4" t="s">
        <v>29</v>
      </c>
      <c r="B13" s="4" t="s">
        <v>30</v>
      </c>
      <c r="C13" s="5">
        <v>0</v>
      </c>
      <c r="D13" s="5">
        <v>-2818</v>
      </c>
      <c r="E13" s="5">
        <v>0</v>
      </c>
      <c r="F13" s="5">
        <v>-2818</v>
      </c>
      <c r="G13" s="5">
        <v>2818</v>
      </c>
      <c r="H13" s="4" t="s">
        <v>11</v>
      </c>
      <c r="I13" s="4" t="s">
        <v>11</v>
      </c>
      <c r="J13" s="4">
        <v>1</v>
      </c>
      <c r="K13" s="4" t="s">
        <v>29</v>
      </c>
      <c r="L13" s="4" t="str">
        <f t="shared" si="0"/>
        <v>WBS</v>
      </c>
    </row>
    <row r="14" spans="1:12" x14ac:dyDescent="0.35">
      <c r="A14" s="6" t="s">
        <v>308</v>
      </c>
      <c r="B14" s="6" t="s">
        <v>30</v>
      </c>
      <c r="C14" s="7">
        <v>0</v>
      </c>
      <c r="D14" s="7">
        <v>-2818</v>
      </c>
      <c r="E14" s="7">
        <v>0</v>
      </c>
      <c r="F14" s="7">
        <v>-2818</v>
      </c>
      <c r="G14" s="7">
        <v>2818</v>
      </c>
      <c r="H14" s="6" t="s">
        <v>8</v>
      </c>
      <c r="I14" s="6" t="s">
        <v>8</v>
      </c>
      <c r="J14" s="6">
        <v>2</v>
      </c>
      <c r="K14" s="6" t="s">
        <v>31</v>
      </c>
      <c r="L14" s="6" t="str">
        <f t="shared" si="0"/>
        <v>WBS</v>
      </c>
    </row>
    <row r="15" spans="1:12" x14ac:dyDescent="0.35">
      <c r="A15" s="8" t="s">
        <v>309</v>
      </c>
      <c r="B15" s="8" t="s">
        <v>30</v>
      </c>
      <c r="C15" s="9">
        <v>0</v>
      </c>
      <c r="D15" s="9">
        <v>-2818</v>
      </c>
      <c r="E15" s="9">
        <v>0</v>
      </c>
      <c r="F15" s="9">
        <v>-2818</v>
      </c>
      <c r="G15" s="9">
        <v>2818</v>
      </c>
      <c r="H15" s="8" t="s">
        <v>8</v>
      </c>
      <c r="I15" s="8" t="s">
        <v>8</v>
      </c>
      <c r="J15" s="8">
        <v>3</v>
      </c>
      <c r="K15" s="8" t="s">
        <v>32</v>
      </c>
      <c r="L15" s="8" t="str">
        <f t="shared" si="0"/>
        <v>WBS</v>
      </c>
    </row>
    <row r="16" spans="1:12" x14ac:dyDescent="0.35">
      <c r="A16" s="1" t="s">
        <v>310</v>
      </c>
      <c r="B16" s="1" t="s">
        <v>33</v>
      </c>
      <c r="C16" s="2">
        <v>0</v>
      </c>
      <c r="D16" s="2">
        <v>-2818</v>
      </c>
      <c r="E16" s="2">
        <v>0</v>
      </c>
      <c r="F16" s="2">
        <v>-2818</v>
      </c>
      <c r="G16" s="2">
        <v>2818</v>
      </c>
      <c r="H16" s="1" t="s">
        <v>35</v>
      </c>
      <c r="I16" s="1" t="s">
        <v>36</v>
      </c>
      <c r="J16" s="1">
        <v>4</v>
      </c>
      <c r="K16" s="1" t="s">
        <v>34</v>
      </c>
      <c r="L16" s="1" t="str">
        <f t="shared" si="0"/>
        <v>WBS</v>
      </c>
    </row>
    <row r="17" spans="1:12" x14ac:dyDescent="0.35">
      <c r="A17" s="1" t="s">
        <v>311</v>
      </c>
      <c r="B17" s="1" t="s">
        <v>27</v>
      </c>
      <c r="C17" s="2">
        <v>0</v>
      </c>
      <c r="D17" s="2">
        <v>-2818</v>
      </c>
      <c r="E17" s="2">
        <v>0</v>
      </c>
      <c r="F17" s="2">
        <v>-2818</v>
      </c>
      <c r="G17" s="2">
        <v>2818</v>
      </c>
      <c r="H17" s="1" t="s">
        <v>35</v>
      </c>
      <c r="I17" s="1" t="s">
        <v>36</v>
      </c>
      <c r="J17" s="1">
        <v>5</v>
      </c>
      <c r="K17" s="1" t="s">
        <v>37</v>
      </c>
      <c r="L17" s="1" t="str">
        <f t="shared" si="0"/>
        <v>WBS</v>
      </c>
    </row>
    <row r="18" spans="1:12" x14ac:dyDescent="0.35">
      <c r="A18" s="4" t="s">
        <v>38</v>
      </c>
      <c r="B18" s="4" t="s">
        <v>39</v>
      </c>
      <c r="C18" s="5">
        <v>0</v>
      </c>
      <c r="D18" s="5">
        <v>52000</v>
      </c>
      <c r="E18" s="5">
        <v>0</v>
      </c>
      <c r="F18" s="5">
        <v>52000</v>
      </c>
      <c r="G18" s="5">
        <v>-52000</v>
      </c>
      <c r="H18" s="4" t="s">
        <v>11</v>
      </c>
      <c r="I18" s="4" t="s">
        <v>11</v>
      </c>
      <c r="J18" s="4">
        <v>1</v>
      </c>
      <c r="K18" s="4" t="s">
        <v>38</v>
      </c>
      <c r="L18" s="4" t="str">
        <f t="shared" si="0"/>
        <v>WBS</v>
      </c>
    </row>
    <row r="19" spans="1:12" x14ac:dyDescent="0.35">
      <c r="A19" s="6" t="s">
        <v>312</v>
      </c>
      <c r="B19" s="6" t="s">
        <v>39</v>
      </c>
      <c r="C19" s="7">
        <v>0</v>
      </c>
      <c r="D19" s="7">
        <v>52000</v>
      </c>
      <c r="E19" s="7">
        <v>0</v>
      </c>
      <c r="F19" s="7">
        <v>52000</v>
      </c>
      <c r="G19" s="7">
        <v>-52000</v>
      </c>
      <c r="H19" s="6" t="s">
        <v>8</v>
      </c>
      <c r="I19" s="6" t="s">
        <v>8</v>
      </c>
      <c r="J19" s="6">
        <v>2</v>
      </c>
      <c r="K19" s="6" t="s">
        <v>40</v>
      </c>
      <c r="L19" s="6" t="str">
        <f t="shared" si="0"/>
        <v>WBS</v>
      </c>
    </row>
    <row r="20" spans="1:12" x14ac:dyDescent="0.35">
      <c r="A20" s="8" t="s">
        <v>313</v>
      </c>
      <c r="B20" s="8" t="s">
        <v>39</v>
      </c>
      <c r="C20" s="9">
        <v>0</v>
      </c>
      <c r="D20" s="9">
        <v>52000</v>
      </c>
      <c r="E20" s="9">
        <v>0</v>
      </c>
      <c r="F20" s="9">
        <v>52000</v>
      </c>
      <c r="G20" s="9">
        <v>-52000</v>
      </c>
      <c r="H20" s="8" t="s">
        <v>8</v>
      </c>
      <c r="I20" s="8" t="s">
        <v>8</v>
      </c>
      <c r="J20" s="8">
        <v>3</v>
      </c>
      <c r="K20" s="8" t="s">
        <v>41</v>
      </c>
      <c r="L20" s="8" t="str">
        <f t="shared" si="0"/>
        <v>WBS</v>
      </c>
    </row>
    <row r="21" spans="1:12" x14ac:dyDescent="0.35">
      <c r="A21" s="1" t="s">
        <v>314</v>
      </c>
      <c r="B21" s="1" t="s">
        <v>42</v>
      </c>
      <c r="C21" s="2">
        <v>0</v>
      </c>
      <c r="D21" s="2">
        <v>52000</v>
      </c>
      <c r="E21" s="2">
        <v>0</v>
      </c>
      <c r="F21" s="2">
        <v>52000</v>
      </c>
      <c r="G21" s="2">
        <v>-52000</v>
      </c>
      <c r="H21" s="1" t="s">
        <v>35</v>
      </c>
      <c r="I21" s="1" t="s">
        <v>36</v>
      </c>
      <c r="J21" s="1">
        <v>4</v>
      </c>
      <c r="K21" s="1" t="s">
        <v>43</v>
      </c>
      <c r="L21" s="1" t="str">
        <f t="shared" si="0"/>
        <v>WBS</v>
      </c>
    </row>
    <row r="22" spans="1:12" x14ac:dyDescent="0.35">
      <c r="A22" s="1" t="s">
        <v>315</v>
      </c>
      <c r="B22" s="1" t="s">
        <v>44</v>
      </c>
      <c r="C22" s="2">
        <v>0</v>
      </c>
      <c r="D22" s="2">
        <v>52000</v>
      </c>
      <c r="E22" s="2">
        <v>0</v>
      </c>
      <c r="F22" s="2">
        <v>52000</v>
      </c>
      <c r="G22" s="2">
        <v>-52000</v>
      </c>
      <c r="H22" s="1" t="s">
        <v>35</v>
      </c>
      <c r="I22" s="1" t="s">
        <v>36</v>
      </c>
      <c r="J22" s="1">
        <v>5</v>
      </c>
      <c r="K22" s="1" t="s">
        <v>45</v>
      </c>
      <c r="L22" s="1" t="str">
        <f t="shared" si="0"/>
        <v>WBS</v>
      </c>
    </row>
    <row r="23" spans="1:12" x14ac:dyDescent="0.35">
      <c r="A23" s="4" t="s">
        <v>46</v>
      </c>
      <c r="B23" s="4" t="s">
        <v>47</v>
      </c>
      <c r="C23" s="5">
        <v>0</v>
      </c>
      <c r="D23" s="5">
        <v>2371258</v>
      </c>
      <c r="E23" s="5">
        <v>0</v>
      </c>
      <c r="F23" s="5">
        <v>2371258</v>
      </c>
      <c r="G23" s="5">
        <v>-2371258</v>
      </c>
      <c r="H23" s="4" t="s">
        <v>11</v>
      </c>
      <c r="I23" s="4" t="s">
        <v>11</v>
      </c>
      <c r="J23" s="4">
        <v>1</v>
      </c>
      <c r="K23" s="4" t="s">
        <v>46</v>
      </c>
      <c r="L23" s="4" t="str">
        <f t="shared" si="0"/>
        <v>WBS</v>
      </c>
    </row>
    <row r="24" spans="1:12" x14ac:dyDescent="0.35">
      <c r="A24" s="6" t="s">
        <v>316</v>
      </c>
      <c r="B24" s="6" t="s">
        <v>47</v>
      </c>
      <c r="C24" s="7">
        <v>0</v>
      </c>
      <c r="D24" s="7">
        <v>2371258</v>
      </c>
      <c r="E24" s="7">
        <v>0</v>
      </c>
      <c r="F24" s="7">
        <v>2371258</v>
      </c>
      <c r="G24" s="7">
        <v>-2371258</v>
      </c>
      <c r="H24" s="6" t="s">
        <v>8</v>
      </c>
      <c r="I24" s="6" t="s">
        <v>8</v>
      </c>
      <c r="J24" s="6">
        <v>2</v>
      </c>
      <c r="K24" s="6" t="s">
        <v>48</v>
      </c>
      <c r="L24" s="6" t="str">
        <f t="shared" si="0"/>
        <v>WBS</v>
      </c>
    </row>
    <row r="25" spans="1:12" x14ac:dyDescent="0.35">
      <c r="A25" s="8" t="s">
        <v>317</v>
      </c>
      <c r="B25" s="8" t="s">
        <v>49</v>
      </c>
      <c r="C25" s="9">
        <v>0</v>
      </c>
      <c r="D25" s="9">
        <v>2371258</v>
      </c>
      <c r="E25" s="9">
        <v>0</v>
      </c>
      <c r="F25" s="9">
        <v>2371258</v>
      </c>
      <c r="G25" s="9">
        <v>-2371258</v>
      </c>
      <c r="H25" s="8" t="s">
        <v>8</v>
      </c>
      <c r="I25" s="8" t="s">
        <v>8</v>
      </c>
      <c r="J25" s="8">
        <v>3</v>
      </c>
      <c r="K25" s="8" t="s">
        <v>50</v>
      </c>
      <c r="L25" s="8" t="str">
        <f t="shared" si="0"/>
        <v>WBS</v>
      </c>
    </row>
    <row r="26" spans="1:12" x14ac:dyDescent="0.35">
      <c r="A26" s="1" t="s">
        <v>318</v>
      </c>
      <c r="B26" s="1" t="s">
        <v>20</v>
      </c>
      <c r="C26" s="2">
        <v>0</v>
      </c>
      <c r="D26" s="2">
        <v>2371258</v>
      </c>
      <c r="E26" s="2">
        <v>0</v>
      </c>
      <c r="F26" s="2">
        <v>2371258</v>
      </c>
      <c r="G26" s="2">
        <v>-2371258</v>
      </c>
      <c r="H26" s="1" t="s">
        <v>8</v>
      </c>
      <c r="I26" s="1" t="s">
        <v>8</v>
      </c>
      <c r="J26" s="1">
        <v>4</v>
      </c>
      <c r="K26" s="1" t="s">
        <v>51</v>
      </c>
      <c r="L26" s="1" t="str">
        <f t="shared" si="0"/>
        <v>WBS</v>
      </c>
    </row>
    <row r="27" spans="1:12" x14ac:dyDescent="0.35">
      <c r="A27" s="1" t="s">
        <v>319</v>
      </c>
      <c r="B27" s="1" t="s">
        <v>52</v>
      </c>
      <c r="C27" s="2">
        <v>0</v>
      </c>
      <c r="D27" s="2">
        <v>2341</v>
      </c>
      <c r="E27" s="2">
        <v>0</v>
      </c>
      <c r="F27" s="2">
        <v>2341</v>
      </c>
      <c r="G27" s="2">
        <v>-2341</v>
      </c>
      <c r="H27" s="1" t="s">
        <v>8</v>
      </c>
      <c r="I27" s="1" t="s">
        <v>8</v>
      </c>
      <c r="J27" s="1">
        <v>5</v>
      </c>
      <c r="K27" s="1" t="s">
        <v>53</v>
      </c>
      <c r="L27" s="1" t="str">
        <f t="shared" si="0"/>
        <v>WBS</v>
      </c>
    </row>
    <row r="28" spans="1:12" x14ac:dyDescent="0.35">
      <c r="A28" s="1" t="s">
        <v>320</v>
      </c>
      <c r="B28" s="1" t="s">
        <v>54</v>
      </c>
      <c r="C28" s="2">
        <v>0</v>
      </c>
      <c r="D28" s="2">
        <v>2368917</v>
      </c>
      <c r="E28" s="2">
        <v>0</v>
      </c>
      <c r="F28" s="2">
        <v>2368917</v>
      </c>
      <c r="G28" s="2">
        <v>-2368917</v>
      </c>
      <c r="H28" s="1" t="s">
        <v>8</v>
      </c>
      <c r="I28" s="1" t="s">
        <v>8</v>
      </c>
      <c r="J28" s="1">
        <v>5</v>
      </c>
      <c r="K28" s="1" t="s">
        <v>55</v>
      </c>
      <c r="L28" s="1" t="str">
        <f t="shared" si="0"/>
        <v>WBS</v>
      </c>
    </row>
    <row r="29" spans="1:12" x14ac:dyDescent="0.35">
      <c r="A29" s="4" t="s">
        <v>56</v>
      </c>
      <c r="B29" s="4" t="s">
        <v>57</v>
      </c>
      <c r="C29" s="5">
        <v>10000000</v>
      </c>
      <c r="D29" s="5">
        <v>3015</v>
      </c>
      <c r="E29" s="5">
        <v>0</v>
      </c>
      <c r="F29" s="5">
        <v>3015</v>
      </c>
      <c r="G29" s="5">
        <v>9996985</v>
      </c>
      <c r="H29" s="4" t="s">
        <v>11</v>
      </c>
      <c r="I29" s="4" t="s">
        <v>11</v>
      </c>
      <c r="J29" s="4">
        <v>1</v>
      </c>
      <c r="K29" s="4" t="s">
        <v>56</v>
      </c>
      <c r="L29" s="4" t="str">
        <f t="shared" si="0"/>
        <v>WBS</v>
      </c>
    </row>
    <row r="30" spans="1:12" x14ac:dyDescent="0.35">
      <c r="A30" s="6" t="s">
        <v>321</v>
      </c>
      <c r="B30" s="6" t="s">
        <v>57</v>
      </c>
      <c r="C30" s="7">
        <v>10000000</v>
      </c>
      <c r="D30" s="7">
        <v>3015</v>
      </c>
      <c r="E30" s="7">
        <v>0</v>
      </c>
      <c r="F30" s="7">
        <v>3015</v>
      </c>
      <c r="G30" s="7">
        <v>9996985</v>
      </c>
      <c r="H30" s="6" t="s">
        <v>8</v>
      </c>
      <c r="I30" s="6" t="s">
        <v>8</v>
      </c>
      <c r="J30" s="6">
        <v>2</v>
      </c>
      <c r="K30" s="6" t="s">
        <v>58</v>
      </c>
      <c r="L30" s="6" t="str">
        <f t="shared" si="0"/>
        <v>WBS</v>
      </c>
    </row>
    <row r="31" spans="1:12" x14ac:dyDescent="0.35">
      <c r="A31" s="4" t="s">
        <v>59</v>
      </c>
      <c r="B31" s="4" t="s">
        <v>60</v>
      </c>
      <c r="C31" s="5">
        <v>1000000</v>
      </c>
      <c r="D31" s="5">
        <v>200</v>
      </c>
      <c r="E31" s="5">
        <v>0</v>
      </c>
      <c r="F31" s="5">
        <v>200</v>
      </c>
      <c r="G31" s="5">
        <v>999800</v>
      </c>
      <c r="H31" s="4" t="s">
        <v>11</v>
      </c>
      <c r="I31" s="4" t="s">
        <v>11</v>
      </c>
      <c r="J31" s="4">
        <v>1</v>
      </c>
      <c r="K31" s="4" t="s">
        <v>59</v>
      </c>
      <c r="L31" s="4" t="str">
        <f t="shared" si="0"/>
        <v>WBS</v>
      </c>
    </row>
    <row r="32" spans="1:12" ht="30" customHeight="1" x14ac:dyDescent="0.35">
      <c r="A32" s="6" t="s">
        <v>322</v>
      </c>
      <c r="B32" s="6" t="s">
        <v>61</v>
      </c>
      <c r="C32" s="7">
        <v>1000000</v>
      </c>
      <c r="D32" s="7">
        <v>200</v>
      </c>
      <c r="E32" s="7">
        <v>0</v>
      </c>
      <c r="F32" s="7">
        <v>200</v>
      </c>
      <c r="G32" s="7">
        <v>999800</v>
      </c>
      <c r="H32" s="6" t="s">
        <v>8</v>
      </c>
      <c r="I32" s="6" t="s">
        <v>8</v>
      </c>
      <c r="J32" s="6">
        <v>2</v>
      </c>
      <c r="K32" s="6" t="s">
        <v>62</v>
      </c>
      <c r="L32" s="6" t="str">
        <f t="shared" si="0"/>
        <v>WBS</v>
      </c>
    </row>
    <row r="33" spans="1:12" x14ac:dyDescent="0.35">
      <c r="A33" s="8" t="s">
        <v>323</v>
      </c>
      <c r="B33" s="8" t="s">
        <v>63</v>
      </c>
      <c r="C33" s="9">
        <v>500000</v>
      </c>
      <c r="D33" s="9">
        <v>200</v>
      </c>
      <c r="E33" s="9">
        <v>0</v>
      </c>
      <c r="F33" s="9">
        <v>200</v>
      </c>
      <c r="G33" s="9">
        <v>499800</v>
      </c>
      <c r="H33" s="8" t="s">
        <v>8</v>
      </c>
      <c r="I33" s="8" t="s">
        <v>8</v>
      </c>
      <c r="J33" s="8">
        <v>3</v>
      </c>
      <c r="K33" s="8" t="s">
        <v>64</v>
      </c>
      <c r="L33" s="8" t="str">
        <f t="shared" si="0"/>
        <v>WBS</v>
      </c>
    </row>
    <row r="34" spans="1:12" x14ac:dyDescent="0.35">
      <c r="A34" s="8" t="s">
        <v>324</v>
      </c>
      <c r="B34" s="8" t="s">
        <v>65</v>
      </c>
      <c r="C34" s="9">
        <v>400000</v>
      </c>
      <c r="D34" s="9">
        <v>0</v>
      </c>
      <c r="E34" s="9">
        <v>0</v>
      </c>
      <c r="F34" s="9">
        <v>0</v>
      </c>
      <c r="G34" s="9">
        <v>400000</v>
      </c>
      <c r="H34" s="8" t="s">
        <v>8</v>
      </c>
      <c r="I34" s="8" t="s">
        <v>8</v>
      </c>
      <c r="J34" s="8">
        <v>3</v>
      </c>
      <c r="K34" s="8" t="s">
        <v>66</v>
      </c>
      <c r="L34" s="8" t="str">
        <f t="shared" si="0"/>
        <v>WBS</v>
      </c>
    </row>
    <row r="35" spans="1:12" x14ac:dyDescent="0.35">
      <c r="A35" s="4" t="s">
        <v>67</v>
      </c>
      <c r="B35" s="4" t="s">
        <v>68</v>
      </c>
      <c r="C35" s="5">
        <v>0</v>
      </c>
      <c r="D35" s="5">
        <v>3100</v>
      </c>
      <c r="E35" s="5">
        <v>2855</v>
      </c>
      <c r="F35" s="5">
        <v>5955</v>
      </c>
      <c r="G35" s="5">
        <v>-5955</v>
      </c>
      <c r="H35" s="4" t="s">
        <v>11</v>
      </c>
      <c r="I35" s="4" t="s">
        <v>11</v>
      </c>
      <c r="J35" s="4">
        <v>1</v>
      </c>
      <c r="K35" s="4" t="s">
        <v>67</v>
      </c>
      <c r="L35" s="4" t="str">
        <f t="shared" si="0"/>
        <v>WBS</v>
      </c>
    </row>
    <row r="36" spans="1:12" x14ac:dyDescent="0.35">
      <c r="A36" s="6" t="s">
        <v>325</v>
      </c>
      <c r="B36" s="6" t="s">
        <v>68</v>
      </c>
      <c r="C36" s="7">
        <v>0</v>
      </c>
      <c r="D36" s="7">
        <v>3100</v>
      </c>
      <c r="E36" s="7">
        <v>2855</v>
      </c>
      <c r="F36" s="7">
        <v>5955</v>
      </c>
      <c r="G36" s="7">
        <v>-5955</v>
      </c>
      <c r="H36" s="6" t="s">
        <v>8</v>
      </c>
      <c r="I36" s="6" t="s">
        <v>8</v>
      </c>
      <c r="J36" s="6">
        <v>2</v>
      </c>
      <c r="K36" s="6" t="s">
        <v>69</v>
      </c>
      <c r="L36" s="6" t="str">
        <f t="shared" si="0"/>
        <v>WBS</v>
      </c>
    </row>
    <row r="37" spans="1:12" x14ac:dyDescent="0.35">
      <c r="A37" s="4" t="s">
        <v>70</v>
      </c>
      <c r="B37" s="4" t="s">
        <v>71</v>
      </c>
      <c r="C37" s="5">
        <v>0</v>
      </c>
      <c r="D37" s="5">
        <v>58103</v>
      </c>
      <c r="E37" s="5">
        <v>0</v>
      </c>
      <c r="F37" s="5">
        <v>60364</v>
      </c>
      <c r="G37" s="5">
        <v>-60364</v>
      </c>
      <c r="H37" s="4" t="s">
        <v>11</v>
      </c>
      <c r="I37" s="4" t="s">
        <v>11</v>
      </c>
      <c r="J37" s="4">
        <v>1</v>
      </c>
      <c r="K37" s="4" t="s">
        <v>70</v>
      </c>
      <c r="L37" s="4" t="str">
        <f t="shared" si="0"/>
        <v>WBS</v>
      </c>
    </row>
    <row r="38" spans="1:12" x14ac:dyDescent="0.35">
      <c r="A38" s="6" t="s">
        <v>326</v>
      </c>
      <c r="B38" s="6" t="s">
        <v>71</v>
      </c>
      <c r="C38" s="7">
        <v>0</v>
      </c>
      <c r="D38" s="7">
        <v>58103</v>
      </c>
      <c r="E38" s="7">
        <v>0</v>
      </c>
      <c r="F38" s="7">
        <v>60364</v>
      </c>
      <c r="G38" s="7">
        <v>-60364</v>
      </c>
      <c r="H38" s="6" t="s">
        <v>8</v>
      </c>
      <c r="I38" s="6" t="s">
        <v>8</v>
      </c>
      <c r="J38" s="6">
        <v>2</v>
      </c>
      <c r="K38" s="6" t="s">
        <v>72</v>
      </c>
      <c r="L38" s="6" t="str">
        <f t="shared" si="0"/>
        <v>WBS</v>
      </c>
    </row>
    <row r="39" spans="1:12" x14ac:dyDescent="0.35">
      <c r="A39" s="8" t="s">
        <v>327</v>
      </c>
      <c r="B39" s="8" t="s">
        <v>73</v>
      </c>
      <c r="C39" s="9">
        <v>0</v>
      </c>
      <c r="D39" s="9">
        <v>0</v>
      </c>
      <c r="E39" s="9">
        <v>0</v>
      </c>
      <c r="F39" s="9">
        <v>200</v>
      </c>
      <c r="G39" s="9">
        <v>-200</v>
      </c>
      <c r="H39" s="8" t="s">
        <v>8</v>
      </c>
      <c r="I39" s="8" t="s">
        <v>8</v>
      </c>
      <c r="J39" s="8">
        <v>3</v>
      </c>
      <c r="K39" s="8" t="s">
        <v>74</v>
      </c>
      <c r="L39" s="8" t="str">
        <f t="shared" si="0"/>
        <v>WBS</v>
      </c>
    </row>
    <row r="40" spans="1:12" x14ac:dyDescent="0.35">
      <c r="A40" s="1" t="s">
        <v>75</v>
      </c>
      <c r="B40" s="1" t="s">
        <v>76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 t="s">
        <v>11</v>
      </c>
      <c r="I40" s="1" t="s">
        <v>11</v>
      </c>
      <c r="J40" s="1">
        <v>4</v>
      </c>
      <c r="K40" s="1" t="s">
        <v>77</v>
      </c>
      <c r="L40" s="1" t="str">
        <f t="shared" si="0"/>
        <v>ORD</v>
      </c>
    </row>
    <row r="41" spans="1:12" x14ac:dyDescent="0.35">
      <c r="A41" s="1" t="s">
        <v>78</v>
      </c>
      <c r="B41" s="1" t="s">
        <v>79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 t="s">
        <v>11</v>
      </c>
      <c r="I41" s="1" t="s">
        <v>11</v>
      </c>
      <c r="J41" s="1">
        <v>4</v>
      </c>
      <c r="K41" s="1" t="s">
        <v>80</v>
      </c>
      <c r="L41" s="1" t="str">
        <f t="shared" si="0"/>
        <v>ORD</v>
      </c>
    </row>
    <row r="42" spans="1:12" x14ac:dyDescent="0.35">
      <c r="A42" s="8" t="s">
        <v>328</v>
      </c>
      <c r="B42" s="8" t="s">
        <v>81</v>
      </c>
      <c r="C42" s="9">
        <v>0</v>
      </c>
      <c r="D42" s="9">
        <v>58103</v>
      </c>
      <c r="E42" s="9">
        <v>0</v>
      </c>
      <c r="F42" s="9">
        <v>60164</v>
      </c>
      <c r="G42" s="9">
        <v>-60164</v>
      </c>
      <c r="H42" s="8" t="s">
        <v>8</v>
      </c>
      <c r="I42" s="8" t="s">
        <v>8</v>
      </c>
      <c r="J42" s="8">
        <v>3</v>
      </c>
      <c r="K42" s="8" t="s">
        <v>82</v>
      </c>
      <c r="L42" s="8" t="str">
        <f t="shared" si="0"/>
        <v>WBS</v>
      </c>
    </row>
    <row r="43" spans="1:12" x14ac:dyDescent="0.35">
      <c r="A43" s="1" t="s">
        <v>83</v>
      </c>
      <c r="B43" s="1" t="s">
        <v>84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 t="s">
        <v>11</v>
      </c>
      <c r="I43" s="1" t="s">
        <v>11</v>
      </c>
      <c r="J43" s="1">
        <v>4</v>
      </c>
      <c r="K43" s="1" t="s">
        <v>85</v>
      </c>
      <c r="L43" s="1" t="str">
        <f t="shared" si="0"/>
        <v>ORD</v>
      </c>
    </row>
    <row r="44" spans="1:12" x14ac:dyDescent="0.35">
      <c r="A44" s="1" t="s">
        <v>86</v>
      </c>
      <c r="B44" s="1" t="s">
        <v>87</v>
      </c>
      <c r="C44" s="2">
        <v>0</v>
      </c>
      <c r="D44" s="2">
        <v>58103</v>
      </c>
      <c r="E44" s="2">
        <v>0</v>
      </c>
      <c r="F44" s="2">
        <v>58103</v>
      </c>
      <c r="G44" s="2">
        <v>-58103</v>
      </c>
      <c r="H44" s="1" t="s">
        <v>11</v>
      </c>
      <c r="I44" s="1" t="s">
        <v>11</v>
      </c>
      <c r="J44" s="1">
        <v>4</v>
      </c>
      <c r="K44" s="1" t="s">
        <v>88</v>
      </c>
      <c r="L44" s="1" t="str">
        <f t="shared" si="0"/>
        <v>ORD</v>
      </c>
    </row>
    <row r="45" spans="1:12" x14ac:dyDescent="0.35">
      <c r="A45" s="1" t="s">
        <v>89</v>
      </c>
      <c r="B45" s="1" t="s">
        <v>90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 t="s">
        <v>11</v>
      </c>
      <c r="I45" s="1" t="s">
        <v>11</v>
      </c>
      <c r="J45" s="1">
        <v>4</v>
      </c>
      <c r="K45" s="1" t="s">
        <v>91</v>
      </c>
      <c r="L45" s="1" t="str">
        <f t="shared" si="0"/>
        <v>ORD</v>
      </c>
    </row>
    <row r="46" spans="1:12" x14ac:dyDescent="0.35">
      <c r="A46" s="4" t="s">
        <v>92</v>
      </c>
      <c r="B46" s="4" t="s">
        <v>93</v>
      </c>
      <c r="C46" s="5">
        <v>0</v>
      </c>
      <c r="D46" s="5">
        <v>-6146</v>
      </c>
      <c r="E46" s="5">
        <v>0</v>
      </c>
      <c r="F46" s="5">
        <v>460879</v>
      </c>
      <c r="G46" s="5">
        <v>-460879</v>
      </c>
      <c r="H46" s="4" t="s">
        <v>11</v>
      </c>
      <c r="I46" s="4" t="s">
        <v>11</v>
      </c>
      <c r="J46" s="4">
        <v>1</v>
      </c>
      <c r="K46" s="4" t="s">
        <v>92</v>
      </c>
      <c r="L46" s="4" t="str">
        <f t="shared" si="0"/>
        <v>WBS</v>
      </c>
    </row>
    <row r="47" spans="1:12" x14ac:dyDescent="0.35">
      <c r="A47" s="6" t="s">
        <v>329</v>
      </c>
      <c r="B47" s="6" t="s">
        <v>93</v>
      </c>
      <c r="C47" s="7">
        <v>0</v>
      </c>
      <c r="D47" s="7">
        <v>-6146</v>
      </c>
      <c r="E47" s="7">
        <v>0</v>
      </c>
      <c r="F47" s="7">
        <v>460879</v>
      </c>
      <c r="G47" s="7">
        <v>-460879</v>
      </c>
      <c r="H47" s="6" t="s">
        <v>8</v>
      </c>
      <c r="I47" s="6" t="s">
        <v>8</v>
      </c>
      <c r="J47" s="6">
        <v>2</v>
      </c>
      <c r="K47" s="6" t="s">
        <v>94</v>
      </c>
      <c r="L47" s="6" t="str">
        <f t="shared" si="0"/>
        <v>WBS</v>
      </c>
    </row>
    <row r="48" spans="1:12" x14ac:dyDescent="0.35">
      <c r="A48" s="8" t="s">
        <v>95</v>
      </c>
      <c r="B48" s="8" t="s">
        <v>96</v>
      </c>
      <c r="C48" s="9">
        <v>0</v>
      </c>
      <c r="D48" s="9">
        <v>60</v>
      </c>
      <c r="E48" s="9">
        <v>0</v>
      </c>
      <c r="F48" s="9">
        <v>60</v>
      </c>
      <c r="G48" s="9">
        <v>-60</v>
      </c>
      <c r="H48" s="8" t="s">
        <v>11</v>
      </c>
      <c r="I48" s="8" t="s">
        <v>11</v>
      </c>
      <c r="J48" s="8">
        <v>3</v>
      </c>
      <c r="K48" s="8" t="s">
        <v>97</v>
      </c>
      <c r="L48" s="8" t="str">
        <f t="shared" si="0"/>
        <v>ORD</v>
      </c>
    </row>
    <row r="49" spans="1:12" x14ac:dyDescent="0.35">
      <c r="A49" s="8" t="s">
        <v>330</v>
      </c>
      <c r="B49" s="8" t="s">
        <v>98</v>
      </c>
      <c r="C49" s="9">
        <v>0</v>
      </c>
      <c r="D49" s="9">
        <v>-6626</v>
      </c>
      <c r="E49" s="9">
        <v>0</v>
      </c>
      <c r="F49" s="9">
        <v>147977</v>
      </c>
      <c r="G49" s="9">
        <v>-147977</v>
      </c>
      <c r="H49" s="8" t="s">
        <v>8</v>
      </c>
      <c r="I49" s="8" t="s">
        <v>8</v>
      </c>
      <c r="J49" s="8">
        <v>3</v>
      </c>
      <c r="K49" s="8" t="s">
        <v>99</v>
      </c>
      <c r="L49" s="8" t="str">
        <f t="shared" si="0"/>
        <v>WBS</v>
      </c>
    </row>
    <row r="50" spans="1:12" x14ac:dyDescent="0.35">
      <c r="A50" s="1" t="s">
        <v>100</v>
      </c>
      <c r="B50" s="1" t="s">
        <v>101</v>
      </c>
      <c r="C50" s="2">
        <v>0</v>
      </c>
      <c r="D50" s="2">
        <v>1374</v>
      </c>
      <c r="E50" s="2">
        <v>0</v>
      </c>
      <c r="F50" s="2">
        <v>1374</v>
      </c>
      <c r="G50" s="2">
        <v>-1374</v>
      </c>
      <c r="H50" s="1" t="s">
        <v>11</v>
      </c>
      <c r="I50" s="1" t="s">
        <v>11</v>
      </c>
      <c r="J50" s="1">
        <v>4</v>
      </c>
      <c r="K50" s="1" t="s">
        <v>102</v>
      </c>
      <c r="L50" s="1" t="str">
        <f t="shared" si="0"/>
        <v>ORD</v>
      </c>
    </row>
    <row r="51" spans="1:12" x14ac:dyDescent="0.35">
      <c r="A51" s="1" t="s">
        <v>103</v>
      </c>
      <c r="B51" s="1" t="s">
        <v>104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 t="s">
        <v>11</v>
      </c>
      <c r="I51" s="1" t="s">
        <v>11</v>
      </c>
      <c r="J51" s="1">
        <v>4</v>
      </c>
      <c r="K51" s="1" t="s">
        <v>105</v>
      </c>
      <c r="L51" s="1" t="str">
        <f t="shared" si="0"/>
        <v>ORD</v>
      </c>
    </row>
    <row r="52" spans="1:12" x14ac:dyDescent="0.35">
      <c r="A52" s="1" t="s">
        <v>106</v>
      </c>
      <c r="B52" s="1" t="s">
        <v>107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 t="s">
        <v>11</v>
      </c>
      <c r="I52" s="1" t="s">
        <v>11</v>
      </c>
      <c r="J52" s="1">
        <v>4</v>
      </c>
      <c r="K52" s="1" t="s">
        <v>108</v>
      </c>
      <c r="L52" s="1" t="str">
        <f t="shared" si="0"/>
        <v>ORD</v>
      </c>
    </row>
    <row r="53" spans="1:12" x14ac:dyDescent="0.35">
      <c r="A53" s="1" t="s">
        <v>109</v>
      </c>
      <c r="B53" s="1" t="s">
        <v>110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 t="s">
        <v>11</v>
      </c>
      <c r="I53" s="1" t="s">
        <v>11</v>
      </c>
      <c r="J53" s="1">
        <v>4</v>
      </c>
      <c r="K53" s="1" t="s">
        <v>111</v>
      </c>
      <c r="L53" s="1" t="str">
        <f t="shared" si="0"/>
        <v>ORD</v>
      </c>
    </row>
    <row r="54" spans="1:12" x14ac:dyDescent="0.35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 t="s">
        <v>11</v>
      </c>
      <c r="I54" s="1" t="s">
        <v>11</v>
      </c>
      <c r="J54" s="1">
        <v>4</v>
      </c>
      <c r="K54" s="1" t="s">
        <v>114</v>
      </c>
      <c r="L54" s="1" t="str">
        <f t="shared" si="0"/>
        <v>ORD</v>
      </c>
    </row>
    <row r="55" spans="1:12" x14ac:dyDescent="0.35">
      <c r="A55" s="1" t="s">
        <v>115</v>
      </c>
      <c r="B55" s="1" t="s">
        <v>79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 t="s">
        <v>11</v>
      </c>
      <c r="I55" s="1" t="s">
        <v>11</v>
      </c>
      <c r="J55" s="1">
        <v>4</v>
      </c>
      <c r="K55" s="1" t="s">
        <v>116</v>
      </c>
      <c r="L55" s="1" t="str">
        <f t="shared" si="0"/>
        <v>ORD</v>
      </c>
    </row>
    <row r="56" spans="1:12" x14ac:dyDescent="0.35">
      <c r="A56" s="1" t="s">
        <v>117</v>
      </c>
      <c r="B56" s="1" t="s">
        <v>118</v>
      </c>
      <c r="C56" s="2">
        <v>0</v>
      </c>
      <c r="D56" s="2">
        <v>-8000</v>
      </c>
      <c r="E56" s="2">
        <v>0</v>
      </c>
      <c r="F56" s="2">
        <v>-8000</v>
      </c>
      <c r="G56" s="2">
        <v>8000</v>
      </c>
      <c r="H56" s="1" t="s">
        <v>11</v>
      </c>
      <c r="I56" s="1" t="s">
        <v>11</v>
      </c>
      <c r="J56" s="1">
        <v>4</v>
      </c>
      <c r="K56" s="1" t="s">
        <v>119</v>
      </c>
      <c r="L56" s="1" t="str">
        <f t="shared" si="0"/>
        <v>ORD</v>
      </c>
    </row>
    <row r="57" spans="1:12" x14ac:dyDescent="0.35">
      <c r="A57" s="8" t="s">
        <v>331</v>
      </c>
      <c r="B57" s="8" t="s">
        <v>120</v>
      </c>
      <c r="C57" s="9">
        <v>0</v>
      </c>
      <c r="D57" s="9">
        <v>0</v>
      </c>
      <c r="E57" s="9">
        <v>0</v>
      </c>
      <c r="F57" s="9">
        <v>311504</v>
      </c>
      <c r="G57" s="9">
        <v>-311504</v>
      </c>
      <c r="H57" s="8" t="s">
        <v>8</v>
      </c>
      <c r="I57" s="8" t="s">
        <v>8</v>
      </c>
      <c r="J57" s="8">
        <v>3</v>
      </c>
      <c r="K57" s="8" t="s">
        <v>121</v>
      </c>
      <c r="L57" s="8" t="str">
        <f t="shared" si="0"/>
        <v>WBS</v>
      </c>
    </row>
    <row r="58" spans="1:12" x14ac:dyDescent="0.35">
      <c r="A58" s="1" t="s">
        <v>122</v>
      </c>
      <c r="B58" s="1" t="s">
        <v>123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 t="s">
        <v>11</v>
      </c>
      <c r="I58" s="1" t="s">
        <v>11</v>
      </c>
      <c r="J58" s="1">
        <v>4</v>
      </c>
      <c r="K58" s="1" t="s">
        <v>124</v>
      </c>
      <c r="L58" s="1" t="str">
        <f t="shared" si="0"/>
        <v>ORD</v>
      </c>
    </row>
    <row r="59" spans="1:12" x14ac:dyDescent="0.35">
      <c r="A59" s="1" t="s">
        <v>125</v>
      </c>
      <c r="B59" s="1" t="s">
        <v>126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 t="s">
        <v>11</v>
      </c>
      <c r="I59" s="1" t="s">
        <v>11</v>
      </c>
      <c r="J59" s="1">
        <v>4</v>
      </c>
      <c r="K59" s="1" t="s">
        <v>127</v>
      </c>
      <c r="L59" s="1" t="str">
        <f t="shared" si="0"/>
        <v>ORD</v>
      </c>
    </row>
    <row r="60" spans="1:12" x14ac:dyDescent="0.35">
      <c r="A60" s="1" t="s">
        <v>128</v>
      </c>
      <c r="B60" s="1" t="s">
        <v>113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 t="s">
        <v>11</v>
      </c>
      <c r="I60" s="1" t="s">
        <v>11</v>
      </c>
      <c r="J60" s="1">
        <v>4</v>
      </c>
      <c r="K60" s="1" t="s">
        <v>129</v>
      </c>
      <c r="L60" s="1" t="str">
        <f t="shared" si="0"/>
        <v>ORD</v>
      </c>
    </row>
    <row r="61" spans="1:12" x14ac:dyDescent="0.35">
      <c r="A61" s="8" t="s">
        <v>332</v>
      </c>
      <c r="B61" s="8" t="s">
        <v>130</v>
      </c>
      <c r="C61" s="9">
        <v>0</v>
      </c>
      <c r="D61" s="9">
        <v>420</v>
      </c>
      <c r="E61" s="9">
        <v>0</v>
      </c>
      <c r="F61" s="9">
        <v>1098</v>
      </c>
      <c r="G61" s="9">
        <v>-1098</v>
      </c>
      <c r="H61" s="8" t="s">
        <v>8</v>
      </c>
      <c r="I61" s="8" t="s">
        <v>8</v>
      </c>
      <c r="J61" s="8">
        <v>3</v>
      </c>
      <c r="K61" s="8" t="s">
        <v>131</v>
      </c>
      <c r="L61" s="8" t="str">
        <f t="shared" si="0"/>
        <v>WBS</v>
      </c>
    </row>
    <row r="62" spans="1:12" x14ac:dyDescent="0.35">
      <c r="A62" s="1" t="s">
        <v>132</v>
      </c>
      <c r="B62" s="1" t="s">
        <v>133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 t="s">
        <v>11</v>
      </c>
      <c r="I62" s="1" t="s">
        <v>11</v>
      </c>
      <c r="J62" s="1">
        <v>4</v>
      </c>
      <c r="K62" s="1" t="s">
        <v>134</v>
      </c>
      <c r="L62" s="1" t="str">
        <f t="shared" si="0"/>
        <v>ORD</v>
      </c>
    </row>
    <row r="63" spans="1:12" x14ac:dyDescent="0.35">
      <c r="A63" s="1" t="s">
        <v>135</v>
      </c>
      <c r="B63" s="1" t="s">
        <v>136</v>
      </c>
      <c r="C63" s="2">
        <v>0</v>
      </c>
      <c r="D63" s="2">
        <v>420</v>
      </c>
      <c r="E63" s="2">
        <v>0</v>
      </c>
      <c r="F63" s="2">
        <v>420</v>
      </c>
      <c r="G63" s="2">
        <v>-420</v>
      </c>
      <c r="H63" s="1" t="s">
        <v>11</v>
      </c>
      <c r="I63" s="1" t="s">
        <v>11</v>
      </c>
      <c r="J63" s="1">
        <v>4</v>
      </c>
      <c r="K63" s="1" t="s">
        <v>137</v>
      </c>
      <c r="L63" s="1" t="str">
        <f t="shared" si="0"/>
        <v>ORD</v>
      </c>
    </row>
    <row r="64" spans="1:12" x14ac:dyDescent="0.35">
      <c r="A64" s="4" t="s">
        <v>138</v>
      </c>
      <c r="B64" s="4" t="s">
        <v>139</v>
      </c>
      <c r="C64" s="5">
        <v>0</v>
      </c>
      <c r="D64" s="5">
        <v>13008</v>
      </c>
      <c r="E64" s="5">
        <v>0</v>
      </c>
      <c r="F64" s="5">
        <v>561523071</v>
      </c>
      <c r="G64" s="5">
        <v>-561523071</v>
      </c>
      <c r="H64" s="4" t="s">
        <v>11</v>
      </c>
      <c r="I64" s="4" t="s">
        <v>11</v>
      </c>
      <c r="J64" s="4">
        <v>1</v>
      </c>
      <c r="K64" s="4" t="s">
        <v>138</v>
      </c>
      <c r="L64" s="4" t="str">
        <f t="shared" si="0"/>
        <v>WBS</v>
      </c>
    </row>
    <row r="65" spans="1:12" x14ac:dyDescent="0.35">
      <c r="A65" s="6" t="s">
        <v>333</v>
      </c>
      <c r="B65" s="6" t="s">
        <v>139</v>
      </c>
      <c r="C65" s="7">
        <v>0</v>
      </c>
      <c r="D65" s="7">
        <v>13008</v>
      </c>
      <c r="E65" s="7">
        <v>0</v>
      </c>
      <c r="F65" s="7">
        <v>561523071</v>
      </c>
      <c r="G65" s="7">
        <v>-561523071</v>
      </c>
      <c r="H65" s="6" t="s">
        <v>8</v>
      </c>
      <c r="I65" s="6" t="s">
        <v>8</v>
      </c>
      <c r="J65" s="6">
        <v>2</v>
      </c>
      <c r="K65" s="6" t="s">
        <v>140</v>
      </c>
      <c r="L65" s="6" t="str">
        <f t="shared" si="0"/>
        <v>WBS</v>
      </c>
    </row>
    <row r="66" spans="1:12" x14ac:dyDescent="0.35">
      <c r="A66" s="8" t="s">
        <v>334</v>
      </c>
      <c r="B66" s="8" t="s">
        <v>141</v>
      </c>
      <c r="C66" s="9">
        <v>0</v>
      </c>
      <c r="D66" s="9">
        <v>9217</v>
      </c>
      <c r="E66" s="9">
        <v>0</v>
      </c>
      <c r="F66" s="9">
        <v>9352</v>
      </c>
      <c r="G66" s="9">
        <v>-9352</v>
      </c>
      <c r="H66" s="8" t="s">
        <v>8</v>
      </c>
      <c r="I66" s="8" t="s">
        <v>8</v>
      </c>
      <c r="J66" s="8">
        <v>3</v>
      </c>
      <c r="K66" s="8" t="s">
        <v>142</v>
      </c>
      <c r="L66" s="8" t="str">
        <f t="shared" si="0"/>
        <v>WBS</v>
      </c>
    </row>
    <row r="67" spans="1:12" x14ac:dyDescent="0.35">
      <c r="A67" s="1" t="s">
        <v>143</v>
      </c>
      <c r="B67" s="1" t="s">
        <v>144</v>
      </c>
      <c r="C67" s="2">
        <v>0</v>
      </c>
      <c r="D67" s="2">
        <v>9217</v>
      </c>
      <c r="E67" s="2">
        <v>0</v>
      </c>
      <c r="F67" s="2">
        <v>9217</v>
      </c>
      <c r="G67" s="2">
        <v>-9217</v>
      </c>
      <c r="H67" s="1" t="s">
        <v>11</v>
      </c>
      <c r="I67" s="1" t="s">
        <v>11</v>
      </c>
      <c r="J67" s="1">
        <v>4</v>
      </c>
      <c r="K67" s="1" t="s">
        <v>145</v>
      </c>
      <c r="L67" s="1" t="str">
        <f t="shared" ref="L67:L130" si="1">IF(IFERROR(FIND("ORD",A67,1),-1)&gt;0,"ORD","WBS")</f>
        <v>ORD</v>
      </c>
    </row>
    <row r="68" spans="1:12" x14ac:dyDescent="0.35">
      <c r="A68" s="1" t="s">
        <v>146</v>
      </c>
      <c r="B68" s="1" t="s">
        <v>147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 t="s">
        <v>11</v>
      </c>
      <c r="I68" s="1" t="s">
        <v>11</v>
      </c>
      <c r="J68" s="1">
        <v>4</v>
      </c>
      <c r="K68" s="1" t="s">
        <v>148</v>
      </c>
      <c r="L68" s="1" t="str">
        <f t="shared" si="1"/>
        <v>ORD</v>
      </c>
    </row>
    <row r="69" spans="1:12" x14ac:dyDescent="0.35">
      <c r="A69" s="8" t="s">
        <v>335</v>
      </c>
      <c r="B69" s="8" t="s">
        <v>149</v>
      </c>
      <c r="C69" s="9">
        <v>0</v>
      </c>
      <c r="D69" s="9">
        <v>617</v>
      </c>
      <c r="E69" s="9">
        <v>0</v>
      </c>
      <c r="F69" s="9">
        <v>561509875</v>
      </c>
      <c r="G69" s="9">
        <v>-561509875</v>
      </c>
      <c r="H69" s="8" t="s">
        <v>8</v>
      </c>
      <c r="I69" s="8" t="s">
        <v>8</v>
      </c>
      <c r="J69" s="8">
        <v>3</v>
      </c>
      <c r="K69" s="8" t="s">
        <v>150</v>
      </c>
      <c r="L69" s="8" t="str">
        <f t="shared" si="1"/>
        <v>WBS</v>
      </c>
    </row>
    <row r="70" spans="1:12" x14ac:dyDescent="0.35">
      <c r="A70" s="1" t="s">
        <v>151</v>
      </c>
      <c r="B70" s="1" t="s">
        <v>152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 t="s">
        <v>11</v>
      </c>
      <c r="I70" s="1" t="s">
        <v>11</v>
      </c>
      <c r="J70" s="1">
        <v>4</v>
      </c>
      <c r="K70" s="1" t="s">
        <v>153</v>
      </c>
      <c r="L70" s="1" t="str">
        <f t="shared" si="1"/>
        <v>ORD</v>
      </c>
    </row>
    <row r="71" spans="1:12" x14ac:dyDescent="0.35">
      <c r="A71" s="1" t="s">
        <v>154</v>
      </c>
      <c r="B71" s="1" t="s">
        <v>155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 t="s">
        <v>11</v>
      </c>
      <c r="I71" s="1" t="s">
        <v>11</v>
      </c>
      <c r="J71" s="1">
        <v>4</v>
      </c>
      <c r="K71" s="1" t="s">
        <v>156</v>
      </c>
      <c r="L71" s="1" t="str">
        <f t="shared" si="1"/>
        <v>ORD</v>
      </c>
    </row>
    <row r="72" spans="1:12" x14ac:dyDescent="0.35">
      <c r="A72" s="1" t="s">
        <v>157</v>
      </c>
      <c r="B72" s="1" t="s">
        <v>158</v>
      </c>
      <c r="C72" s="2">
        <v>0</v>
      </c>
      <c r="D72" s="2">
        <v>617</v>
      </c>
      <c r="E72" s="2">
        <v>0</v>
      </c>
      <c r="F72" s="2">
        <v>617</v>
      </c>
      <c r="G72" s="2">
        <v>-617</v>
      </c>
      <c r="H72" s="1" t="s">
        <v>11</v>
      </c>
      <c r="I72" s="1" t="s">
        <v>11</v>
      </c>
      <c r="J72" s="1">
        <v>4</v>
      </c>
      <c r="K72" s="1" t="s">
        <v>159</v>
      </c>
      <c r="L72" s="1" t="str">
        <f t="shared" si="1"/>
        <v>ORD</v>
      </c>
    </row>
    <row r="73" spans="1:12" x14ac:dyDescent="0.35">
      <c r="A73" s="1" t="s">
        <v>160</v>
      </c>
      <c r="B73" s="1" t="s">
        <v>161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 t="s">
        <v>11</v>
      </c>
      <c r="I73" s="1" t="s">
        <v>11</v>
      </c>
      <c r="J73" s="1">
        <v>4</v>
      </c>
      <c r="K73" s="1" t="s">
        <v>162</v>
      </c>
      <c r="L73" s="1" t="str">
        <f t="shared" si="1"/>
        <v>ORD</v>
      </c>
    </row>
    <row r="74" spans="1:12" x14ac:dyDescent="0.35">
      <c r="A74" s="1" t="s">
        <v>163</v>
      </c>
      <c r="B74" s="1">
        <v>500043878000001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 t="s">
        <v>11</v>
      </c>
      <c r="I74" s="1" t="s">
        <v>11</v>
      </c>
      <c r="J74" s="1">
        <v>4</v>
      </c>
      <c r="K74" s="1" t="s">
        <v>164</v>
      </c>
      <c r="L74" s="1" t="str">
        <f t="shared" si="1"/>
        <v>ORD</v>
      </c>
    </row>
    <row r="75" spans="1:12" x14ac:dyDescent="0.35">
      <c r="A75" s="1" t="s">
        <v>165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 t="s">
        <v>11</v>
      </c>
      <c r="I75" s="1" t="s">
        <v>11</v>
      </c>
      <c r="J75" s="1">
        <v>4</v>
      </c>
      <c r="K75" s="1" t="s">
        <v>166</v>
      </c>
      <c r="L75" s="1" t="str">
        <f t="shared" si="1"/>
        <v>ORD</v>
      </c>
    </row>
    <row r="76" spans="1:12" x14ac:dyDescent="0.35">
      <c r="A76" s="1" t="s">
        <v>167</v>
      </c>
      <c r="B76" s="1" t="s">
        <v>136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 t="s">
        <v>11</v>
      </c>
      <c r="I76" s="1" t="s">
        <v>11</v>
      </c>
      <c r="J76" s="1">
        <v>4</v>
      </c>
      <c r="K76" s="1" t="s">
        <v>168</v>
      </c>
      <c r="L76" s="1" t="str">
        <f t="shared" si="1"/>
        <v>ORD</v>
      </c>
    </row>
    <row r="77" spans="1:12" x14ac:dyDescent="0.35">
      <c r="A77" s="8" t="s">
        <v>336</v>
      </c>
      <c r="B77" s="8" t="s">
        <v>169</v>
      </c>
      <c r="C77" s="9">
        <v>0</v>
      </c>
      <c r="D77" s="9">
        <v>3174</v>
      </c>
      <c r="E77" s="9">
        <v>0</v>
      </c>
      <c r="F77" s="9">
        <v>3174</v>
      </c>
      <c r="G77" s="9">
        <v>-3174</v>
      </c>
      <c r="H77" s="8" t="s">
        <v>8</v>
      </c>
      <c r="I77" s="8" t="s">
        <v>8</v>
      </c>
      <c r="J77" s="8">
        <v>3</v>
      </c>
      <c r="K77" s="8" t="s">
        <v>170</v>
      </c>
      <c r="L77" s="8" t="str">
        <f t="shared" si="1"/>
        <v>WBS</v>
      </c>
    </row>
    <row r="78" spans="1:12" x14ac:dyDescent="0.35">
      <c r="A78" s="1" t="s">
        <v>171</v>
      </c>
      <c r="B78" s="1" t="s">
        <v>172</v>
      </c>
      <c r="C78" s="2">
        <v>0</v>
      </c>
      <c r="D78" s="2">
        <v>3174</v>
      </c>
      <c r="E78" s="2">
        <v>0</v>
      </c>
      <c r="F78" s="2">
        <v>3174</v>
      </c>
      <c r="G78" s="2">
        <v>-3174</v>
      </c>
      <c r="H78" s="1" t="s">
        <v>11</v>
      </c>
      <c r="I78" s="1" t="s">
        <v>11</v>
      </c>
      <c r="J78" s="1">
        <v>4</v>
      </c>
      <c r="K78" s="1" t="s">
        <v>173</v>
      </c>
      <c r="L78" s="1" t="str">
        <f t="shared" si="1"/>
        <v>ORD</v>
      </c>
    </row>
    <row r="79" spans="1:12" x14ac:dyDescent="0.35">
      <c r="A79" s="8" t="s">
        <v>337</v>
      </c>
      <c r="B79" s="8" t="s">
        <v>174</v>
      </c>
      <c r="C79" s="9">
        <v>0</v>
      </c>
      <c r="D79" s="9">
        <v>0</v>
      </c>
      <c r="E79" s="9">
        <v>0</v>
      </c>
      <c r="F79" s="9">
        <v>671</v>
      </c>
      <c r="G79" s="9">
        <v>-671</v>
      </c>
      <c r="H79" s="8" t="s">
        <v>8</v>
      </c>
      <c r="I79" s="8" t="s">
        <v>8</v>
      </c>
      <c r="J79" s="8">
        <v>3</v>
      </c>
      <c r="K79" s="8" t="s">
        <v>175</v>
      </c>
      <c r="L79" s="8" t="str">
        <f t="shared" si="1"/>
        <v>WBS</v>
      </c>
    </row>
    <row r="80" spans="1:12" x14ac:dyDescent="0.35">
      <c r="A80" s="1" t="s">
        <v>176</v>
      </c>
      <c r="B80" s="1" t="s">
        <v>136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 t="s">
        <v>11</v>
      </c>
      <c r="I80" s="1" t="s">
        <v>11</v>
      </c>
      <c r="J80" s="1">
        <v>4</v>
      </c>
      <c r="K80" s="1" t="s">
        <v>177</v>
      </c>
      <c r="L80" s="1" t="str">
        <f t="shared" si="1"/>
        <v>ORD</v>
      </c>
    </row>
    <row r="81" spans="1:12" x14ac:dyDescent="0.35">
      <c r="A81" s="4" t="s">
        <v>178</v>
      </c>
      <c r="B81" s="4" t="s">
        <v>179</v>
      </c>
      <c r="C81" s="5">
        <v>200</v>
      </c>
      <c r="D81" s="5">
        <v>2245</v>
      </c>
      <c r="E81" s="5">
        <v>0</v>
      </c>
      <c r="F81" s="5">
        <v>2245</v>
      </c>
      <c r="G81" s="5">
        <v>-2045</v>
      </c>
      <c r="H81" s="4" t="s">
        <v>11</v>
      </c>
      <c r="I81" s="4" t="s">
        <v>11</v>
      </c>
      <c r="J81" s="4">
        <v>1</v>
      </c>
      <c r="K81" s="4" t="s">
        <v>178</v>
      </c>
      <c r="L81" s="4" t="str">
        <f t="shared" si="1"/>
        <v>WBS</v>
      </c>
    </row>
    <row r="82" spans="1:12" x14ac:dyDescent="0.35">
      <c r="A82" s="6" t="s">
        <v>338</v>
      </c>
      <c r="B82" s="6" t="s">
        <v>180</v>
      </c>
      <c r="C82" s="7">
        <v>200</v>
      </c>
      <c r="D82" s="7">
        <v>2245</v>
      </c>
      <c r="E82" s="7">
        <v>0</v>
      </c>
      <c r="F82" s="7">
        <v>2245</v>
      </c>
      <c r="G82" s="7">
        <v>-2045</v>
      </c>
      <c r="H82" s="6" t="s">
        <v>8</v>
      </c>
      <c r="I82" s="6" t="s">
        <v>8</v>
      </c>
      <c r="J82" s="6">
        <v>2</v>
      </c>
      <c r="K82" s="6" t="s">
        <v>181</v>
      </c>
      <c r="L82" s="6" t="str">
        <f t="shared" si="1"/>
        <v>WBS</v>
      </c>
    </row>
    <row r="83" spans="1:12" x14ac:dyDescent="0.35">
      <c r="A83" s="8" t="s">
        <v>339</v>
      </c>
      <c r="B83" s="8" t="s">
        <v>182</v>
      </c>
      <c r="C83" s="9">
        <v>0</v>
      </c>
      <c r="D83" s="9">
        <v>2245</v>
      </c>
      <c r="E83" s="9">
        <v>0</v>
      </c>
      <c r="F83" s="9">
        <v>2245</v>
      </c>
      <c r="G83" s="9">
        <v>-2245</v>
      </c>
      <c r="H83" s="8" t="s">
        <v>8</v>
      </c>
      <c r="I83" s="8" t="s">
        <v>8</v>
      </c>
      <c r="J83" s="8">
        <v>3</v>
      </c>
      <c r="K83" s="8" t="s">
        <v>183</v>
      </c>
      <c r="L83" s="8" t="str">
        <f t="shared" si="1"/>
        <v>WBS</v>
      </c>
    </row>
    <row r="84" spans="1:12" x14ac:dyDescent="0.35">
      <c r="A84" s="1" t="s">
        <v>340</v>
      </c>
      <c r="B84" s="1" t="s">
        <v>184</v>
      </c>
      <c r="C84" s="2">
        <v>0</v>
      </c>
      <c r="D84" s="2">
        <v>2245</v>
      </c>
      <c r="E84" s="2">
        <v>0</v>
      </c>
      <c r="F84" s="2">
        <v>2245</v>
      </c>
      <c r="G84" s="2">
        <v>-2245</v>
      </c>
      <c r="H84" s="1" t="s">
        <v>8</v>
      </c>
      <c r="I84" s="1" t="s">
        <v>8</v>
      </c>
      <c r="J84" s="1">
        <v>4</v>
      </c>
      <c r="K84" s="1" t="s">
        <v>185</v>
      </c>
      <c r="L84" s="1" t="str">
        <f t="shared" si="1"/>
        <v>WBS</v>
      </c>
    </row>
    <row r="85" spans="1:12" x14ac:dyDescent="0.35">
      <c r="A85" s="4" t="s">
        <v>186</v>
      </c>
      <c r="B85" s="4" t="s">
        <v>187</v>
      </c>
      <c r="C85" s="5">
        <v>10000</v>
      </c>
      <c r="D85" s="5">
        <v>0</v>
      </c>
      <c r="E85" s="5">
        <v>0</v>
      </c>
      <c r="F85" s="5">
        <v>0</v>
      </c>
      <c r="G85" s="5">
        <v>10000</v>
      </c>
      <c r="H85" s="4" t="s">
        <v>11</v>
      </c>
      <c r="I85" s="4" t="s">
        <v>11</v>
      </c>
      <c r="J85" s="4">
        <v>1</v>
      </c>
      <c r="K85" s="4" t="s">
        <v>186</v>
      </c>
      <c r="L85" s="4" t="str">
        <f t="shared" si="1"/>
        <v>WBS</v>
      </c>
    </row>
    <row r="86" spans="1:12" x14ac:dyDescent="0.35">
      <c r="A86" s="6" t="s">
        <v>341</v>
      </c>
      <c r="B86" s="6" t="s">
        <v>188</v>
      </c>
      <c r="C86" s="7">
        <v>10000</v>
      </c>
      <c r="D86" s="7">
        <v>0</v>
      </c>
      <c r="E86" s="7">
        <v>0</v>
      </c>
      <c r="F86" s="7">
        <v>0</v>
      </c>
      <c r="G86" s="7">
        <v>10000</v>
      </c>
      <c r="H86" s="6" t="s">
        <v>8</v>
      </c>
      <c r="I86" s="6" t="s">
        <v>8</v>
      </c>
      <c r="J86" s="6">
        <v>2</v>
      </c>
      <c r="K86" s="6" t="s">
        <v>189</v>
      </c>
      <c r="L86" s="6" t="str">
        <f t="shared" si="1"/>
        <v>WBS</v>
      </c>
    </row>
    <row r="87" spans="1:12" x14ac:dyDescent="0.35">
      <c r="A87" s="4" t="s">
        <v>190</v>
      </c>
      <c r="B87" s="4" t="s">
        <v>191</v>
      </c>
      <c r="C87" s="5">
        <v>510000</v>
      </c>
      <c r="D87" s="5">
        <v>3750</v>
      </c>
      <c r="E87" s="5">
        <v>0</v>
      </c>
      <c r="F87" s="5">
        <v>3750</v>
      </c>
      <c r="G87" s="5">
        <v>506250</v>
      </c>
      <c r="H87" s="4" t="s">
        <v>11</v>
      </c>
      <c r="I87" s="4" t="s">
        <v>11</v>
      </c>
      <c r="J87" s="4">
        <v>1</v>
      </c>
      <c r="K87" s="4" t="s">
        <v>190</v>
      </c>
      <c r="L87" s="4" t="str">
        <f t="shared" si="1"/>
        <v>WBS</v>
      </c>
    </row>
    <row r="88" spans="1:12" x14ac:dyDescent="0.35">
      <c r="A88" s="6" t="s">
        <v>342</v>
      </c>
      <c r="B88" s="6" t="s">
        <v>188</v>
      </c>
      <c r="C88" s="7">
        <v>510000</v>
      </c>
      <c r="D88" s="7">
        <v>3750</v>
      </c>
      <c r="E88" s="7">
        <v>0</v>
      </c>
      <c r="F88" s="7">
        <v>3750</v>
      </c>
      <c r="G88" s="7">
        <v>506250</v>
      </c>
      <c r="H88" s="6" t="s">
        <v>8</v>
      </c>
      <c r="I88" s="6" t="s">
        <v>8</v>
      </c>
      <c r="J88" s="6">
        <v>2</v>
      </c>
      <c r="K88" s="6" t="s">
        <v>192</v>
      </c>
      <c r="L88" s="6" t="str">
        <f t="shared" si="1"/>
        <v>WBS</v>
      </c>
    </row>
    <row r="89" spans="1:12" x14ac:dyDescent="0.35">
      <c r="A89" s="8" t="s">
        <v>343</v>
      </c>
      <c r="B89" s="8" t="s">
        <v>193</v>
      </c>
      <c r="C89" s="9">
        <v>0</v>
      </c>
      <c r="D89" s="9">
        <v>3750</v>
      </c>
      <c r="E89" s="9">
        <v>0</v>
      </c>
      <c r="F89" s="9">
        <v>3750</v>
      </c>
      <c r="G89" s="9">
        <v>-3750</v>
      </c>
      <c r="H89" s="8" t="s">
        <v>8</v>
      </c>
      <c r="I89" s="8" t="s">
        <v>8</v>
      </c>
      <c r="J89" s="8">
        <v>3</v>
      </c>
      <c r="K89" s="8" t="s">
        <v>194</v>
      </c>
      <c r="L89" s="8" t="str">
        <f t="shared" si="1"/>
        <v>WBS</v>
      </c>
    </row>
    <row r="90" spans="1:12" x14ac:dyDescent="0.35">
      <c r="A90" s="8" t="s">
        <v>344</v>
      </c>
      <c r="B90" s="8" t="s">
        <v>195</v>
      </c>
      <c r="C90" s="9">
        <v>500</v>
      </c>
      <c r="D90" s="9">
        <v>0</v>
      </c>
      <c r="E90" s="9">
        <v>0</v>
      </c>
      <c r="F90" s="9">
        <v>0</v>
      </c>
      <c r="G90" s="9">
        <v>500</v>
      </c>
      <c r="H90" s="8" t="s">
        <v>8</v>
      </c>
      <c r="I90" s="8" t="s">
        <v>8</v>
      </c>
      <c r="J90" s="8">
        <v>3</v>
      </c>
      <c r="K90" s="8" t="s">
        <v>196</v>
      </c>
      <c r="L90" s="8" t="str">
        <f t="shared" si="1"/>
        <v>WBS</v>
      </c>
    </row>
    <row r="91" spans="1:12" x14ac:dyDescent="0.35">
      <c r="A91" s="8" t="s">
        <v>345</v>
      </c>
      <c r="B91" s="8" t="s">
        <v>197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8" t="s">
        <v>8</v>
      </c>
      <c r="I91" s="8" t="s">
        <v>8</v>
      </c>
      <c r="J91" s="8">
        <v>3</v>
      </c>
      <c r="K91" s="8" t="s">
        <v>198</v>
      </c>
      <c r="L91" s="8" t="str">
        <f t="shared" si="1"/>
        <v>WBS</v>
      </c>
    </row>
    <row r="92" spans="1:12" x14ac:dyDescent="0.35">
      <c r="A92" s="4" t="s">
        <v>199</v>
      </c>
      <c r="B92" s="4" t="s">
        <v>179</v>
      </c>
      <c r="C92" s="5">
        <v>0</v>
      </c>
      <c r="D92" s="5">
        <v>2176</v>
      </c>
      <c r="E92" s="5">
        <v>0</v>
      </c>
      <c r="F92" s="5">
        <v>2176</v>
      </c>
      <c r="G92" s="5">
        <v>-2176</v>
      </c>
      <c r="H92" s="4" t="s">
        <v>11</v>
      </c>
      <c r="I92" s="4" t="s">
        <v>11</v>
      </c>
      <c r="J92" s="4">
        <v>1</v>
      </c>
      <c r="K92" s="4" t="s">
        <v>199</v>
      </c>
      <c r="L92" s="4" t="str">
        <f t="shared" si="1"/>
        <v>WBS</v>
      </c>
    </row>
    <row r="93" spans="1:12" x14ac:dyDescent="0.35">
      <c r="A93" s="6" t="s">
        <v>346</v>
      </c>
      <c r="B93" s="6" t="s">
        <v>180</v>
      </c>
      <c r="C93" s="7">
        <v>0</v>
      </c>
      <c r="D93" s="7">
        <v>2176</v>
      </c>
      <c r="E93" s="7">
        <v>0</v>
      </c>
      <c r="F93" s="7">
        <v>2176</v>
      </c>
      <c r="G93" s="7">
        <v>-2176</v>
      </c>
      <c r="H93" s="6" t="s">
        <v>8</v>
      </c>
      <c r="I93" s="6" t="s">
        <v>8</v>
      </c>
      <c r="J93" s="6">
        <v>2</v>
      </c>
      <c r="K93" s="6" t="s">
        <v>200</v>
      </c>
      <c r="L93" s="6" t="str">
        <f t="shared" si="1"/>
        <v>WBS</v>
      </c>
    </row>
    <row r="94" spans="1:12" x14ac:dyDescent="0.35">
      <c r="A94" s="8" t="s">
        <v>347</v>
      </c>
      <c r="B94" s="8" t="s">
        <v>182</v>
      </c>
      <c r="C94" s="9">
        <v>0</v>
      </c>
      <c r="D94" s="9">
        <v>1176</v>
      </c>
      <c r="E94" s="9">
        <v>0</v>
      </c>
      <c r="F94" s="9">
        <v>1176</v>
      </c>
      <c r="G94" s="9">
        <v>-1176</v>
      </c>
      <c r="H94" s="8" t="s">
        <v>8</v>
      </c>
      <c r="I94" s="8" t="s">
        <v>8</v>
      </c>
      <c r="J94" s="8">
        <v>3</v>
      </c>
      <c r="K94" s="8" t="s">
        <v>201</v>
      </c>
      <c r="L94" s="8" t="str">
        <f t="shared" si="1"/>
        <v>WBS</v>
      </c>
    </row>
    <row r="95" spans="1:12" x14ac:dyDescent="0.35">
      <c r="A95" s="1" t="s">
        <v>348</v>
      </c>
      <c r="B95" s="1" t="s">
        <v>184</v>
      </c>
      <c r="C95" s="2">
        <v>0</v>
      </c>
      <c r="D95" s="2">
        <v>176</v>
      </c>
      <c r="E95" s="2">
        <v>0</v>
      </c>
      <c r="F95" s="2">
        <v>176</v>
      </c>
      <c r="G95" s="2">
        <v>-176</v>
      </c>
      <c r="H95" s="1" t="s">
        <v>8</v>
      </c>
      <c r="I95" s="1" t="s">
        <v>8</v>
      </c>
      <c r="J95" s="1">
        <v>4</v>
      </c>
      <c r="K95" s="1" t="s">
        <v>202</v>
      </c>
      <c r="L95" s="1" t="str">
        <f t="shared" si="1"/>
        <v>WBS</v>
      </c>
    </row>
    <row r="96" spans="1:12" x14ac:dyDescent="0.35">
      <c r="A96" s="8" t="s">
        <v>349</v>
      </c>
      <c r="B96" s="8" t="s">
        <v>203</v>
      </c>
      <c r="C96" s="9">
        <v>0</v>
      </c>
      <c r="D96" s="9">
        <v>1000</v>
      </c>
      <c r="E96" s="9">
        <v>0</v>
      </c>
      <c r="F96" s="9">
        <v>1000</v>
      </c>
      <c r="G96" s="9">
        <v>-1000</v>
      </c>
      <c r="H96" s="8" t="s">
        <v>8</v>
      </c>
      <c r="I96" s="8" t="s">
        <v>8</v>
      </c>
      <c r="J96" s="8">
        <v>3</v>
      </c>
      <c r="K96" s="8" t="s">
        <v>204</v>
      </c>
      <c r="L96" s="8" t="str">
        <f t="shared" si="1"/>
        <v>WBS</v>
      </c>
    </row>
    <row r="97" spans="1:12" x14ac:dyDescent="0.35">
      <c r="A97" s="1" t="s">
        <v>350</v>
      </c>
      <c r="B97" s="1" t="s">
        <v>205</v>
      </c>
      <c r="C97" s="2">
        <v>0</v>
      </c>
      <c r="D97" s="2">
        <v>1000</v>
      </c>
      <c r="E97" s="2">
        <v>0</v>
      </c>
      <c r="F97" s="2">
        <v>1000</v>
      </c>
      <c r="G97" s="2">
        <v>-1000</v>
      </c>
      <c r="H97" s="1" t="s">
        <v>8</v>
      </c>
      <c r="I97" s="1" t="s">
        <v>8</v>
      </c>
      <c r="J97" s="1">
        <v>4</v>
      </c>
      <c r="K97" s="1" t="s">
        <v>206</v>
      </c>
      <c r="L97" s="1" t="str">
        <f t="shared" si="1"/>
        <v>WBS</v>
      </c>
    </row>
    <row r="98" spans="1:12" x14ac:dyDescent="0.35">
      <c r="A98" s="4" t="s">
        <v>207</v>
      </c>
      <c r="B98" s="4" t="s">
        <v>208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4" t="s">
        <v>11</v>
      </c>
      <c r="I98" s="4" t="s">
        <v>11</v>
      </c>
      <c r="J98" s="4">
        <v>1</v>
      </c>
      <c r="K98" s="4" t="s">
        <v>207</v>
      </c>
      <c r="L98" s="4" t="str">
        <f t="shared" si="1"/>
        <v>WBS</v>
      </c>
    </row>
    <row r="99" spans="1:12" x14ac:dyDescent="0.35">
      <c r="A99" s="6" t="s">
        <v>351</v>
      </c>
      <c r="B99" s="6" t="s">
        <v>209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6" t="s">
        <v>8</v>
      </c>
      <c r="I99" s="6" t="s">
        <v>8</v>
      </c>
      <c r="J99" s="6">
        <v>2</v>
      </c>
      <c r="K99" s="6" t="s">
        <v>210</v>
      </c>
      <c r="L99" s="6" t="str">
        <f t="shared" si="1"/>
        <v>WBS</v>
      </c>
    </row>
    <row r="100" spans="1:12" x14ac:dyDescent="0.35">
      <c r="A100" s="8" t="s">
        <v>352</v>
      </c>
      <c r="B100" s="8" t="s">
        <v>211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8" t="s">
        <v>8</v>
      </c>
      <c r="I100" s="8" t="s">
        <v>8</v>
      </c>
      <c r="J100" s="8">
        <v>3</v>
      </c>
      <c r="K100" s="8" t="s">
        <v>212</v>
      </c>
      <c r="L100" s="8" t="str">
        <f t="shared" si="1"/>
        <v>WBS</v>
      </c>
    </row>
    <row r="101" spans="1:12" x14ac:dyDescent="0.35">
      <c r="A101" s="4" t="s">
        <v>213</v>
      </c>
      <c r="B101" s="4" t="s">
        <v>214</v>
      </c>
      <c r="C101" s="5">
        <v>0</v>
      </c>
      <c r="D101" s="5">
        <v>10476</v>
      </c>
      <c r="E101" s="5">
        <v>0</v>
      </c>
      <c r="F101" s="5">
        <v>30337</v>
      </c>
      <c r="G101" s="5">
        <v>-30337</v>
      </c>
      <c r="H101" s="4" t="s">
        <v>11</v>
      </c>
      <c r="I101" s="4" t="s">
        <v>11</v>
      </c>
      <c r="J101" s="4">
        <v>1</v>
      </c>
      <c r="K101" s="4" t="s">
        <v>213</v>
      </c>
      <c r="L101" s="4" t="str">
        <f t="shared" si="1"/>
        <v>WBS</v>
      </c>
    </row>
    <row r="102" spans="1:12" x14ac:dyDescent="0.35">
      <c r="A102" s="6" t="s">
        <v>353</v>
      </c>
      <c r="B102" s="6" t="s">
        <v>215</v>
      </c>
      <c r="C102" s="7">
        <v>0</v>
      </c>
      <c r="D102" s="7">
        <v>10476</v>
      </c>
      <c r="E102" s="7">
        <v>0</v>
      </c>
      <c r="F102" s="7">
        <v>30337</v>
      </c>
      <c r="G102" s="7">
        <v>-30337</v>
      </c>
      <c r="H102" s="6" t="s">
        <v>8</v>
      </c>
      <c r="I102" s="6" t="s">
        <v>8</v>
      </c>
      <c r="J102" s="6">
        <v>2</v>
      </c>
      <c r="K102" s="6" t="s">
        <v>216</v>
      </c>
      <c r="L102" s="6" t="str">
        <f t="shared" si="1"/>
        <v>WBS</v>
      </c>
    </row>
    <row r="103" spans="1:12" x14ac:dyDescent="0.35">
      <c r="A103" s="8" t="s">
        <v>354</v>
      </c>
      <c r="B103" s="8" t="s">
        <v>217</v>
      </c>
      <c r="C103" s="9">
        <v>0</v>
      </c>
      <c r="D103" s="9">
        <v>10476</v>
      </c>
      <c r="E103" s="9">
        <v>0</v>
      </c>
      <c r="F103" s="9">
        <v>30337</v>
      </c>
      <c r="G103" s="9">
        <v>-30337</v>
      </c>
      <c r="H103" s="8" t="s">
        <v>8</v>
      </c>
      <c r="I103" s="8" t="s">
        <v>8</v>
      </c>
      <c r="J103" s="8">
        <v>3</v>
      </c>
      <c r="K103" s="8" t="s">
        <v>218</v>
      </c>
      <c r="L103" s="8" t="str">
        <f t="shared" si="1"/>
        <v>WBS</v>
      </c>
    </row>
    <row r="104" spans="1:12" x14ac:dyDescent="0.35">
      <c r="A104" s="1" t="s">
        <v>219</v>
      </c>
      <c r="B104" s="1" t="s">
        <v>220</v>
      </c>
      <c r="C104" s="2">
        <v>0</v>
      </c>
      <c r="D104" s="2">
        <v>10476</v>
      </c>
      <c r="E104" s="2">
        <v>0</v>
      </c>
      <c r="F104" s="2">
        <v>10476</v>
      </c>
      <c r="G104" s="2">
        <v>-10476</v>
      </c>
      <c r="H104" s="1" t="s">
        <v>11</v>
      </c>
      <c r="I104" s="1" t="s">
        <v>11</v>
      </c>
      <c r="J104" s="1">
        <v>4</v>
      </c>
      <c r="K104" s="1" t="s">
        <v>221</v>
      </c>
      <c r="L104" s="1" t="str">
        <f t="shared" si="1"/>
        <v>ORD</v>
      </c>
    </row>
    <row r="105" spans="1:12" x14ac:dyDescent="0.35">
      <c r="A105" s="4" t="s">
        <v>222</v>
      </c>
      <c r="B105" s="4" t="s">
        <v>223</v>
      </c>
      <c r="C105" s="5">
        <v>0</v>
      </c>
      <c r="D105" s="5">
        <v>16374</v>
      </c>
      <c r="E105" s="5">
        <v>0</v>
      </c>
      <c r="F105" s="5">
        <v>34405</v>
      </c>
      <c r="G105" s="5">
        <v>-34405</v>
      </c>
      <c r="H105" s="4" t="s">
        <v>11</v>
      </c>
      <c r="I105" s="4" t="s">
        <v>11</v>
      </c>
      <c r="J105" s="4">
        <v>1</v>
      </c>
      <c r="K105" s="4" t="s">
        <v>222</v>
      </c>
      <c r="L105" s="4" t="str">
        <f t="shared" si="1"/>
        <v>WBS</v>
      </c>
    </row>
    <row r="106" spans="1:12" x14ac:dyDescent="0.35">
      <c r="A106" s="6" t="s">
        <v>355</v>
      </c>
      <c r="B106" s="6" t="s">
        <v>223</v>
      </c>
      <c r="C106" s="7">
        <v>0</v>
      </c>
      <c r="D106" s="7">
        <v>16374</v>
      </c>
      <c r="E106" s="7">
        <v>0</v>
      </c>
      <c r="F106" s="7">
        <v>34405</v>
      </c>
      <c r="G106" s="7">
        <v>-34405</v>
      </c>
      <c r="H106" s="6" t="s">
        <v>8</v>
      </c>
      <c r="I106" s="6" t="s">
        <v>8</v>
      </c>
      <c r="J106" s="6">
        <v>2</v>
      </c>
      <c r="K106" s="6" t="s">
        <v>224</v>
      </c>
      <c r="L106" s="6" t="str">
        <f t="shared" si="1"/>
        <v>WBS</v>
      </c>
    </row>
    <row r="107" spans="1:12" x14ac:dyDescent="0.35">
      <c r="A107" s="8" t="s">
        <v>225</v>
      </c>
      <c r="B107" s="8" t="s">
        <v>226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8" t="s">
        <v>11</v>
      </c>
      <c r="I107" s="8" t="s">
        <v>11</v>
      </c>
      <c r="J107" s="8">
        <v>3</v>
      </c>
      <c r="K107" s="8" t="s">
        <v>227</v>
      </c>
      <c r="L107" s="8" t="str">
        <f t="shared" si="1"/>
        <v>ORD</v>
      </c>
    </row>
    <row r="108" spans="1:12" x14ac:dyDescent="0.35">
      <c r="A108" s="8" t="s">
        <v>228</v>
      </c>
      <c r="B108" s="8" t="s">
        <v>229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8" t="s">
        <v>11</v>
      </c>
      <c r="I108" s="8" t="s">
        <v>11</v>
      </c>
      <c r="J108" s="8">
        <v>3</v>
      </c>
      <c r="K108" s="8" t="s">
        <v>230</v>
      </c>
      <c r="L108" s="8" t="str">
        <f t="shared" si="1"/>
        <v>ORD</v>
      </c>
    </row>
    <row r="109" spans="1:12" x14ac:dyDescent="0.35">
      <c r="A109" s="8" t="s">
        <v>231</v>
      </c>
      <c r="B109" s="8" t="s">
        <v>232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8" t="s">
        <v>11</v>
      </c>
      <c r="I109" s="8" t="s">
        <v>11</v>
      </c>
      <c r="J109" s="8">
        <v>3</v>
      </c>
      <c r="K109" s="8" t="s">
        <v>233</v>
      </c>
      <c r="L109" s="8" t="str">
        <f t="shared" si="1"/>
        <v>ORD</v>
      </c>
    </row>
    <row r="110" spans="1:12" x14ac:dyDescent="0.35">
      <c r="A110" s="8" t="s">
        <v>234</v>
      </c>
      <c r="B110" s="8" t="s">
        <v>235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8" t="s">
        <v>11</v>
      </c>
      <c r="I110" s="8" t="s">
        <v>11</v>
      </c>
      <c r="J110" s="8">
        <v>3</v>
      </c>
      <c r="K110" s="8" t="s">
        <v>236</v>
      </c>
      <c r="L110" s="8" t="str">
        <f t="shared" si="1"/>
        <v>ORD</v>
      </c>
    </row>
    <row r="111" spans="1:12" x14ac:dyDescent="0.35">
      <c r="A111" s="8" t="s">
        <v>237</v>
      </c>
      <c r="B111" s="8" t="s">
        <v>235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8" t="s">
        <v>11</v>
      </c>
      <c r="I111" s="8" t="s">
        <v>11</v>
      </c>
      <c r="J111" s="8">
        <v>3</v>
      </c>
      <c r="K111" s="8" t="s">
        <v>238</v>
      </c>
      <c r="L111" s="8" t="str">
        <f t="shared" si="1"/>
        <v>ORD</v>
      </c>
    </row>
    <row r="112" spans="1:12" x14ac:dyDescent="0.35">
      <c r="A112" s="8" t="s">
        <v>239</v>
      </c>
      <c r="B112" s="8" t="s">
        <v>240</v>
      </c>
      <c r="C112" s="9">
        <v>0</v>
      </c>
      <c r="D112" s="9">
        <v>3187</v>
      </c>
      <c r="E112" s="9">
        <v>0</v>
      </c>
      <c r="F112" s="9">
        <v>3187</v>
      </c>
      <c r="G112" s="9">
        <v>-3187</v>
      </c>
      <c r="H112" s="8" t="s">
        <v>11</v>
      </c>
      <c r="I112" s="8" t="s">
        <v>11</v>
      </c>
      <c r="J112" s="8">
        <v>3</v>
      </c>
      <c r="K112" s="8" t="s">
        <v>241</v>
      </c>
      <c r="L112" s="8" t="str">
        <f t="shared" si="1"/>
        <v>ORD</v>
      </c>
    </row>
    <row r="113" spans="1:12" x14ac:dyDescent="0.35">
      <c r="A113" s="8" t="s">
        <v>242</v>
      </c>
      <c r="B113" s="8" t="s">
        <v>243</v>
      </c>
      <c r="C113" s="9">
        <v>0</v>
      </c>
      <c r="D113" s="9">
        <v>13187</v>
      </c>
      <c r="E113" s="9">
        <v>0</v>
      </c>
      <c r="F113" s="9">
        <v>13187</v>
      </c>
      <c r="G113" s="9">
        <v>-13187</v>
      </c>
      <c r="H113" s="8" t="s">
        <v>11</v>
      </c>
      <c r="I113" s="8" t="s">
        <v>11</v>
      </c>
      <c r="J113" s="8">
        <v>3</v>
      </c>
      <c r="K113" s="8" t="s">
        <v>244</v>
      </c>
      <c r="L113" s="8" t="str">
        <f t="shared" si="1"/>
        <v>ORD</v>
      </c>
    </row>
    <row r="114" spans="1:12" x14ac:dyDescent="0.35">
      <c r="A114" s="4" t="s">
        <v>245</v>
      </c>
      <c r="B114" s="4" t="s">
        <v>246</v>
      </c>
      <c r="C114" s="5">
        <v>0</v>
      </c>
      <c r="D114" s="5">
        <v>2540</v>
      </c>
      <c r="E114" s="5">
        <v>0</v>
      </c>
      <c r="F114" s="5">
        <v>2540</v>
      </c>
      <c r="G114" s="5">
        <v>-2540</v>
      </c>
      <c r="H114" s="4" t="s">
        <v>11</v>
      </c>
      <c r="I114" s="4" t="s">
        <v>11</v>
      </c>
      <c r="J114" s="4">
        <v>1</v>
      </c>
      <c r="K114" s="4" t="s">
        <v>245</v>
      </c>
      <c r="L114" s="4" t="str">
        <f t="shared" si="1"/>
        <v>WBS</v>
      </c>
    </row>
    <row r="115" spans="1:12" x14ac:dyDescent="0.35">
      <c r="A115" s="6" t="s">
        <v>356</v>
      </c>
      <c r="B115" s="6" t="s">
        <v>246</v>
      </c>
      <c r="C115" s="7">
        <v>0</v>
      </c>
      <c r="D115" s="7">
        <v>2540</v>
      </c>
      <c r="E115" s="7">
        <v>0</v>
      </c>
      <c r="F115" s="7">
        <v>2540</v>
      </c>
      <c r="G115" s="7">
        <v>-2540</v>
      </c>
      <c r="H115" s="6" t="s">
        <v>8</v>
      </c>
      <c r="I115" s="6" t="s">
        <v>8</v>
      </c>
      <c r="J115" s="6">
        <v>2</v>
      </c>
      <c r="K115" s="6" t="s">
        <v>247</v>
      </c>
      <c r="L115" s="6" t="str">
        <f t="shared" si="1"/>
        <v>WBS</v>
      </c>
    </row>
    <row r="116" spans="1:12" x14ac:dyDescent="0.35">
      <c r="A116" s="8" t="s">
        <v>357</v>
      </c>
      <c r="B116" s="8" t="s">
        <v>248</v>
      </c>
      <c r="C116" s="9">
        <v>0</v>
      </c>
      <c r="D116" s="9">
        <v>2540</v>
      </c>
      <c r="E116" s="9">
        <v>0</v>
      </c>
      <c r="F116" s="9">
        <v>2540</v>
      </c>
      <c r="G116" s="9">
        <v>-2540</v>
      </c>
      <c r="H116" s="8" t="s">
        <v>8</v>
      </c>
      <c r="I116" s="8" t="s">
        <v>8</v>
      </c>
      <c r="J116" s="8">
        <v>3</v>
      </c>
      <c r="K116" s="8" t="s">
        <v>249</v>
      </c>
      <c r="L116" s="8" t="str">
        <f t="shared" si="1"/>
        <v>WBS</v>
      </c>
    </row>
    <row r="117" spans="1:12" x14ac:dyDescent="0.35">
      <c r="A117" s="1" t="s">
        <v>250</v>
      </c>
      <c r="B117" s="1" t="s">
        <v>251</v>
      </c>
      <c r="C117" s="2">
        <v>0</v>
      </c>
      <c r="D117" s="2">
        <v>2540</v>
      </c>
      <c r="E117" s="2">
        <v>0</v>
      </c>
      <c r="F117" s="2">
        <v>2540</v>
      </c>
      <c r="G117" s="2">
        <v>-2540</v>
      </c>
      <c r="H117" s="1" t="s">
        <v>11</v>
      </c>
      <c r="I117" s="1" t="s">
        <v>11</v>
      </c>
      <c r="J117" s="1">
        <v>4</v>
      </c>
      <c r="K117" s="1" t="s">
        <v>252</v>
      </c>
      <c r="L117" s="1" t="str">
        <f t="shared" si="1"/>
        <v>ORD</v>
      </c>
    </row>
    <row r="118" spans="1:12" x14ac:dyDescent="0.35">
      <c r="A118" s="4" t="s">
        <v>253</v>
      </c>
      <c r="B118" s="4" t="s">
        <v>254</v>
      </c>
      <c r="C118" s="5">
        <v>0</v>
      </c>
      <c r="D118" s="5">
        <v>0</v>
      </c>
      <c r="E118" s="5">
        <v>0</v>
      </c>
      <c r="F118" s="5">
        <v>625</v>
      </c>
      <c r="G118" s="5">
        <v>-625</v>
      </c>
      <c r="H118" s="4" t="s">
        <v>11</v>
      </c>
      <c r="I118" s="4" t="s">
        <v>11</v>
      </c>
      <c r="J118" s="4">
        <v>1</v>
      </c>
      <c r="K118" s="4" t="s">
        <v>253</v>
      </c>
      <c r="L118" s="4" t="str">
        <f t="shared" si="1"/>
        <v>WBS</v>
      </c>
    </row>
    <row r="119" spans="1:12" x14ac:dyDescent="0.35">
      <c r="A119" s="6" t="s">
        <v>358</v>
      </c>
      <c r="B119" s="6" t="s">
        <v>79</v>
      </c>
      <c r="C119" s="7">
        <v>0</v>
      </c>
      <c r="D119" s="7">
        <v>0</v>
      </c>
      <c r="E119" s="7">
        <v>0</v>
      </c>
      <c r="F119" s="7">
        <v>625</v>
      </c>
      <c r="G119" s="7">
        <v>-625</v>
      </c>
      <c r="H119" s="6" t="s">
        <v>8</v>
      </c>
      <c r="I119" s="6" t="s">
        <v>8</v>
      </c>
      <c r="J119" s="6">
        <v>2</v>
      </c>
      <c r="K119" s="6" t="s">
        <v>255</v>
      </c>
      <c r="L119" s="6" t="str">
        <f t="shared" si="1"/>
        <v>WBS</v>
      </c>
    </row>
    <row r="120" spans="1:12" x14ac:dyDescent="0.35">
      <c r="A120" s="8" t="s">
        <v>256</v>
      </c>
      <c r="B120" s="8" t="s">
        <v>235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8" t="s">
        <v>11</v>
      </c>
      <c r="I120" s="8" t="s">
        <v>11</v>
      </c>
      <c r="J120" s="8">
        <v>3</v>
      </c>
      <c r="K120" s="8" t="s">
        <v>257</v>
      </c>
      <c r="L120" s="8" t="str">
        <f t="shared" si="1"/>
        <v>ORD</v>
      </c>
    </row>
    <row r="121" spans="1:12" x14ac:dyDescent="0.35">
      <c r="A121" s="8" t="s">
        <v>258</v>
      </c>
      <c r="B121" s="8" t="s">
        <v>235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8" t="s">
        <v>11</v>
      </c>
      <c r="I121" s="8" t="s">
        <v>11</v>
      </c>
      <c r="J121" s="8">
        <v>3</v>
      </c>
      <c r="K121" s="8" t="s">
        <v>259</v>
      </c>
      <c r="L121" s="8" t="str">
        <f t="shared" si="1"/>
        <v>ORD</v>
      </c>
    </row>
    <row r="122" spans="1:12" x14ac:dyDescent="0.35">
      <c r="A122" s="8" t="s">
        <v>260</v>
      </c>
      <c r="B122" s="8" t="s">
        <v>235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8" t="s">
        <v>11</v>
      </c>
      <c r="I122" s="8" t="s">
        <v>11</v>
      </c>
      <c r="J122" s="8">
        <v>3</v>
      </c>
      <c r="K122" s="8" t="s">
        <v>261</v>
      </c>
      <c r="L122" s="8" t="str">
        <f t="shared" si="1"/>
        <v>ORD</v>
      </c>
    </row>
    <row r="123" spans="1:12" x14ac:dyDescent="0.35">
      <c r="A123" s="4" t="s">
        <v>262</v>
      </c>
      <c r="B123" s="4" t="s">
        <v>139</v>
      </c>
      <c r="C123" s="5">
        <v>0</v>
      </c>
      <c r="D123" s="5">
        <v>3079</v>
      </c>
      <c r="E123" s="5">
        <v>0</v>
      </c>
      <c r="F123" s="5">
        <v>6877</v>
      </c>
      <c r="G123" s="5">
        <v>-6877</v>
      </c>
      <c r="H123" s="4" t="s">
        <v>11</v>
      </c>
      <c r="I123" s="4" t="s">
        <v>11</v>
      </c>
      <c r="J123" s="4">
        <v>1</v>
      </c>
      <c r="K123" s="4" t="s">
        <v>262</v>
      </c>
      <c r="L123" s="4" t="str">
        <f t="shared" si="1"/>
        <v>WBS</v>
      </c>
    </row>
    <row r="124" spans="1:12" x14ac:dyDescent="0.35">
      <c r="A124" s="6" t="s">
        <v>359</v>
      </c>
      <c r="B124" s="6" t="s">
        <v>139</v>
      </c>
      <c r="C124" s="7">
        <v>0</v>
      </c>
      <c r="D124" s="7">
        <v>3079</v>
      </c>
      <c r="E124" s="7">
        <v>0</v>
      </c>
      <c r="F124" s="7">
        <v>6877</v>
      </c>
      <c r="G124" s="7">
        <v>-6877</v>
      </c>
      <c r="H124" s="6" t="s">
        <v>8</v>
      </c>
      <c r="I124" s="6" t="s">
        <v>8</v>
      </c>
      <c r="J124" s="6">
        <v>2</v>
      </c>
      <c r="K124" s="6" t="s">
        <v>263</v>
      </c>
      <c r="L124" s="6" t="str">
        <f t="shared" si="1"/>
        <v>WBS</v>
      </c>
    </row>
    <row r="125" spans="1:12" x14ac:dyDescent="0.35">
      <c r="A125" s="8" t="s">
        <v>360</v>
      </c>
      <c r="B125" s="8" t="s">
        <v>169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8" t="s">
        <v>8</v>
      </c>
      <c r="I125" s="8" t="s">
        <v>8</v>
      </c>
      <c r="J125" s="8">
        <v>3</v>
      </c>
      <c r="K125" s="8" t="s">
        <v>264</v>
      </c>
      <c r="L125" s="8" t="str">
        <f t="shared" si="1"/>
        <v>WBS</v>
      </c>
    </row>
    <row r="126" spans="1:12" x14ac:dyDescent="0.35">
      <c r="A126" s="1" t="s">
        <v>265</v>
      </c>
      <c r="B126" s="1" t="s">
        <v>232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 t="s">
        <v>11</v>
      </c>
      <c r="I126" s="1" t="s">
        <v>11</v>
      </c>
      <c r="J126" s="1">
        <v>4</v>
      </c>
      <c r="K126" s="1" t="s">
        <v>266</v>
      </c>
      <c r="L126" s="1" t="str">
        <f t="shared" si="1"/>
        <v>ORD</v>
      </c>
    </row>
    <row r="127" spans="1:12" x14ac:dyDescent="0.35">
      <c r="A127" s="8" t="s">
        <v>361</v>
      </c>
      <c r="B127" s="8" t="s">
        <v>174</v>
      </c>
      <c r="C127" s="9">
        <v>0</v>
      </c>
      <c r="D127" s="9">
        <v>3079</v>
      </c>
      <c r="E127" s="9">
        <v>0</v>
      </c>
      <c r="F127" s="9">
        <v>6877</v>
      </c>
      <c r="G127" s="9">
        <v>-6877</v>
      </c>
      <c r="H127" s="8" t="s">
        <v>8</v>
      </c>
      <c r="I127" s="8" t="s">
        <v>8</v>
      </c>
      <c r="J127" s="8">
        <v>3</v>
      </c>
      <c r="K127" s="8" t="s">
        <v>267</v>
      </c>
      <c r="L127" s="8" t="str">
        <f t="shared" si="1"/>
        <v>WBS</v>
      </c>
    </row>
    <row r="128" spans="1:12" x14ac:dyDescent="0.35">
      <c r="A128" s="1" t="s">
        <v>268</v>
      </c>
      <c r="B128" s="1" t="s">
        <v>269</v>
      </c>
      <c r="C128" s="2">
        <v>0</v>
      </c>
      <c r="D128" s="2">
        <v>2540</v>
      </c>
      <c r="E128" s="2">
        <v>0</v>
      </c>
      <c r="F128" s="2">
        <v>2540</v>
      </c>
      <c r="G128" s="2">
        <v>-2540</v>
      </c>
      <c r="H128" s="1" t="s">
        <v>11</v>
      </c>
      <c r="I128" s="1" t="s">
        <v>11</v>
      </c>
      <c r="J128" s="1">
        <v>4</v>
      </c>
      <c r="K128" s="1" t="s">
        <v>270</v>
      </c>
      <c r="L128" s="1" t="str">
        <f t="shared" si="1"/>
        <v>ORD</v>
      </c>
    </row>
    <row r="129" spans="1:12" x14ac:dyDescent="0.35">
      <c r="A129" s="1" t="s">
        <v>271</v>
      </c>
      <c r="B129" s="1" t="s">
        <v>269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 t="s">
        <v>11</v>
      </c>
      <c r="I129" s="1" t="s">
        <v>11</v>
      </c>
      <c r="J129" s="1">
        <v>4</v>
      </c>
      <c r="K129" s="1" t="s">
        <v>272</v>
      </c>
      <c r="L129" s="1" t="str">
        <f t="shared" si="1"/>
        <v>ORD</v>
      </c>
    </row>
    <row r="130" spans="1:12" x14ac:dyDescent="0.35">
      <c r="A130" s="4" t="s">
        <v>273</v>
      </c>
      <c r="B130" s="4" t="s">
        <v>274</v>
      </c>
      <c r="C130" s="5">
        <v>0</v>
      </c>
      <c r="D130" s="5">
        <v>0</v>
      </c>
      <c r="E130" s="5">
        <v>0</v>
      </c>
      <c r="F130" s="5">
        <v>300</v>
      </c>
      <c r="G130" s="5">
        <v>-300</v>
      </c>
      <c r="H130" s="4" t="s">
        <v>11</v>
      </c>
      <c r="I130" s="4" t="s">
        <v>11</v>
      </c>
      <c r="J130" s="4">
        <v>1</v>
      </c>
      <c r="K130" s="4" t="s">
        <v>273</v>
      </c>
      <c r="L130" s="4" t="str">
        <f t="shared" si="1"/>
        <v>WBS</v>
      </c>
    </row>
    <row r="131" spans="1:12" x14ac:dyDescent="0.35">
      <c r="A131" s="6" t="s">
        <v>362</v>
      </c>
      <c r="B131" s="6" t="s">
        <v>274</v>
      </c>
      <c r="C131" s="7">
        <v>0</v>
      </c>
      <c r="D131" s="7">
        <v>0</v>
      </c>
      <c r="E131" s="7">
        <v>0</v>
      </c>
      <c r="F131" s="7">
        <v>300</v>
      </c>
      <c r="G131" s="7">
        <v>-300</v>
      </c>
      <c r="H131" s="6" t="s">
        <v>8</v>
      </c>
      <c r="I131" s="6" t="s">
        <v>8</v>
      </c>
      <c r="J131" s="6">
        <v>2</v>
      </c>
      <c r="K131" s="6" t="s">
        <v>275</v>
      </c>
      <c r="L131" s="6" t="str">
        <f t="shared" ref="L131:L136" si="2">IF(IFERROR(FIND("ORD",A131,1),-1)&gt;0,"ORD","WBS")</f>
        <v>WBS</v>
      </c>
    </row>
    <row r="132" spans="1:12" x14ac:dyDescent="0.35">
      <c r="A132" s="8" t="s">
        <v>363</v>
      </c>
      <c r="B132" s="8" t="s">
        <v>276</v>
      </c>
      <c r="C132" s="9">
        <v>0</v>
      </c>
      <c r="D132" s="9">
        <v>0</v>
      </c>
      <c r="E132" s="9">
        <v>0</v>
      </c>
      <c r="F132" s="9">
        <v>100</v>
      </c>
      <c r="G132" s="9">
        <v>-100</v>
      </c>
      <c r="H132" s="8" t="s">
        <v>8</v>
      </c>
      <c r="I132" s="8" t="s">
        <v>8</v>
      </c>
      <c r="J132" s="8">
        <v>3</v>
      </c>
      <c r="K132" s="8" t="s">
        <v>277</v>
      </c>
      <c r="L132" s="8" t="str">
        <f t="shared" si="2"/>
        <v>WBS</v>
      </c>
    </row>
    <row r="133" spans="1:12" x14ac:dyDescent="0.35">
      <c r="A133" s="1" t="s">
        <v>278</v>
      </c>
      <c r="B133" s="1" t="s">
        <v>279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 t="s">
        <v>11</v>
      </c>
      <c r="I133" s="1" t="s">
        <v>11</v>
      </c>
      <c r="J133" s="1">
        <v>4</v>
      </c>
      <c r="K133" s="1" t="s">
        <v>280</v>
      </c>
      <c r="L133" s="1" t="str">
        <f t="shared" si="2"/>
        <v>ORD</v>
      </c>
    </row>
    <row r="134" spans="1:12" x14ac:dyDescent="0.35">
      <c r="A134" s="8" t="s">
        <v>364</v>
      </c>
      <c r="B134" s="8" t="s">
        <v>281</v>
      </c>
      <c r="C134" s="9">
        <v>0</v>
      </c>
      <c r="D134" s="9">
        <v>0</v>
      </c>
      <c r="E134" s="9">
        <v>0</v>
      </c>
      <c r="F134" s="9">
        <v>200</v>
      </c>
      <c r="G134" s="9">
        <v>-200</v>
      </c>
      <c r="H134" s="8" t="s">
        <v>8</v>
      </c>
      <c r="I134" s="8" t="s">
        <v>8</v>
      </c>
      <c r="J134" s="8">
        <v>3</v>
      </c>
      <c r="K134" s="8" t="s">
        <v>282</v>
      </c>
      <c r="L134" s="8" t="str">
        <f t="shared" si="2"/>
        <v>WBS</v>
      </c>
    </row>
    <row r="135" spans="1:12" x14ac:dyDescent="0.35">
      <c r="A135" s="1" t="s">
        <v>283</v>
      </c>
      <c r="B135" s="1" t="s">
        <v>284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 t="s">
        <v>11</v>
      </c>
      <c r="I135" s="1" t="s">
        <v>11</v>
      </c>
      <c r="J135" s="1">
        <v>4</v>
      </c>
      <c r="K135" s="1" t="s">
        <v>285</v>
      </c>
      <c r="L135" s="1" t="str">
        <f t="shared" si="2"/>
        <v>ORD</v>
      </c>
    </row>
    <row r="136" spans="1:12" x14ac:dyDescent="0.35">
      <c r="A136" s="1" t="s">
        <v>286</v>
      </c>
      <c r="B136" s="1" t="s">
        <v>279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 t="s">
        <v>11</v>
      </c>
      <c r="I136" s="1" t="s">
        <v>11</v>
      </c>
      <c r="J136" s="1">
        <v>4</v>
      </c>
      <c r="K136" s="1" t="s">
        <v>287</v>
      </c>
      <c r="L136" s="1" t="str">
        <f t="shared" si="2"/>
        <v>ORD</v>
      </c>
    </row>
    <row r="137" spans="1:12" x14ac:dyDescent="0.35">
      <c r="A137" s="10" t="s">
        <v>288</v>
      </c>
      <c r="B137" s="10"/>
      <c r="C137" s="11">
        <f>SUMIF($J$1:$J$136,"=1",C1:C136)</f>
        <v>11536700</v>
      </c>
      <c r="D137" s="11">
        <f>SUMIF($J$1:$J$136,"=1",D1:D136)</f>
        <v>2534960</v>
      </c>
      <c r="E137" s="11">
        <f>SUMIF($J$1:$J$136,"=1",E1:E136)</f>
        <v>2855</v>
      </c>
      <c r="F137" s="11">
        <f>SUMIF($J$1:$J$136,"=1",F1:F136)</f>
        <v>564559779</v>
      </c>
      <c r="G137" s="11">
        <f>SUMIF($J$1:$J$136,"=1",G1:G136)</f>
        <v>-553023079</v>
      </c>
      <c r="H137" s="10"/>
      <c r="I137" s="10"/>
      <c r="J137" s="10"/>
      <c r="K137" s="10"/>
      <c r="L13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DE07-2E34-4900-AF24-888D96ACE14D}">
  <sheetPr codeName="Sheet5"/>
  <dimension ref="A1:L32"/>
  <sheetViews>
    <sheetView tabSelected="1" topLeftCell="G1" workbookViewId="0">
      <selection activeCell="L1" sqref="L1:L1048576"/>
    </sheetView>
  </sheetViews>
  <sheetFormatPr defaultRowHeight="14.5" x14ac:dyDescent="0.35"/>
  <cols>
    <col min="1" max="1" width="24.90625" style="1" bestFit="1" customWidth="1"/>
    <col min="2" max="2" width="11.81640625" style="1" bestFit="1" customWidth="1"/>
    <col min="3" max="3" width="17.81640625" style="1" bestFit="1" customWidth="1"/>
    <col min="4" max="4" width="17.1796875" style="1" bestFit="1" customWidth="1"/>
    <col min="5" max="5" width="24.54296875" style="1" bestFit="1" customWidth="1"/>
    <col min="6" max="6" width="19.90625" style="1" bestFit="1" customWidth="1"/>
    <col min="7" max="7" width="20.08984375" style="1" bestFit="1" customWidth="1"/>
    <col min="8" max="8" width="13.6328125" style="1" bestFit="1" customWidth="1"/>
    <col min="9" max="9" width="26.36328125" style="1" bestFit="1" customWidth="1"/>
    <col min="10" max="10" width="6.54296875" style="1" bestFit="1" customWidth="1"/>
    <col min="11" max="11" width="11.81640625" style="1" bestFit="1" customWidth="1"/>
    <col min="12" max="12" width="13.6328125" style="1" bestFit="1" customWidth="1"/>
    <col min="13" max="16384" width="8.7265625" style="1"/>
  </cols>
  <sheetData>
    <row r="1" spans="1:12" ht="41.25" customHeight="1" x14ac:dyDescent="0.35">
      <c r="A1" s="3" t="s">
        <v>0</v>
      </c>
      <c r="B1" s="3" t="s">
        <v>1</v>
      </c>
      <c r="C1" s="3" t="s">
        <v>195</v>
      </c>
      <c r="D1" s="3" t="s">
        <v>365</v>
      </c>
      <c r="E1" s="3" t="s">
        <v>366</v>
      </c>
      <c r="F1" s="3" t="s">
        <v>367</v>
      </c>
      <c r="G1" s="3" t="s">
        <v>368</v>
      </c>
      <c r="H1" s="3" t="s">
        <v>4</v>
      </c>
      <c r="I1" s="3" t="s">
        <v>5</v>
      </c>
      <c r="J1" s="3" t="s">
        <v>2</v>
      </c>
      <c r="K1" s="3" t="s">
        <v>3</v>
      </c>
      <c r="L1" s="3" t="s">
        <v>369</v>
      </c>
    </row>
    <row r="2" spans="1:12" x14ac:dyDescent="0.35">
      <c r="A2" s="1" t="s">
        <v>370</v>
      </c>
      <c r="B2" s="1" t="s">
        <v>289</v>
      </c>
      <c r="C2" s="2">
        <v>1500</v>
      </c>
      <c r="D2" s="2">
        <v>600</v>
      </c>
      <c r="E2" s="2">
        <v>0</v>
      </c>
      <c r="F2" s="2">
        <v>600</v>
      </c>
      <c r="G2" s="2">
        <v>900</v>
      </c>
      <c r="H2" s="1" t="s">
        <v>8</v>
      </c>
      <c r="I2" s="1" t="s">
        <v>8</v>
      </c>
      <c r="J2" s="1">
        <v>4</v>
      </c>
      <c r="K2" s="1" t="s">
        <v>290</v>
      </c>
      <c r="L2" s="1" t="str">
        <f>IF(IFERROR(FIND("ORD",A2,1),-1)&gt;0,"ORD","WBS")</f>
        <v>WBS</v>
      </c>
    </row>
    <row r="3" spans="1:12" x14ac:dyDescent="0.35">
      <c r="A3" s="4" t="s">
        <v>291</v>
      </c>
      <c r="B3" s="4" t="s">
        <v>292</v>
      </c>
      <c r="C3" s="5">
        <v>0</v>
      </c>
      <c r="D3" s="5">
        <v>1754699</v>
      </c>
      <c r="E3" s="5">
        <v>260</v>
      </c>
      <c r="F3" s="5">
        <v>1754959</v>
      </c>
      <c r="G3" s="5">
        <v>-1754959</v>
      </c>
      <c r="H3" s="4" t="s">
        <v>11</v>
      </c>
      <c r="I3" s="4" t="s">
        <v>11</v>
      </c>
      <c r="J3" s="4">
        <v>1</v>
      </c>
      <c r="K3" s="4" t="s">
        <v>291</v>
      </c>
      <c r="L3" s="4" t="str">
        <f t="shared" ref="L3:L6" si="0">IF(IFERROR(FIND("ORD",A3,1),-1)&gt;0,"ORD","WBS")</f>
        <v>WBS</v>
      </c>
    </row>
    <row r="4" spans="1:12" x14ac:dyDescent="0.35">
      <c r="A4" s="6" t="s">
        <v>371</v>
      </c>
      <c r="B4" s="6" t="s">
        <v>293</v>
      </c>
      <c r="C4" s="7">
        <v>0</v>
      </c>
      <c r="D4" s="7">
        <v>1754699</v>
      </c>
      <c r="E4" s="7">
        <v>260</v>
      </c>
      <c r="F4" s="7">
        <v>1754959</v>
      </c>
      <c r="G4" s="7">
        <v>-1754959</v>
      </c>
      <c r="H4" s="6" t="s">
        <v>8</v>
      </c>
      <c r="I4" s="6" t="s">
        <v>8</v>
      </c>
      <c r="J4" s="6">
        <v>2</v>
      </c>
      <c r="K4" s="6" t="s">
        <v>294</v>
      </c>
      <c r="L4" s="6" t="str">
        <f t="shared" si="0"/>
        <v>WBS</v>
      </c>
    </row>
    <row r="5" spans="1:12" x14ac:dyDescent="0.35">
      <c r="A5" s="8" t="s">
        <v>372</v>
      </c>
      <c r="B5" s="8" t="s">
        <v>14</v>
      </c>
      <c r="C5" s="9">
        <v>0</v>
      </c>
      <c r="D5" s="9">
        <v>1754239</v>
      </c>
      <c r="E5" s="9">
        <v>260</v>
      </c>
      <c r="F5" s="9">
        <v>1754499</v>
      </c>
      <c r="G5" s="9">
        <v>-1754499</v>
      </c>
      <c r="H5" s="8" t="s">
        <v>8</v>
      </c>
      <c r="I5" s="8" t="s">
        <v>8</v>
      </c>
      <c r="J5" s="8">
        <v>3</v>
      </c>
      <c r="K5" s="8" t="s">
        <v>295</v>
      </c>
      <c r="L5" s="8" t="str">
        <f t="shared" si="0"/>
        <v>WBS</v>
      </c>
    </row>
    <row r="6" spans="1:12" x14ac:dyDescent="0.35">
      <c r="A6" s="1" t="s">
        <v>373</v>
      </c>
      <c r="B6" s="1" t="s">
        <v>296</v>
      </c>
      <c r="C6" s="2">
        <v>0</v>
      </c>
      <c r="D6" s="2">
        <v>1000000</v>
      </c>
      <c r="E6" s="2">
        <v>0</v>
      </c>
      <c r="F6" s="2">
        <v>1000000</v>
      </c>
      <c r="G6" s="2">
        <v>-1000000</v>
      </c>
      <c r="H6" s="1" t="s">
        <v>8</v>
      </c>
      <c r="I6" s="1" t="s">
        <v>8</v>
      </c>
      <c r="J6" s="1">
        <v>4</v>
      </c>
      <c r="K6" s="1" t="s">
        <v>297</v>
      </c>
      <c r="L6" s="1" t="str">
        <f t="shared" si="0"/>
        <v>WBS</v>
      </c>
    </row>
    <row r="7" spans="1:12" x14ac:dyDescent="0.35">
      <c r="A7" s="10" t="s">
        <v>288</v>
      </c>
      <c r="B7" s="10"/>
      <c r="C7" s="11">
        <f>SUMIF($J$1:$J$6,"=1",C1:C6)</f>
        <v>0</v>
      </c>
      <c r="D7" s="11">
        <f>SUMIF($J$1:$J$6,"=1",D1:D6)</f>
        <v>1754699</v>
      </c>
      <c r="E7" s="11">
        <f>SUMIF($J$1:$J$6,"=1",E1:E6)</f>
        <v>260</v>
      </c>
      <c r="F7" s="11">
        <f>SUMIF($J$1:$J$6,"=1",F1:F6)</f>
        <v>1754959</v>
      </c>
      <c r="G7" s="11">
        <f>SUMIF($J$1:$J$6,"=1",G1:G6)</f>
        <v>-1754959</v>
      </c>
      <c r="H7" s="10"/>
      <c r="I7" s="10"/>
      <c r="J7" s="10"/>
      <c r="K7" s="10"/>
      <c r="L7" s="10"/>
    </row>
    <row r="8" spans="1:12" x14ac:dyDescent="0.35">
      <c r="C8" s="2"/>
      <c r="D8" s="2"/>
      <c r="E8" s="2"/>
      <c r="F8" s="2"/>
      <c r="G8" s="2"/>
    </row>
    <row r="9" spans="1:12" x14ac:dyDescent="0.35">
      <c r="C9" s="2"/>
      <c r="D9" s="2"/>
      <c r="E9" s="2"/>
      <c r="F9" s="2"/>
      <c r="G9" s="2"/>
    </row>
    <row r="10" spans="1:12" x14ac:dyDescent="0.35">
      <c r="C10" s="2"/>
      <c r="D10" s="2"/>
      <c r="E10" s="2"/>
      <c r="F10" s="2"/>
      <c r="G10" s="2"/>
    </row>
    <row r="11" spans="1:12" x14ac:dyDescent="0.35">
      <c r="C11" s="2"/>
      <c r="D11" s="2"/>
      <c r="E11" s="2"/>
      <c r="F11" s="2"/>
      <c r="G11" s="2"/>
    </row>
    <row r="12" spans="1:12" x14ac:dyDescent="0.35">
      <c r="C12" s="2"/>
      <c r="D12" s="2"/>
      <c r="E12" s="2"/>
      <c r="F12" s="2"/>
      <c r="G12" s="2"/>
    </row>
    <row r="13" spans="1:12" x14ac:dyDescent="0.35">
      <c r="C13" s="2"/>
      <c r="D13" s="2"/>
      <c r="E13" s="2"/>
      <c r="F13" s="2"/>
      <c r="G13" s="2"/>
    </row>
    <row r="14" spans="1:12" x14ac:dyDescent="0.35">
      <c r="C14" s="2"/>
      <c r="D14" s="2"/>
      <c r="E14" s="2"/>
      <c r="F14" s="2"/>
      <c r="G14" s="2"/>
    </row>
    <row r="15" spans="1:12" x14ac:dyDescent="0.35">
      <c r="C15" s="2"/>
      <c r="D15" s="2"/>
      <c r="E15" s="2"/>
      <c r="F15" s="2"/>
      <c r="G15" s="2"/>
    </row>
    <row r="16" spans="1:12" x14ac:dyDescent="0.35">
      <c r="C16" s="2"/>
      <c r="D16" s="2"/>
      <c r="E16" s="2"/>
      <c r="F16" s="2"/>
      <c r="G16" s="2"/>
    </row>
    <row r="17" spans="3:7" x14ac:dyDescent="0.35">
      <c r="C17" s="2"/>
      <c r="D17" s="2"/>
      <c r="E17" s="2"/>
      <c r="F17" s="2"/>
      <c r="G17" s="2"/>
    </row>
    <row r="18" spans="3:7" x14ac:dyDescent="0.35">
      <c r="C18" s="2"/>
      <c r="D18" s="2"/>
      <c r="E18" s="2"/>
      <c r="F18" s="2"/>
      <c r="G18" s="2"/>
    </row>
    <row r="19" spans="3:7" x14ac:dyDescent="0.35">
      <c r="C19" s="2"/>
      <c r="D19" s="2"/>
      <c r="E19" s="2"/>
      <c r="F19" s="2"/>
      <c r="G19" s="2"/>
    </row>
    <row r="20" spans="3:7" x14ac:dyDescent="0.35">
      <c r="C20" s="2"/>
      <c r="D20" s="2"/>
      <c r="E20" s="2"/>
      <c r="F20" s="2"/>
      <c r="G20" s="2"/>
    </row>
    <row r="21" spans="3:7" x14ac:dyDescent="0.35">
      <c r="C21" s="2"/>
      <c r="D21" s="2"/>
      <c r="E21" s="2"/>
      <c r="F21" s="2"/>
      <c r="G21" s="2"/>
    </row>
    <row r="32" spans="3:7" ht="30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3rd Party</vt:lpstr>
      <vt:lpstr>Manpower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Quoc Dat Kenway</dc:creator>
  <cp:lastModifiedBy>Hoang Quoc Dat Kenway</cp:lastModifiedBy>
  <dcterms:created xsi:type="dcterms:W3CDTF">2026-04-16T17:23:50Z</dcterms:created>
  <dcterms:modified xsi:type="dcterms:W3CDTF">2026-04-16T17:23:55Z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2026-04-16T17:23:53Z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48776f5e-ff2e-462b-9edf-f7026a467336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