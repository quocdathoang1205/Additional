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70023796\Desktop\Project\Main_Link\RepoGit\Additional\DCT - Guide\"/>
    </mc:Choice>
  </mc:AlternateContent>
  <xr:revisionPtr revIDLastSave="0" documentId="13_ncr:1_{34B196C5-7F8D-480C-9261-3052813FB9A9}" xr6:coauthVersionLast="47" xr6:coauthVersionMax="47" xr10:uidLastSave="{00000000-0000-0000-0000-000000000000}"/>
  <bookViews>
    <workbookView xWindow="-110" yWindow="-110" windowWidth="25820" windowHeight="13900" activeTab="1" xr2:uid="{7CAA1510-BEF0-44FB-B9DF-6BA498C876D6}"/>
  </bookViews>
  <sheets>
    <sheet name="Temp Sample" sheetId="8" r:id="rId1"/>
    <sheet name="Recap" sheetId="6" r:id="rId2"/>
    <sheet name="Reversal Scenarios" sheetId="7" r:id="rId3"/>
    <sheet name="WBS Accounting Entry" sheetId="9" r:id="rId4"/>
    <sheet name="Opt3 (Final)" sheetId="5" r:id="rId5"/>
    <sheet name="Opt3" sheetId="4" r:id="rId6"/>
    <sheet name="Strategy Options" sheetId="1" r:id="rId7"/>
    <sheet name="LSMW Table" sheetId="2" r:id="rId8"/>
    <sheet name="LSMW Temp" sheetId="3" r:id="rId9"/>
  </sheets>
  <definedNames>
    <definedName name="_xlnm._FilterDatabase" localSheetId="3" hidden="1">'WBS Accounting Entry'!$A$95:$AB$135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5" i="9" l="1"/>
  <c r="G145" i="9"/>
  <c r="F145" i="9"/>
  <c r="E145" i="9"/>
  <c r="I145" i="9" s="1"/>
  <c r="G144" i="9"/>
  <c r="H143" i="9"/>
  <c r="G143" i="9"/>
  <c r="F143" i="9"/>
  <c r="H142" i="9"/>
  <c r="E142" i="9"/>
  <c r="H141" i="9"/>
  <c r="E141" i="9"/>
  <c r="I141" i="9" s="1"/>
  <c r="H140" i="9"/>
  <c r="G140" i="9"/>
  <c r="H139" i="9"/>
  <c r="G139" i="9"/>
  <c r="F139" i="9"/>
  <c r="I139" i="9" s="1"/>
  <c r="E139" i="9"/>
  <c r="H138" i="9"/>
  <c r="G138" i="9"/>
  <c r="F138" i="9"/>
  <c r="E138" i="9"/>
  <c r="I138" i="9" s="1"/>
  <c r="I132" i="9"/>
  <c r="I131" i="9"/>
  <c r="I126" i="9"/>
  <c r="I125" i="9"/>
  <c r="I124" i="9"/>
  <c r="I123" i="9"/>
  <c r="I117" i="9"/>
  <c r="H117" i="9"/>
  <c r="H144" i="9" s="1"/>
  <c r="G117" i="9"/>
  <c r="F117" i="9"/>
  <c r="F144" i="9" s="1"/>
  <c r="E117" i="9"/>
  <c r="E144" i="9" s="1"/>
  <c r="I144" i="9" s="1"/>
  <c r="H116" i="9"/>
  <c r="G116" i="9"/>
  <c r="F116" i="9"/>
  <c r="E116" i="9"/>
  <c r="E143" i="9" s="1"/>
  <c r="I143" i="9" s="1"/>
  <c r="H115" i="9"/>
  <c r="G115" i="9"/>
  <c r="G142" i="9" s="1"/>
  <c r="F115" i="9"/>
  <c r="F142" i="9" s="1"/>
  <c r="E115" i="9"/>
  <c r="H114" i="9"/>
  <c r="G114" i="9"/>
  <c r="G141" i="9" s="1"/>
  <c r="F114" i="9"/>
  <c r="F141" i="9" s="1"/>
  <c r="E114" i="9"/>
  <c r="H113" i="9"/>
  <c r="G113" i="9"/>
  <c r="F113" i="9"/>
  <c r="F140" i="9" s="1"/>
  <c r="E113" i="9"/>
  <c r="E140" i="9" s="1"/>
  <c r="I108" i="9"/>
  <c r="I107" i="9"/>
  <c r="I106" i="9"/>
  <c r="I100" i="9"/>
  <c r="I99" i="9"/>
  <c r="I116" i="9" s="1"/>
  <c r="I98" i="9"/>
  <c r="I115" i="9" s="1"/>
  <c r="I97" i="9"/>
  <c r="I114" i="9" s="1"/>
  <c r="I96" i="9"/>
  <c r="I113" i="9" s="1"/>
  <c r="AB7" i="9"/>
  <c r="AA7" i="9"/>
  <c r="Z7" i="9"/>
  <c r="X7" i="9"/>
  <c r="Y7" i="9" s="1"/>
  <c r="AA6" i="9"/>
  <c r="Z6" i="9"/>
  <c r="Y6" i="9" s="1"/>
  <c r="X6" i="9"/>
  <c r="W6" i="9"/>
  <c r="V6" i="9"/>
  <c r="U6" i="9"/>
  <c r="T6" i="9"/>
  <c r="S6" i="9"/>
  <c r="R6" i="9"/>
  <c r="Q6" i="9"/>
  <c r="AB6" i="9" s="1"/>
  <c r="AB5" i="9"/>
  <c r="AA5" i="9"/>
  <c r="Z5" i="9"/>
  <c r="Y5" i="9" s="1"/>
  <c r="X5" i="9"/>
  <c r="AA4" i="9"/>
  <c r="Z4" i="9"/>
  <c r="Y4" i="9" s="1"/>
  <c r="X4" i="9"/>
  <c r="W4" i="9"/>
  <c r="V4" i="9"/>
  <c r="U4" i="9"/>
  <c r="T4" i="9"/>
  <c r="S4" i="9"/>
  <c r="R4" i="9"/>
  <c r="Q4" i="9"/>
  <c r="AB4" i="9" s="1"/>
  <c r="T9" i="7"/>
  <c r="D17" i="7"/>
  <c r="L9" i="7"/>
  <c r="D9" i="7"/>
  <c r="D24" i="7"/>
  <c r="D31" i="7"/>
  <c r="Z13" i="6"/>
  <c r="Z12" i="6"/>
  <c r="Z11" i="6"/>
  <c r="Z10" i="6"/>
  <c r="AJ27" i="6"/>
  <c r="AJ28" i="6"/>
  <c r="AJ29" i="6"/>
  <c r="AJ34" i="6"/>
  <c r="AJ35" i="6"/>
  <c r="AJ26" i="6"/>
  <c r="AJ19" i="6"/>
  <c r="AJ20" i="6"/>
  <c r="AJ21" i="6"/>
  <c r="AJ22" i="6"/>
  <c r="AJ23" i="6"/>
  <c r="AJ24" i="6"/>
  <c r="AJ25" i="6"/>
  <c r="AJ18" i="6"/>
  <c r="AJ13" i="6"/>
  <c r="AJ12" i="6"/>
  <c r="AJ11" i="6"/>
  <c r="AJ10" i="6"/>
  <c r="AJ5" i="6"/>
  <c r="AJ6" i="6"/>
  <c r="AJ7" i="6"/>
  <c r="AJ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4" i="6"/>
  <c r="AG35" i="6"/>
  <c r="AG4" i="6"/>
  <c r="AJ17" i="6"/>
  <c r="AJ16" i="6"/>
  <c r="AJ15" i="6"/>
  <c r="AJ14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Z15" i="6"/>
  <c r="Z16" i="6"/>
  <c r="Z17" i="6"/>
  <c r="Z18" i="6"/>
  <c r="Z19" i="6"/>
  <c r="Z20" i="6"/>
  <c r="Z21" i="6"/>
  <c r="Z22" i="6"/>
  <c r="Z23" i="6"/>
  <c r="Z24" i="6"/>
  <c r="Z25" i="6"/>
  <c r="Z14" i="6"/>
  <c r="AC11" i="6"/>
  <c r="AC12" i="6"/>
  <c r="AC13" i="6"/>
  <c r="AC10" i="6"/>
  <c r="Z5" i="6"/>
  <c r="Z6" i="6"/>
  <c r="Z7" i="6"/>
  <c r="Z4" i="6"/>
  <c r="AC5" i="6"/>
  <c r="AC6" i="6"/>
  <c r="AC7" i="6"/>
  <c r="AC4" i="6"/>
  <c r="I142" i="9" l="1"/>
  <c r="I14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tc={38A44E51-1208-4877-8E14-E23CFE369053}</author>
    <author>tc={D359C89C-3A5A-4A09-B19A-66B8861148A3}</author>
    <author>tc={07818701-5D3F-481A-96CA-7D8EBACB7E9E}</author>
    <author>tc={A9155D62-C2E3-4D41-9796-044F0F11BB65}</author>
    <author>tc={408E9B9D-97DE-4F47-A683-46FFC3B41462}</author>
    <author>tc={9D270AC8-0A8B-4363-8EE2-7BEFCF81D537}</author>
    <author>tc={FF6A6A58-1F1E-4339-B999-C37E05026D1A}</author>
    <author>tc={A42F0CA2-1B40-4746-BA75-DF1F403729AE}</author>
    <author>tc={7CA63F4A-12F7-4B05-9563-A8F2A6BFF1E0}</author>
    <author>tc={A73B61B3-0B76-4C08-9F6F-6195E6B302D9}</author>
    <author>tc={F9034908-F74B-4043-A9DC-72C9E0033C24}</author>
    <author>tc={8B090461-5618-432A-AC6A-744212C9C304}</author>
    <author>tc={C15A7600-92B5-4F4D-B509-CF7896BF58A0}</author>
    <author>tc={5B01ACEA-8673-4265-9483-F80D500B3E5F}</author>
    <author>tc={C83DE4A6-C738-401A-8F7B-AC07BCC5FE64}</author>
  </authors>
  <commentList>
    <comment ref="B4" authorId="0" shapeId="0" xr:uid="{38A44E51-1208-4877-8E14-E23CFE369053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Wrong understanding</t>
      </text>
    </comment>
    <comment ref="C4" authorId="1" shapeId="0" xr:uid="{D359C89C-3A5A-4A09-B19A-66B8861148A3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Wrong understanding</t>
      </text>
    </comment>
    <comment ref="D4" authorId="2" shapeId="0" xr:uid="{07818701-5D3F-481A-96CA-7D8EBACB7E9E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Missing / Wrongly fill with CC</t>
      </text>
    </comment>
    <comment ref="E4" authorId="3" shapeId="0" xr:uid="{A9155D62-C2E3-4D41-9796-044F0F11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Wrongly put for BS</t>
      </text>
    </comment>
    <comment ref="F4" authorId="4" shapeId="0" xr:uid="{408E9B9D-97DE-4F47-A683-46FFC3B41462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Missing</t>
      </text>
    </comment>
    <comment ref="G4" authorId="5" shapeId="0" xr:uid="{9D270AC8-0A8B-4363-8EE2-7BEFCF81D537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Missing</t>
      </text>
    </comment>
    <comment ref="H4" authorId="6" shapeId="0" xr:uid="{FF6A6A58-1F1E-4339-B999-C37E05026D1A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Missing</t>
      </text>
    </comment>
    <comment ref="I4" authorId="7" shapeId="0" xr:uid="{A42F0CA2-1B40-4746-BA75-DF1F403729AE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Wrongly selected</t>
      </text>
    </comment>
    <comment ref="B32" authorId="8" shapeId="0" xr:uid="{7CA63F4A-12F7-4B05-9563-A8F2A6BFF1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Missing Asset SubNo.</t>
      </text>
    </comment>
    <comment ref="C32" authorId="9" shapeId="0" xr:uid="{A73B61B3-0B76-4C08-9F6F-6195E6B302D9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Wrong understanding</t>
      </text>
    </comment>
    <comment ref="D32" authorId="10" shapeId="0" xr:uid="{F9034908-F74B-4043-A9DC-72C9E0033C24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Missing</t>
      </text>
    </comment>
    <comment ref="D38" authorId="11" shapeId="0" xr:uid="{8B090461-5618-432A-AC6A-744212C9C304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Wrong understanding</t>
      </text>
    </comment>
    <comment ref="B44" authorId="12" shapeId="0" xr:uid="{C15A7600-92B5-4F4D-B509-CF7896BF58A0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Missing + Wrong understanding</t>
      </text>
    </comment>
    <comment ref="E44" authorId="13" shapeId="0" xr:uid="{5B01ACEA-8673-4265-9483-F80D500B3E5F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Recheck understanding</t>
      </text>
    </comment>
    <comment ref="F44" authorId="14" shapeId="0" xr:uid="{C83DE4A6-C738-401A-8F7B-AC07BCC5FE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FINDING:
Wrong understanding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Toh Sor Lan</author>
  </authors>
  <commentList>
    <comment ref="B1" authorId="0" shapeId="0" xr:uid="{A52BDDED-00E2-44D5-8749-E228CA9D1052}">
      <text>
        <r>
          <rPr>
            <sz val="8"/>
            <color indexed="81"/>
            <rFont val="Tahoma"/>
            <family val="2"/>
          </rPr>
          <t>Instructions:
1. Columns in RED are mandatory
2. Enter Company code and Posting Date to start a new journal posting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tc={FA784C6A-A253-4B1B-A59C-363C6A3F003D}</author>
  </authors>
  <commentList>
    <comment ref="C17" authorId="0" shapeId="0" xr:uid="{FA784C6A-A253-4B1B-A59C-363C6A3F003D}">
      <text>
        <t>[Threaded comment]
Your version of Excel allows you to read this threaded comment; however, any edits to it will get removed if the file is opened in a newer version of Excel. Learn more: https://go.microsoft.com/fwlink/?linkid=870924
Comment:
    1 Migration Open BS
1 Migration Normal AR
1 Migration Downpayment AR
1 Migration Normal AP
1 Migration Downpayment AP
1 Migration Inventory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tc={31A57323-7DF0-4B2F-9222-8FFF99F19E88}</author>
  </authors>
  <commentList>
    <comment ref="C31" authorId="0" shapeId="0" xr:uid="{31A57323-7DF0-4B2F-9222-8FFF99F19E88}">
      <text>
        <t>[Threaded comment]
Your version of Excel allows you to read this threaded comment; however, any edits to it will get removed if the file is opened in a newer version of Excel. Learn more: https://go.microsoft.com/fwlink/?linkid=870924
Comment:
    If needed then in 3 Migration Templates or 1 Migration Template with Sum, we will have to fill in Open items per month-end (6 months in total)</t>
      </text>
    </comment>
  </commentList>
</comments>
</file>

<file path=xl/sharedStrings.xml><?xml version="1.0" encoding="utf-8"?>
<sst xmlns="http://schemas.openxmlformats.org/spreadsheetml/2006/main" count="1665" uniqueCount="678">
  <si>
    <t>Asset Cumulative values (Acquisition + Accum. Depreciation)</t>
  </si>
  <si>
    <t>Asset Posted Depreciation in current FY</t>
  </si>
  <si>
    <t>Open Items BS GLACs</t>
  </si>
  <si>
    <t>Open AR</t>
  </si>
  <si>
    <t>Open AP</t>
  </si>
  <si>
    <t>Transaction Balances</t>
  </si>
  <si>
    <t>Transaction Details</t>
  </si>
  <si>
    <t>2025 Ending Balances</t>
  </si>
  <si>
    <t>Migration Objects</t>
  </si>
  <si>
    <t>Ending Balances Only</t>
  </si>
  <si>
    <t>1/2/3</t>
  </si>
  <si>
    <t>1</t>
  </si>
  <si>
    <t>2</t>
  </si>
  <si>
    <t>2/3</t>
  </si>
  <si>
    <t>3</t>
  </si>
  <si>
    <t>No Need</t>
  </si>
  <si>
    <t>In Option 3</t>
  </si>
  <si>
    <t>_For Open BS/AR/AP, we post the Ending Balance on 31-Dec-2025 then reverse on 30-June-2026</t>
  </si>
  <si>
    <t>_For Asset Posted Depreciation</t>
  </si>
  <si>
    <t>_For Asset Cumulative values</t>
  </si>
  <si>
    <t>1. Set Transfer Date 31.12.2025 (FAA_CMP_LDT)</t>
  </si>
  <si>
    <t>2. Manually run depreciation via AFAB for 6 months of 2026 (aka Posted Depreciation is 0 initially in template)</t>
  </si>
  <si>
    <t>Choice 1</t>
  </si>
  <si>
    <t>Choice 2</t>
  </si>
  <si>
    <t>1. Set Transfer Date 30.06.2026 + Closed FY 2025 + Highest Open FY 2026 (FAA_CMP_LDT)</t>
  </si>
  <si>
    <t>1. Set Transfer Date 31.12.2025 + Closed FY 2025 + Highest Open FY 2026 (FAA_CMP_LDT) already carried forward (FAGLGVTR)</t>
  </si>
  <si>
    <t>1. Set Transfer Date 30.06.2026 + Closed FY 2025 + Highest Open FY 2026 (FAA_CMP_LDT) already carried forward (FAGLGVTR)</t>
  </si>
  <si>
    <t>2. Upload template to migrate all Assets on 31-Dec-2025 then carryforward to 2026</t>
  </si>
  <si>
    <t>_For Asset transaction in current FY</t>
  </si>
  <si>
    <t>OK</t>
  </si>
  <si>
    <t>1. Manually post via AB01L that syncs with Asset Posted Depreciation</t>
  </si>
  <si>
    <t>BUKRS</t>
  </si>
  <si>
    <t>Company Code</t>
  </si>
  <si>
    <t>ANLN1</t>
  </si>
  <si>
    <t>Main Asset Number</t>
  </si>
  <si>
    <t>ANLN2</t>
  </si>
  <si>
    <t>Asset Subnumber</t>
  </si>
  <si>
    <t>BWASL</t>
  </si>
  <si>
    <t>Trans. Type (HQ Manual Add)</t>
  </si>
  <si>
    <t>BLDAT</t>
  </si>
  <si>
    <t>Document Date in Document</t>
  </si>
  <si>
    <t>BUDAT</t>
  </si>
  <si>
    <t>Posting Date in the Document</t>
  </si>
  <si>
    <t>BZDAT</t>
  </si>
  <si>
    <t>Asset Value Date</t>
  </si>
  <si>
    <t>ANBTR</t>
  </si>
  <si>
    <t>Amount Posted</t>
  </si>
  <si>
    <t>MEINS</t>
  </si>
  <si>
    <t>Base Unit of Measure</t>
  </si>
  <si>
    <t>GKONT</t>
  </si>
  <si>
    <t>Offsetting Account Number</t>
  </si>
  <si>
    <t>C</t>
  </si>
  <si>
    <t>0000</t>
  </si>
  <si>
    <t>03.03.2026</t>
  </si>
  <si>
    <t>04.03.2026</t>
  </si>
  <si>
    <t>05.03.2026</t>
  </si>
  <si>
    <t>06.03.2026</t>
  </si>
  <si>
    <t>Need LSMW or Z-program (Achieve correct posting dates)</t>
  </si>
  <si>
    <t>Incorrect posting dates, can use Choice 1 option instead</t>
  </si>
  <si>
    <t>(Remove, later assign Constant blank)</t>
  </si>
  <si>
    <t>OK in case depreciation calculation is consistent</t>
  </si>
  <si>
    <t>Option 2: Ending Balances 2025 + Transaction Balances Jun-26</t>
  </si>
  <si>
    <t>Option 3: Ending Balances 2025 + Transaction Details Jun-26</t>
  </si>
  <si>
    <t>In Option 2</t>
  </si>
  <si>
    <t>Option 1: Ending Balances on Jun-26 only</t>
  </si>
  <si>
    <r>
      <t>Non-Open Items BS GLACs</t>
    </r>
    <r>
      <rPr>
        <i/>
        <sz val="10"/>
        <color theme="1"/>
        <rFont val="Aptos Narrow"/>
        <family val="2"/>
        <scheme val="minor"/>
      </rPr>
      <t xml:space="preserve">
_Exclude Asset Acquisition + Accumulated Depreciation GLACs (Option 2 + Option 3 Choice 1)</t>
    </r>
  </si>
  <si>
    <r>
      <t>P&amp;L GLACs</t>
    </r>
    <r>
      <rPr>
        <i/>
        <sz val="10"/>
        <color theme="1"/>
        <rFont val="Aptos Narrow"/>
        <family val="2"/>
        <scheme val="minor"/>
      </rPr>
      <t xml:space="preserve">
_Exclude Asset Depreciation Cost GLAC (Option 3 Choice 1)
_Exclude WBS input cost as it has custom template (Option 3)
_WBS revenue recorded in COPA with a dummy WBS per company (Option 3)</t>
    </r>
  </si>
  <si>
    <t>2*</t>
  </si>
  <si>
    <t>3* (or AFAB)</t>
  </si>
  <si>
    <t>Asset Transactions in current FY</t>
  </si>
  <si>
    <r>
      <t xml:space="preserve">=&gt; </t>
    </r>
    <r>
      <rPr>
        <b/>
        <sz val="11"/>
        <color theme="1"/>
        <rFont val="Aptos Narrow"/>
        <family val="2"/>
        <scheme val="minor"/>
      </rPr>
      <t>FAST</t>
    </r>
    <r>
      <rPr>
        <sz val="11"/>
        <color theme="1"/>
        <rFont val="Aptos Narrow"/>
        <family val="2"/>
        <scheme val="minor"/>
      </rPr>
      <t xml:space="preserve"> but Missing/Incorrect 2025 reports + monthly reports from Jan -&gt; Jun-26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</si>
  <si>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SIMPLIFIED</t>
    </r>
    <r>
      <rPr>
        <sz val="11"/>
        <color theme="1"/>
        <rFont val="Aptos Narrow"/>
        <family val="2"/>
        <scheme val="minor"/>
      </rPr>
      <t xml:space="preserve"> but Difficult to cross-check with legacy systems + Heavy workload at aggregation process per profit segment for Revenue/COS transactions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</si>
  <si>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MOST DETAILED</t>
    </r>
    <r>
      <rPr>
        <sz val="11"/>
        <color theme="1"/>
        <rFont val="Aptos Narrow"/>
        <family val="2"/>
        <scheme val="minor"/>
      </rPr>
      <t xml:space="preserve"> but Increase workload</t>
    </r>
  </si>
  <si>
    <t>2/3 or 3*</t>
  </si>
  <si>
    <t>_WBS revenue recorded in COPA with a dummy WBS per company</t>
  </si>
  <si>
    <t>_Exclude WBS input cost as it has custom template</t>
  </si>
  <si>
    <t>_Exclude Asset Depreciation Cost GLAC (Choice 1)</t>
  </si>
  <si>
    <t>P&amp;L GLACs</t>
  </si>
  <si>
    <t>_Exclude Asset Acquisition + Accumulated Depreciation GLACs (Choice 1)</t>
  </si>
  <si>
    <t>Scope: Ending Balances 2025 + Transaction Details from Jan-26 to Jun-26</t>
  </si>
  <si>
    <t>Jan-26 -&gt; June-26 Transaction Details</t>
  </si>
  <si>
    <t>Template</t>
  </si>
  <si>
    <t>Direct Post*</t>
  </si>
  <si>
    <t>LSMW / Z Program</t>
  </si>
  <si>
    <t>Template / LSMW / Z Program</t>
  </si>
  <si>
    <t>Manual AFAB</t>
  </si>
  <si>
    <t>Asset</t>
  </si>
  <si>
    <t>Open</t>
  </si>
  <si>
    <t>Non-Open</t>
  </si>
  <si>
    <t>Cumulative values (Acquisition + Accum. Depreciation)</t>
  </si>
  <si>
    <t>Posted Depreciation in current FY</t>
  </si>
  <si>
    <t>Transactions in current FY</t>
  </si>
  <si>
    <t>BS GLACs</t>
  </si>
  <si>
    <t>AR</t>
  </si>
  <si>
    <t>AP</t>
  </si>
  <si>
    <t>Flow:</t>
  </si>
  <si>
    <t>1 LSMW / Z Program Template</t>
  </si>
  <si>
    <t>1 Migration Template</t>
  </si>
  <si>
    <t>3 Migration Templates</t>
  </si>
  <si>
    <t>3 Migration Templates or 1 Migration Template with Sum</t>
  </si>
  <si>
    <t>_Extract details Open BS/AR/AP or Sum in 3 Temporary Migration GLACs</t>
  </si>
  <si>
    <t>_Extract ending Acquisition + Accum.Depreciation per Asset</t>
  </si>
  <si>
    <t>_Extract Asset Transactions</t>
  </si>
  <si>
    <t>1 Migration Template (Use Non-Open BS Template)</t>
  </si>
  <si>
    <t>1 LSMW / Z Program Template or 1 Migration Template (Risk in incorrect posting dates)</t>
  </si>
  <si>
    <t>General</t>
  </si>
  <si>
    <t>_Extract Asset Posted Depreciation</t>
  </si>
  <si>
    <t>1 Migration Template (Use P&amp;L Template)</t>
  </si>
  <si>
    <t>N/A</t>
  </si>
  <si>
    <t>_Extract ending Acquisition + Accum.Depreciation + Posted Depreciation per Asset</t>
  </si>
  <si>
    <t>_Extract details Open BS + Non-Open BS + P&amp;L/AR/AP on 30-Jun</t>
  </si>
  <si>
    <r>
      <t>_Extract details Open BS/AR/AP or Sum in 3 Temporary Migration GLACs</t>
    </r>
    <r>
      <rPr>
        <sz val="11"/>
        <color rgb="FFFF0000"/>
        <rFont val="Aptos Narrow"/>
        <family val="2"/>
        <scheme val="minor"/>
      </rPr>
      <t xml:space="preserve"> per month</t>
    </r>
  </si>
  <si>
    <r>
      <t xml:space="preserve">_For Open BS/AR/AP, we post the Ending Balance on 31-Dec-2025 then reverse on 30-June-2026 </t>
    </r>
    <r>
      <rPr>
        <i/>
        <u/>
        <sz val="10"/>
        <color rgb="FFC00000"/>
        <rFont val="Aptos Narrow"/>
        <family val="2"/>
        <scheme val="minor"/>
      </rPr>
      <t>(If monthly report needed then reverse the posting at the beginning of next month)</t>
    </r>
  </si>
  <si>
    <t>_Extract ending balances for Non-Open BS GLACs (Profit Center-wise)</t>
  </si>
  <si>
    <t>Choice 1 (Transfer Date: 31.12.2025)</t>
  </si>
  <si>
    <t>Choice 2 (Transfer Date: 30.06.2026)</t>
  </si>
  <si>
    <t>_Extract ending Acquisition + Accum.Depreciation per GL</t>
  </si>
  <si>
    <t>Jan-26 -&gt; June-26
Transaction Details</t>
  </si>
  <si>
    <t>BS/P&amp;L Template</t>
  </si>
  <si>
    <t>BS/P&amp;L Template
Open AR Template
Open AP Template</t>
  </si>
  <si>
    <t>Asset Template</t>
  </si>
  <si>
    <t>2025
Ending Balances</t>
  </si>
  <si>
    <t>Direct GL Post*</t>
  </si>
  <si>
    <t>* Use delink to post direct to Asset GLACs then reverse on 30-Jun-2026</t>
  </si>
  <si>
    <r>
      <t xml:space="preserve">_Extract ending balances of Acquisition + Accum.Dep + Posted Dep + Transactions </t>
    </r>
    <r>
      <rPr>
        <sz val="11"/>
        <color rgb="FFFF0000"/>
        <rFont val="Aptos Narrow"/>
        <family val="2"/>
        <scheme val="minor"/>
      </rPr>
      <t>per Asset</t>
    </r>
  </si>
  <si>
    <t>_Extract ending balances of Non-Open BS GLACs (Profit Center-wise)</t>
  </si>
  <si>
    <r>
      <t xml:space="preserve">_Extract ending balances of Acquisition + Accum.Dep </t>
    </r>
    <r>
      <rPr>
        <sz val="11"/>
        <color rgb="FFFF0000"/>
        <rFont val="Aptos Narrow"/>
        <family val="2"/>
        <scheme val="minor"/>
      </rPr>
      <t>per GL</t>
    </r>
    <r>
      <rPr>
        <sz val="11"/>
        <color theme="1"/>
        <rFont val="Aptos Narrow"/>
        <family val="2"/>
        <scheme val="minor"/>
      </rPr>
      <t xml:space="preserve"> (Profit Center-wise)</t>
    </r>
  </si>
  <si>
    <t>Summation*</t>
  </si>
  <si>
    <t>* Post directly to GLACs then reverse on 30-Jun-2026</t>
  </si>
  <si>
    <t>Posting Dates will always be 30-June-2026, can switch to LSMW / Z-Program if needed</t>
  </si>
  <si>
    <t>1. Upload template to migrate all asset transactions on 30-Jun-2026 regardless of Asset Value Date (aka Reference Date in Template)</t>
  </si>
  <si>
    <t>2. Delink Asset GLACs (Acquisition + Accumulated Depreciation) to post monthly accumulated depreciation + post monthly depreciation cost via P&amp;L Template, then reverse on 30-Jun 2026 (Without Asset No.)</t>
  </si>
  <si>
    <t>2. Delink Asset GLACs (Acquisition + Accumulated Depreciation) to post ending balance on 31-Dec-2025 first, then reverse on 30-Jun-2026 (Without Asset No.)</t>
  </si>
  <si>
    <t>3. Relink Asset GLACs (Acquisition + Accumulated Depreciation) to upload template to migrate all Assets on 30-Jun-2026</t>
  </si>
  <si>
    <t>3. Relink Asset GLACs (Acquisition + Accumulated Depreciation) to upload template to migrate all Posted Depreciation on 30-Jun-2026</t>
  </si>
  <si>
    <t>_Extract Open BS/AR/AP + Inventory into Summation in 6 Temporary Migration GLACs (Profit Center-wise)</t>
  </si>
  <si>
    <t>2. Delink Asset GLACs (Acquisition + Accumulated Depreciation) to post monthly accumulated depreciation + post monthly depreciation cost via P&amp;L Template, then reverse on 30-Jun-2026 (Without Asset No.)</t>
  </si>
  <si>
    <t>Templates</t>
  </si>
  <si>
    <t>Mock 0</t>
  </si>
  <si>
    <t>(Ending Balance 2025)</t>
  </si>
  <si>
    <t>Mock 1</t>
  </si>
  <si>
    <t>(Ending Balance 2025 + Jan 2026)</t>
  </si>
  <si>
    <t>APC + Accum.Dep on 31st-Dec-2025</t>
  </si>
  <si>
    <t>Asset Legacy No.</t>
  </si>
  <si>
    <t>APC + Accum. Dep on 31st-Dec-2025</t>
  </si>
  <si>
    <t>Migration GLAC</t>
  </si>
  <si>
    <t>STEP 1</t>
  </si>
  <si>
    <t>(For Balance Sheet/Trial Balance Report)</t>
  </si>
  <si>
    <t>Open GL BS</t>
  </si>
  <si>
    <t>Detail Open on 31st-Dec-2025</t>
  </si>
  <si>
    <t>GL Level</t>
  </si>
  <si>
    <t>Ending Balance on 31st-Dec-2025</t>
  </si>
  <si>
    <t>Customer Legacy No.</t>
  </si>
  <si>
    <t>Vendor Legacy No.</t>
  </si>
  <si>
    <t>Non-Open GL BS</t>
  </si>
  <si>
    <t>P&amp;L</t>
  </si>
  <si>
    <t>Reverse STEP 1 postings on 31st-Jan-2026</t>
  </si>
  <si>
    <t>STEP 2</t>
  </si>
  <si>
    <t>APC + Accum.Dep + Posted Dep + Asset Trans CY on 31st-Jan-2026</t>
  </si>
  <si>
    <t>STEP 3</t>
  </si>
  <si>
    <t>Detail Open on 31st-Jan-2026</t>
  </si>
  <si>
    <t>Ending Balance/Detail from Jan-&gt;June 2026</t>
  </si>
  <si>
    <t>(Exclude WBS BS)</t>
  </si>
  <si>
    <t>(Exclude WBS P&amp;L)</t>
  </si>
  <si>
    <t>Project/WBS</t>
  </si>
  <si>
    <t>*Different Template &amp; Custom Program for project migration</t>
  </si>
  <si>
    <t>2025 (Splitting per Profit Center)</t>
  </si>
  <si>
    <t>2026 (Splitting per Profit Center if decide to post sum values only)</t>
  </si>
  <si>
    <r>
      <t xml:space="preserve">GL P&amp;L </t>
    </r>
    <r>
      <rPr>
        <sz val="11"/>
        <color rgb="FFFF0000"/>
        <rFont val="Aptos Narrow"/>
        <family val="2"/>
        <scheme val="minor"/>
      </rPr>
      <t>not needed</t>
    </r>
  </si>
  <si>
    <t>Inventory 2025 Migration GLAC</t>
  </si>
  <si>
    <t>GL Migration</t>
  </si>
  <si>
    <t>AP Migration</t>
  </si>
  <si>
    <t>Summation of all Open AP items</t>
  </si>
  <si>
    <t>Summation of all Open Downpayment AP items</t>
  </si>
  <si>
    <t>AR Migration</t>
  </si>
  <si>
    <t>Summation of all Open AR items</t>
  </si>
  <si>
    <t>Summation of all Open Downpayment AR items</t>
  </si>
  <si>
    <t>Per P&amp;L GLs</t>
  </si>
  <si>
    <r>
      <t xml:space="preserve">Inventory </t>
    </r>
    <r>
      <rPr>
        <sz val="11"/>
        <color rgb="FFFF0000"/>
        <rFont val="Aptos Narrow"/>
        <family val="2"/>
        <scheme val="minor"/>
      </rPr>
      <t>not needed</t>
    </r>
    <r>
      <rPr>
        <sz val="11"/>
        <color theme="1"/>
        <rFont val="Aptos Narrow"/>
        <family val="2"/>
        <scheme val="minor"/>
      </rPr>
      <t xml:space="preserve"> as it's automatically filled from other workstreams</t>
    </r>
  </si>
  <si>
    <t>Per Open BS GLs</t>
  </si>
  <si>
    <t>Per Customer Open items</t>
  </si>
  <si>
    <t>Per Vendor Open items</t>
  </si>
  <si>
    <t>Per Inventory Code</t>
  </si>
  <si>
    <t>Per Asset</t>
  </si>
  <si>
    <t>Per Non-Open BS GLs including Acquisition/Accum.Dep GLs</t>
  </si>
  <si>
    <t>Per Non-Open BS GLs without Acquistion/Accum.Dep GLs</t>
  </si>
  <si>
    <t>No WBS related Info</t>
  </si>
  <si>
    <t>Open AP with Vendor Code</t>
  </si>
  <si>
    <t>Open AR with Customer Code</t>
  </si>
  <si>
    <t>Acquisition/Accum.Dep/Dep Cost with Asset Code</t>
  </si>
  <si>
    <t>Asset Migration</t>
  </si>
  <si>
    <t>GL P&amp;L</t>
  </si>
  <si>
    <t>For 2026, you get to pick whether you want to input the sum values or details in point 6 &amp; 7</t>
  </si>
  <si>
    <t>Summation of all transactions per Open BS GLAC</t>
  </si>
  <si>
    <t>Summation of all transactions per Inventory GLAC</t>
  </si>
  <si>
    <t>Open BS GLACs</t>
  </si>
  <si>
    <t>Non-Open BS GLACs</t>
  </si>
  <si>
    <t>AP Downpayment Migration</t>
  </si>
  <si>
    <t>AR Downpayment Migration</t>
  </si>
  <si>
    <t>COAv11</t>
  </si>
  <si>
    <t>Type</t>
  </si>
  <si>
    <t>BS</t>
  </si>
  <si>
    <t>PL</t>
  </si>
  <si>
    <t>Revenue</t>
  </si>
  <si>
    <t>100FL01A00</t>
  </si>
  <si>
    <t>PPE Accum Depn-Freehold Land &amp; Building</t>
  </si>
  <si>
    <t>Subledger</t>
  </si>
  <si>
    <t>Customer</t>
  </si>
  <si>
    <t>Vendor</t>
  </si>
  <si>
    <t>Open GL</t>
  </si>
  <si>
    <t>Non-Open GL</t>
  </si>
  <si>
    <t>Cost</t>
  </si>
  <si>
    <t>100PM01A00</t>
  </si>
  <si>
    <t>PPE Accum Depn-Plant and Machinery</t>
  </si>
  <si>
    <t>Description</t>
  </si>
  <si>
    <t>MM Migration</t>
  </si>
  <si>
    <t>Fixed Assets Migration</t>
  </si>
  <si>
    <t>Migration</t>
  </si>
  <si>
    <t>AP Downpayment Migration</t>
  </si>
  <si>
    <t>AR Downpayment Migration</t>
  </si>
  <si>
    <t>158NT05000</t>
  </si>
  <si>
    <t>Related Parties-Interest Rec'b-Non-Trade-ST</t>
  </si>
  <si>
    <t>206OT54000</t>
  </si>
  <si>
    <t>Vendor Retention</t>
  </si>
  <si>
    <t>156TD00000</t>
  </si>
  <si>
    <t>Trade-Debtors</t>
  </si>
  <si>
    <t>153AC01000</t>
  </si>
  <si>
    <t>Adv Paym't Rec'd from Cust (CttA)</t>
  </si>
  <si>
    <t>206AP00000</t>
  </si>
  <si>
    <t>Trade-Creditors</t>
  </si>
  <si>
    <t>159AP00000</t>
  </si>
  <si>
    <t>Advance Payments to Suppliers-(No Reval-Non Monetary)</t>
  </si>
  <si>
    <t>Group</t>
  </si>
  <si>
    <t>Non-Open BS</t>
  </si>
  <si>
    <t>Open BS</t>
  </si>
  <si>
    <t>100CP02C00</t>
  </si>
  <si>
    <t>PPE-Server  Software</t>
  </si>
  <si>
    <t>100CP03C00</t>
  </si>
  <si>
    <t>PPE-Computers</t>
  </si>
  <si>
    <t>711PP11000</t>
  </si>
  <si>
    <t>PPE-Motor Vehicles</t>
  </si>
  <si>
    <t>711PP12000</t>
  </si>
  <si>
    <t>PPE-Helicopters and aircraft</t>
  </si>
  <si>
    <t>Asset BS</t>
  </si>
  <si>
    <t>Asset P&amp;L</t>
  </si>
  <si>
    <t>188CC01M00</t>
  </si>
  <si>
    <t>CCE-ST Engg-SGD (Main)</t>
  </si>
  <si>
    <t>300SC01000</t>
  </si>
  <si>
    <t>Share Capital</t>
  </si>
  <si>
    <t>705AW01000</t>
  </si>
  <si>
    <t>Allowances-Allowances (Direct)</t>
  </si>
  <si>
    <t>610SC02000</t>
  </si>
  <si>
    <t>Cost Component-Subcontracting</t>
  </si>
  <si>
    <t>610OH01000</t>
  </si>
  <si>
    <t>Cost Component-Factory Overheads</t>
  </si>
  <si>
    <t>810DQ00000</t>
  </si>
  <si>
    <t>Operating-Income Dividend Income-Quoted External</t>
  </si>
  <si>
    <t>500SD01000</t>
  </si>
  <si>
    <t>Revenue-Sales Order-Main</t>
  </si>
  <si>
    <t>735EX06000</t>
  </si>
  <si>
    <t>ERP External-IT Cloud Services</t>
  </si>
  <si>
    <t>152RM00000</t>
  </si>
  <si>
    <t>Raw Materials</t>
  </si>
  <si>
    <t>152TG00000</t>
  </si>
  <si>
    <t>Trading Goods</t>
  </si>
  <si>
    <t>152SP00000</t>
  </si>
  <si>
    <t>Spare Parts</t>
  </si>
  <si>
    <t>152PG00000</t>
  </si>
  <si>
    <t>Packaging Goods</t>
  </si>
  <si>
    <t>152OS00000</t>
  </si>
  <si>
    <t>Operating Supplies</t>
  </si>
  <si>
    <t>152SF00000</t>
  </si>
  <si>
    <t>Semi-Finished Goods</t>
  </si>
  <si>
    <t>152FG00000</t>
  </si>
  <si>
    <t>Finished Goods</t>
  </si>
  <si>
    <t>Inventory</t>
  </si>
  <si>
    <t>Dr</t>
  </si>
  <si>
    <t>Cr</t>
  </si>
  <si>
    <t>Offset</t>
  </si>
  <si>
    <t>Sum (Profit Center wise)</t>
  </si>
  <si>
    <t>BLANK</t>
  </si>
  <si>
    <t>Detail per Subledger</t>
  </si>
  <si>
    <t>Material</t>
  </si>
  <si>
    <t>WBS migration will use custom template specifically designed for Project migration</t>
  </si>
  <si>
    <t>Cross Workstream</t>
  </si>
  <si>
    <t>Project migration program will transfer the WBS info between Dummy WBS -&gt; Real WBS</t>
  </si>
  <si>
    <t>Dr/Cr 9*1 -&gt; Cr/Dr 9*0</t>
  </si>
  <si>
    <t>Cr 900000001 / Dr 90000000</t>
  </si>
  <si>
    <t>Dr/Cr 9*2 -&gt; Cr/Dr 9*0</t>
  </si>
  <si>
    <t>Dr 900000002 / Cr 90000000</t>
  </si>
  <si>
    <t>Dr/Cr 9*3 -&gt; Cr/Dr 9*0</t>
  </si>
  <si>
    <t>Dr 900000003 / Cr 90000000</t>
  </si>
  <si>
    <t>Dr/Cr 9*4 -&gt; Cr/Dr 9*0</t>
  </si>
  <si>
    <t>Dr 900000004 / Cr 90000000</t>
  </si>
  <si>
    <t>FA</t>
  </si>
  <si>
    <t>Dr/Cr 9*5 -&gt; Cr/Dr 9*0</t>
  </si>
  <si>
    <t>Dr 900000005 / Cr 90000000</t>
  </si>
  <si>
    <t>AP Downpayment</t>
  </si>
  <si>
    <t>Dr/Cr 9*6 -&gt; Cr/Dr 9*0</t>
  </si>
  <si>
    <t>Cr 900000006 / Dr 90000000</t>
  </si>
  <si>
    <t>AR Downpayment</t>
  </si>
  <si>
    <t>RED GLACs are Auto Posted based on config</t>
  </si>
  <si>
    <r>
      <t xml:space="preserve">GL Template
</t>
    </r>
    <r>
      <rPr>
        <b/>
        <sz val="11"/>
        <color rgb="FFC00000"/>
        <rFont val="Aptos Narrow"/>
        <family val="2"/>
        <scheme val="minor"/>
      </rPr>
      <t>_Transactional details</t>
    </r>
  </si>
  <si>
    <r>
      <t xml:space="preserve">Asset Template
</t>
    </r>
    <r>
      <rPr>
        <b/>
        <sz val="11"/>
        <color rgb="FFC00000"/>
        <rFont val="Aptos Narrow"/>
        <family val="2"/>
        <scheme val="minor"/>
      </rPr>
      <t>_Ending Balances only</t>
    </r>
  </si>
  <si>
    <r>
      <t xml:space="preserve">GL Template
</t>
    </r>
    <r>
      <rPr>
        <b/>
        <sz val="11"/>
        <color rgb="FFC00000"/>
        <rFont val="Aptos Narrow"/>
        <family val="2"/>
        <scheme val="minor"/>
      </rPr>
      <t>_Ending Balances only</t>
    </r>
  </si>
  <si>
    <t>31.01.2026</t>
  </si>
  <si>
    <t>2nd Cleared</t>
  </si>
  <si>
    <t>Transaction</t>
  </si>
  <si>
    <t>1st Cleared</t>
  </si>
  <si>
    <t>31.12.2025</t>
  </si>
  <si>
    <t>GL</t>
  </si>
  <si>
    <t>2nd Trans</t>
  </si>
  <si>
    <t>1st Trans</t>
  </si>
  <si>
    <t>Open AR
Open AP</t>
  </si>
  <si>
    <t>Fiscal Year</t>
  </si>
  <si>
    <t>Amount</t>
  </si>
  <si>
    <t>Posting Date</t>
  </si>
  <si>
    <t>3rd Additional Open</t>
  </si>
  <si>
    <t>3rd Trans</t>
  </si>
  <si>
    <r>
      <t xml:space="preserve">Open AR per </t>
    </r>
    <r>
      <rPr>
        <b/>
        <sz val="11"/>
        <color theme="8" tint="-0.249977111117893"/>
        <rFont val="Aptos Narrow"/>
        <family val="2"/>
        <scheme val="minor"/>
      </rPr>
      <t>Migration GLACs 9*1/9*5</t>
    </r>
    <r>
      <rPr>
        <sz val="11"/>
        <color theme="1"/>
        <rFont val="Aptos Narrow"/>
        <family val="2"/>
        <scheme val="minor"/>
      </rPr>
      <t xml:space="preserve">
Open AP per </t>
    </r>
    <r>
      <rPr>
        <b/>
        <sz val="11"/>
        <color theme="8" tint="-0.249977111117893"/>
        <rFont val="Aptos Narrow"/>
        <family val="2"/>
        <scheme val="minor"/>
      </rPr>
      <t>Migration GLACs 9*2/9*6</t>
    </r>
  </si>
  <si>
    <r>
      <t xml:space="preserve">Open AR per </t>
    </r>
    <r>
      <rPr>
        <b/>
        <sz val="11"/>
        <color theme="8" tint="-0.249977111117893"/>
        <rFont val="Aptos Narrow"/>
        <family val="2"/>
        <scheme val="minor"/>
      </rPr>
      <t>Customer No.</t>
    </r>
    <r>
      <rPr>
        <sz val="11"/>
        <color theme="1"/>
        <rFont val="Aptos Narrow"/>
        <family val="2"/>
        <scheme val="minor"/>
      </rPr>
      <t xml:space="preserve">
Open AP per </t>
    </r>
    <r>
      <rPr>
        <b/>
        <sz val="11"/>
        <color theme="8" tint="-0.249977111117893"/>
        <rFont val="Aptos Narrow"/>
        <family val="2"/>
        <scheme val="minor"/>
      </rPr>
      <t>Vendor No.</t>
    </r>
  </si>
  <si>
    <r>
      <t>Inventory per</t>
    </r>
    <r>
      <rPr>
        <sz val="11"/>
        <color theme="8" tint="-0.249977111117893"/>
        <rFont val="Aptos Narrow"/>
        <family val="2"/>
        <scheme val="minor"/>
      </rPr>
      <t xml:space="preserve"> </t>
    </r>
    <r>
      <rPr>
        <b/>
        <sz val="11"/>
        <color theme="8" tint="-0.249977111117893"/>
        <rFont val="Aptos Narrow"/>
        <family val="2"/>
        <scheme val="minor"/>
      </rPr>
      <t>Material No.</t>
    </r>
  </si>
  <si>
    <r>
      <t xml:space="preserve">Asset per </t>
    </r>
    <r>
      <rPr>
        <b/>
        <sz val="11"/>
        <color theme="8" tint="-0.249977111117893"/>
        <rFont val="Aptos Narrow"/>
        <family val="2"/>
        <scheme val="minor"/>
      </rPr>
      <t>Asset No.</t>
    </r>
  </si>
  <si>
    <t>Post on 31-Dec-2025 then reverse on 30-June-2026 (Refer to Reversal Scenarios Sheet)</t>
  </si>
  <si>
    <r>
      <t>Use F.80/LTMC w. opposite sign to reverse</t>
    </r>
    <r>
      <rPr>
        <b/>
        <i/>
        <sz val="11"/>
        <color theme="1"/>
        <rFont val="Aptos Narrow"/>
        <family val="2"/>
        <scheme val="minor"/>
      </rPr>
      <t xml:space="preserve"> (Excl. Non-Open BS not related to Inventory)</t>
    </r>
  </si>
  <si>
    <t>P&amp;L GLAC 1</t>
  </si>
  <si>
    <r>
      <t xml:space="preserve">3rd Trans </t>
    </r>
    <r>
      <rPr>
        <b/>
        <sz val="10"/>
        <color theme="8" tint="-0.249977111117893"/>
        <rFont val="Aptos Narrow"/>
        <family val="2"/>
        <scheme val="minor"/>
      </rPr>
      <t>P&amp;L GLAC 1</t>
    </r>
  </si>
  <si>
    <r>
      <t xml:space="preserve">2nd Trans </t>
    </r>
    <r>
      <rPr>
        <b/>
        <sz val="10"/>
        <color theme="8" tint="-0.249977111117893"/>
        <rFont val="Aptos Narrow"/>
        <family val="2"/>
        <scheme val="minor"/>
      </rPr>
      <t>P&amp;L GLAC 1</t>
    </r>
  </si>
  <si>
    <r>
      <t xml:space="preserve">1st Trans </t>
    </r>
    <r>
      <rPr>
        <b/>
        <sz val="10"/>
        <color theme="8" tint="-0.249977111117893"/>
        <rFont val="Aptos Narrow"/>
        <family val="2"/>
        <scheme val="minor"/>
      </rPr>
      <t>P&amp;L</t>
    </r>
    <r>
      <rPr>
        <sz val="10"/>
        <color theme="1"/>
        <rFont val="Aptos Narrow"/>
        <family val="2"/>
        <scheme val="minor"/>
      </rPr>
      <t xml:space="preserve"> </t>
    </r>
    <r>
      <rPr>
        <b/>
        <sz val="10"/>
        <color theme="8" tint="-0.249977111117893"/>
        <rFont val="Aptos Narrow"/>
        <family val="2"/>
        <scheme val="minor"/>
      </rPr>
      <t>GLAC 1</t>
    </r>
  </si>
  <si>
    <t>BS Open item GLAC 1</t>
  </si>
  <si>
    <t>BS Non-Open item GLAC 1</t>
  </si>
  <si>
    <r>
      <t xml:space="preserve">Inventory per </t>
    </r>
    <r>
      <rPr>
        <b/>
        <sz val="11"/>
        <color theme="8" tint="-0.249977111117893"/>
        <rFont val="Aptos Narrow"/>
        <family val="2"/>
        <scheme val="minor"/>
      </rPr>
      <t>GLACs</t>
    </r>
  </si>
  <si>
    <r>
      <t xml:space="preserve">Asset per </t>
    </r>
    <r>
      <rPr>
        <b/>
        <sz val="11"/>
        <color theme="8" tint="-0.249977111117893"/>
        <rFont val="Aptos Narrow"/>
        <family val="2"/>
        <scheme val="minor"/>
      </rPr>
      <t>GLACs (Acquisition + Accum. Dep)</t>
    </r>
  </si>
  <si>
    <t>9*0</t>
  </si>
  <si>
    <t>Offsetting</t>
  </si>
  <si>
    <t>9*2 for AR
9*1 for AP</t>
  </si>
  <si>
    <t>9*3</t>
  </si>
  <si>
    <t>9*4</t>
  </si>
  <si>
    <t>REVERSAL
on 31.01.2026</t>
  </si>
  <si>
    <t>NO REVERSAL
on 31.01.2026</t>
  </si>
  <si>
    <t>_For Open BS/AR/AP/Inventory Auto OBYC, we post the Ending Balance on 31-Dec-2025 then carryforward, then reverse on 30-June-2026</t>
  </si>
  <si>
    <t>_Untick Autopost only for all Inventory Auto OBYC</t>
  </si>
  <si>
    <t>_Upload Open BS/AR/AP items up to 30-Jun-2026</t>
  </si>
  <si>
    <t>_For Non-Open BS/Inventory Not Auto OBYC, we post Ending Balance on 31-Dec-2025 then carryforward, no reversal, just add up transactions from Jan-26 to Jun-26</t>
  </si>
  <si>
    <r>
      <t xml:space="preserve">_Set Migration Key Date FINS_MIG_CTRL_1 to determine posting date to </t>
    </r>
    <r>
      <rPr>
        <b/>
        <i/>
        <sz val="10"/>
        <color rgb="FFC00000"/>
        <rFont val="Aptos Narrow"/>
        <family val="2"/>
        <scheme val="minor"/>
      </rPr>
      <t>31-Dec-2025 Ongoing</t>
    </r>
  </si>
  <si>
    <r>
      <t>_Set Migration Key Date FINS_MIG_CTRL_1 to determine posting date to</t>
    </r>
    <r>
      <rPr>
        <b/>
        <i/>
        <sz val="10"/>
        <color rgb="FFC00000"/>
        <rFont val="Aptos Narrow"/>
        <family val="2"/>
        <scheme val="minor"/>
      </rPr>
      <t xml:space="preserve"> 30-Jun-2026 Ongoing </t>
    </r>
    <r>
      <rPr>
        <i/>
        <sz val="10"/>
        <color rgb="FFC00000"/>
        <rFont val="Aptos Narrow"/>
        <family val="2"/>
        <scheme val="minor"/>
      </rPr>
      <t>(To do so first change Status from "Ongoing" to "In Preparation")</t>
    </r>
  </si>
  <si>
    <t>_Upload Non-Open BS/Inventory Not Auto OBYC transactions from Jan-26 to Jun-26
_Tick Autopost only for all Inventory Auto OBYC (Mandatory otherwise Migration Cockpit will show error)
_Upload Inventory MIGO balances / transactions up to 30-Jun-2026</t>
  </si>
  <si>
    <t># Open AR/AP we sum into specific Migration GLs, not Recon AR/AP</t>
  </si>
  <si>
    <t>Invoice 1</t>
  </si>
  <si>
    <t>Reference Document Number</t>
  </si>
  <si>
    <t>Invoice 2</t>
  </si>
  <si>
    <t>Bill 1</t>
  </si>
  <si>
    <t>Bill 2</t>
  </si>
  <si>
    <t>Downpayment 1</t>
  </si>
  <si>
    <t>Downpayment 2</t>
  </si>
  <si>
    <t>Customer 1</t>
  </si>
  <si>
    <t>Customer 2</t>
  </si>
  <si>
    <t>Customer 3</t>
  </si>
  <si>
    <t>Customer 4</t>
  </si>
  <si>
    <t>Alternative GL</t>
  </si>
  <si>
    <t>Customer 1 (Default GL in BP Template)</t>
  </si>
  <si>
    <t>Vendor 1</t>
  </si>
  <si>
    <t>Vendor 2</t>
  </si>
  <si>
    <t>Vendor 3</t>
  </si>
  <si>
    <t>BP Code</t>
  </si>
  <si>
    <t>Reconciliation GL</t>
  </si>
  <si>
    <t>156CR00000</t>
  </si>
  <si>
    <t>Contract Receivables</t>
  </si>
  <si>
    <t>158TR01000</t>
  </si>
  <si>
    <t>Related Parties-Trade Rec'ble-ST</t>
  </si>
  <si>
    <t>Non-Trade Debtors</t>
  </si>
  <si>
    <t>159OT01000</t>
  </si>
  <si>
    <t>Interest Receivable</t>
  </si>
  <si>
    <t>Customer 5</t>
  </si>
  <si>
    <t>Vendor 4</t>
  </si>
  <si>
    <t>206OT50000</t>
  </si>
  <si>
    <t>Non-Trade Creditors</t>
  </si>
  <si>
    <t>206OT51000</t>
  </si>
  <si>
    <t>Sundry Creditors</t>
  </si>
  <si>
    <t>208TR01000</t>
  </si>
  <si>
    <t>Related Parties-Trade Pay'ble-ST</t>
  </si>
  <si>
    <t>Customer 2 (Default GL in BP Template)</t>
  </si>
  <si>
    <t>Customer 3 (Default GL in BP Template)</t>
  </si>
  <si>
    <t>Customer 4 (Default GL in BP Template)</t>
  </si>
  <si>
    <t>159OT50000</t>
  </si>
  <si>
    <t>Adv Paym't Rec'd from Cust (CttL)-Current</t>
  </si>
  <si>
    <t>RP-Adv Paym't Rec'd from Cust(CttL)RP Current</t>
  </si>
  <si>
    <t>Vendor 1 (Default GL in BP Template)</t>
  </si>
  <si>
    <t>Vendor 2 (Default GL in BP Template)</t>
  </si>
  <si>
    <t>Vendor 3 (Default GL in BP Template)</t>
  </si>
  <si>
    <t>Advance Payment to Supplier(No Reval-Non Monetary)</t>
  </si>
  <si>
    <t>Material Code</t>
  </si>
  <si>
    <t>Quantity</t>
  </si>
  <si>
    <r>
      <t xml:space="preserve">A - </t>
    </r>
    <r>
      <rPr>
        <b/>
        <sz val="11"/>
        <color rgb="FF7030A0"/>
        <rFont val="Aptos Narrow"/>
        <family val="2"/>
        <scheme val="minor"/>
      </rPr>
      <t>203AC01000</t>
    </r>
  </si>
  <si>
    <r>
      <t xml:space="preserve">A - </t>
    </r>
    <r>
      <rPr>
        <b/>
        <sz val="11"/>
        <color rgb="FF7030A0"/>
        <rFont val="Aptos Narrow"/>
        <family val="2"/>
        <scheme val="minor"/>
      </rPr>
      <t>204AC01000</t>
    </r>
  </si>
  <si>
    <r>
      <t xml:space="preserve">A - </t>
    </r>
    <r>
      <rPr>
        <b/>
        <sz val="11"/>
        <color rgb="FF7030A0"/>
        <rFont val="Aptos Narrow"/>
        <family val="2"/>
        <scheme val="minor"/>
      </rPr>
      <t>159AP00000</t>
    </r>
  </si>
  <si>
    <t>Material 1</t>
  </si>
  <si>
    <t>Material 2</t>
  </si>
  <si>
    <t>Material 3</t>
  </si>
  <si>
    <t>181A - 1000</t>
  </si>
  <si>
    <t>Auto GL</t>
  </si>
  <si>
    <t>Special GL Auto</t>
  </si>
  <si>
    <t>Asset Code + SubNo.</t>
  </si>
  <si>
    <t>Plant &amp; Storage Location</t>
  </si>
  <si>
    <t>Profit Center</t>
  </si>
  <si>
    <t>XXX</t>
  </si>
  <si>
    <t>Qty + UoM</t>
  </si>
  <si>
    <t>Cost Center</t>
  </si>
  <si>
    <t>Useful life (Years + Periods)</t>
  </si>
  <si>
    <t>Ordinary Dep. Start Date</t>
  </si>
  <si>
    <t>Cumulative Values (Acquisition)</t>
  </si>
  <si>
    <t>Transactions (Acquisition + Accum. Dep)</t>
  </si>
  <si>
    <t>Posted Values (Accum. Dep)</t>
  </si>
  <si>
    <t>Cumulative Values (Accum. Dep)</t>
  </si>
  <si>
    <t>Asset 1</t>
  </si>
  <si>
    <t>Asset 2</t>
  </si>
  <si>
    <t>9 months</t>
  </si>
  <si>
    <t>4 years + 5 months</t>
  </si>
  <si>
    <t>1 EA</t>
  </si>
  <si>
    <t>2 EA</t>
  </si>
  <si>
    <t>01.02.2022</t>
  </si>
  <si>
    <t>01.08.2025</t>
  </si>
  <si>
    <t>Accum. Values up to 31.12.2025</t>
  </si>
  <si>
    <t>Total Dep POSTED IN 2026</t>
  </si>
  <si>
    <t>POSTED trans IN 2026</t>
  </si>
  <si>
    <t>Refer Dropdown Values file - Sheet Open BS</t>
  </si>
  <si>
    <t>Fill Open items upto 31.12.2025</t>
  </si>
  <si>
    <t>Fill Balance upto 31.12.2025</t>
  </si>
  <si>
    <t>Refer Dropdown Values file - Sheet Inventory - Blue Column</t>
  </si>
  <si>
    <t>Refer Dropdown Values file - Sheet Inventory - Orange Column</t>
  </si>
  <si>
    <t>Non-Open BS (Inventory related - Auto)</t>
  </si>
  <si>
    <t>Non-Open BS (Inventory related - Manual)</t>
  </si>
  <si>
    <t>*ACN will reverse on 30.06.2026</t>
  </si>
  <si>
    <t>*Post on 31.12.2025</t>
  </si>
  <si>
    <t>*No reversal</t>
  </si>
  <si>
    <t>Asset Acquisition/Accum.Dep</t>
  </si>
  <si>
    <t>AR 9000000002</t>
  </si>
  <si>
    <t>AP 9000000001</t>
  </si>
  <si>
    <t>AR 9000000006 (Downpayment)</t>
  </si>
  <si>
    <t>Offsetting GL</t>
  </si>
  <si>
    <t>GLAC</t>
  </si>
  <si>
    <t>100CP03A00</t>
  </si>
  <si>
    <t>PPE Accum Depn-Computer</t>
  </si>
  <si>
    <t>100CP02A00</t>
  </si>
  <si>
    <t>PPE Accum Depn-Server Software</t>
  </si>
  <si>
    <t>Non-Open BS (Bank related)</t>
  </si>
  <si>
    <t>Non-Open BS (Remaining)</t>
  </si>
  <si>
    <t>Refer Dropdown Values file - Sheet Requirement</t>
  </si>
  <si>
    <t>Remaining BS GL</t>
  </si>
  <si>
    <t>House Bank + Account ID</t>
  </si>
  <si>
    <t>Transaction Type</t>
  </si>
  <si>
    <t>XXX for Expenses</t>
  </si>
  <si>
    <t>XXX for Revenue</t>
  </si>
  <si>
    <t>COPA Chars
(aka Profit Segment)</t>
  </si>
  <si>
    <t>Trading Partner</t>
  </si>
  <si>
    <t>Cost Center /
Internal Order /
WBS Dummy</t>
  </si>
  <si>
    <t>AP 9000000005 (Downpayment)</t>
  </si>
  <si>
    <t>XXX Sheet Requirement</t>
  </si>
  <si>
    <t>XXX Henry's COA</t>
  </si>
  <si>
    <t>UNDERSTANDING</t>
  </si>
  <si>
    <t>Fill Open items upto 30.06.2026</t>
  </si>
  <si>
    <t>Fill Movement items in 2026</t>
  </si>
  <si>
    <t>*Post on 30.06.2026</t>
  </si>
  <si>
    <t>1. GL Template</t>
  </si>
  <si>
    <t>2. Asset Template</t>
  </si>
  <si>
    <t>3. Open AR Template</t>
  </si>
  <si>
    <t>4. Open AP Template</t>
  </si>
  <si>
    <t>7. Inventory Balance</t>
  </si>
  <si>
    <t>2026 Temp 2 takes over</t>
  </si>
  <si>
    <t>2026 Temp 3 takes over</t>
  </si>
  <si>
    <t>2026 Temp 4 takes over</t>
  </si>
  <si>
    <t>2026 Temp 7 takes over</t>
  </si>
  <si>
    <r>
      <t xml:space="preserve">5. Vendor BP Template
</t>
    </r>
    <r>
      <rPr>
        <b/>
        <sz val="11"/>
        <rFont val="Aptos Narrow"/>
        <family val="2"/>
        <scheme val="minor"/>
      </rPr>
      <t>(Company Data)</t>
    </r>
  </si>
  <si>
    <r>
      <t xml:space="preserve">6. Customer BP Template
</t>
    </r>
    <r>
      <rPr>
        <b/>
        <sz val="11"/>
        <rFont val="Aptos Narrow"/>
        <family val="2"/>
        <scheme val="minor"/>
      </rPr>
      <t>(Company Data)</t>
    </r>
  </si>
  <si>
    <t>Asset 9000000004</t>
  </si>
  <si>
    <t>Inventory 9000000003</t>
  </si>
  <si>
    <t>Fill Total Net Book Value of Assets</t>
  </si>
  <si>
    <t>Fill Total Inventory Auto Value</t>
  </si>
  <si>
    <t>Fill Total AR Value</t>
  </si>
  <si>
    <t>Fill Total AP Value</t>
  </si>
  <si>
    <t>Fill Total AR DP Value</t>
  </si>
  <si>
    <t>Fill Total AP DP Value</t>
  </si>
  <si>
    <t>Get Value from Temp 2, the total value sign should be +</t>
  </si>
  <si>
    <t>Get Value from Temp 7, the total value sign should be +</t>
  </si>
  <si>
    <t>Get Value from Temp 3, the total value sign should be +</t>
  </si>
  <si>
    <t>Get Value from Temp 4, the total value sign should be +</t>
  </si>
  <si>
    <t>Get Value from Temp 4, the total value sign should be -</t>
  </si>
  <si>
    <t>Get Value from Temp 3, the total value sign should be -</t>
  </si>
  <si>
    <r>
      <t xml:space="preserve">Cost Center /
Internal Order /
WBS </t>
    </r>
    <r>
      <rPr>
        <b/>
        <sz val="11"/>
        <color rgb="FFFF0000"/>
        <rFont val="Aptos Narrow"/>
        <family val="2"/>
        <scheme val="minor"/>
      </rPr>
      <t>Dummy</t>
    </r>
  </si>
  <si>
    <r>
      <t xml:space="preserve">Open AR Template
</t>
    </r>
    <r>
      <rPr>
        <b/>
        <sz val="11"/>
        <color rgb="FFC00000"/>
        <rFont val="Aptos Narrow"/>
        <family val="2"/>
        <scheme val="minor"/>
      </rPr>
      <t>_Open items at 30-June-2026 only</t>
    </r>
  </si>
  <si>
    <r>
      <t xml:space="preserve">Open AP Template
</t>
    </r>
    <r>
      <rPr>
        <b/>
        <sz val="11"/>
        <color rgb="FFC00000"/>
        <rFont val="Aptos Narrow"/>
        <family val="2"/>
        <scheme val="minor"/>
      </rPr>
      <t>_Open items at 30-June-2026 only</t>
    </r>
  </si>
  <si>
    <r>
      <t xml:space="preserve">GL Template
</t>
    </r>
    <r>
      <rPr>
        <b/>
        <u/>
        <sz val="11"/>
        <color theme="1"/>
        <rFont val="Aptos Narrow"/>
        <family val="2"/>
        <scheme val="minor"/>
      </rPr>
      <t>_Enter Dummy WBS if project-related</t>
    </r>
    <r>
      <rPr>
        <b/>
        <sz val="11"/>
        <color theme="1"/>
        <rFont val="Aptos Narrow"/>
        <family val="2"/>
        <scheme val="minor"/>
      </rPr>
      <t xml:space="preserve">
</t>
    </r>
    <r>
      <rPr>
        <b/>
        <sz val="11"/>
        <color rgb="FFC00000"/>
        <rFont val="Aptos Narrow"/>
        <family val="2"/>
        <scheme val="minor"/>
      </rPr>
      <t>_Open items at 30-June-2026 only</t>
    </r>
  </si>
  <si>
    <r>
      <t xml:space="preserve">GL Template
</t>
    </r>
    <r>
      <rPr>
        <b/>
        <u/>
        <sz val="11"/>
        <color theme="1"/>
        <rFont val="Aptos Narrow"/>
        <family val="2"/>
        <scheme val="minor"/>
      </rPr>
      <t xml:space="preserve">_Enter Dummy WBS if project-related
</t>
    </r>
    <r>
      <rPr>
        <b/>
        <sz val="11"/>
        <color rgb="FFC00000"/>
        <rFont val="Aptos Narrow"/>
        <family val="2"/>
        <scheme val="minor"/>
      </rPr>
      <t>_Transactional details</t>
    </r>
  </si>
  <si>
    <r>
      <t xml:space="preserve">GL Template
</t>
    </r>
    <r>
      <rPr>
        <b/>
        <u/>
        <sz val="11"/>
        <color theme="1"/>
        <rFont val="Aptos Narrow"/>
        <family val="2"/>
        <scheme val="minor"/>
      </rPr>
      <t xml:space="preserve">_Enter COPA Dummy WBS if project-related
</t>
    </r>
    <r>
      <rPr>
        <b/>
        <sz val="11"/>
        <color rgb="FFC00000"/>
        <rFont val="Aptos Narrow"/>
        <family val="2"/>
        <scheme val="minor"/>
      </rPr>
      <t>_Transactional details</t>
    </r>
  </si>
  <si>
    <t>1. Create Dummy Project per Company Code</t>
  </si>
  <si>
    <t>2. Create WBS per Profit Center in the Dummy Project corresponding to Company Code's Profit Center</t>
  </si>
  <si>
    <t>3. In GL Template, BS will have Dummy WBS account assignment, PL will have Dummy WBS in COPA</t>
  </si>
  <si>
    <t>4. Run custom program to upload custom template (filled with input cost/COS/revenue) and it will:</t>
  </si>
  <si>
    <t>4.1 Mimic the transactions to real WBS by transferring them from Dummy WBS</t>
  </si>
  <si>
    <t>4.2 Mimic the settlement from real WBS to COPA</t>
  </si>
  <si>
    <t>Due to Mid year migration, users need to collect this info by 2 point in time:</t>
  </si>
  <si>
    <r>
      <t xml:space="preserve">*The </t>
    </r>
    <r>
      <rPr>
        <b/>
        <u/>
        <sz val="11"/>
        <color rgb="FFFF0000"/>
        <rFont val="Aptos Narrow"/>
        <family val="2"/>
        <scheme val="minor"/>
      </rPr>
      <t>red</t>
    </r>
    <r>
      <rPr>
        <b/>
        <u/>
        <sz val="11"/>
        <color rgb="FF7030A0"/>
        <rFont val="Aptos Narrow"/>
        <family val="2"/>
        <scheme val="minor"/>
      </rPr>
      <t xml:space="preserve"> ones are the ones users will input in GL Template that must match with the info provided to Custom template of this Custom program</t>
    </r>
  </si>
  <si>
    <r>
      <rPr>
        <b/>
        <sz val="11"/>
        <color theme="1"/>
        <rFont val="Aptos Narrow"/>
        <family val="2"/>
        <scheme val="minor"/>
      </rPr>
      <t>1st</t>
    </r>
    <r>
      <rPr>
        <sz val="11"/>
        <color theme="1"/>
        <rFont val="Aptos Narrow"/>
        <family val="2"/>
        <scheme val="minor"/>
      </rPr>
      <t>: End of previous year so 4.1 &amp; 4.2 execute then auto reversed at 1/1/Current Year</t>
    </r>
  </si>
  <si>
    <t>(As GL Template 2025 has no PL so only provide for this Custom template)</t>
  </si>
  <si>
    <r>
      <t xml:space="preserve">(As GL Template 2026 has PL so additionally to this Custom template, provide the </t>
    </r>
    <r>
      <rPr>
        <b/>
        <u/>
        <sz val="11"/>
        <color rgb="FFFF0000"/>
        <rFont val="Aptos Narrow"/>
        <family val="2"/>
        <scheme val="minor"/>
      </rPr>
      <t>red</t>
    </r>
    <r>
      <rPr>
        <b/>
        <u/>
        <sz val="11"/>
        <color theme="1"/>
        <rFont val="Aptos Narrow"/>
        <family val="2"/>
        <scheme val="minor"/>
      </rPr>
      <t xml:space="preserve"> ones to GL Template as well)</t>
    </r>
  </si>
  <si>
    <t>//Consequences if dont provide lines of Dummy WBS in GL Template:</t>
  </si>
  <si>
    <t>PL report with COPA Dummy WBS wont be 0 since they are only posted in Custom Program, not offsetting due to missing in GL Template</t>
  </si>
  <si>
    <t>BS report with Dummy WBS balancing wont be 0 since they are only posted in Custom Program, not offsetting due to missing in GL Template</t>
  </si>
  <si>
    <t>For these consequences, one can clean up by posting JV to offset the Blank WBS in GL template to Dummy WBS thus clear Dummy WBS in both PL &amp; BS to 0</t>
  </si>
  <si>
    <t>A1</t>
  </si>
  <si>
    <t>A3</t>
  </si>
  <si>
    <t>B2</t>
  </si>
  <si>
    <t>C2</t>
  </si>
  <si>
    <t>C3</t>
  </si>
  <si>
    <t>B1</t>
  </si>
  <si>
    <t>Turn WIP back to Input Cost</t>
  </si>
  <si>
    <t>Progress Billing GLAC tracks the Billing</t>
  </si>
  <si>
    <t>(Dr AR / Cr Progress Billing)</t>
  </si>
  <si>
    <t>WIP confirms Revenue</t>
  </si>
  <si>
    <t>(Dr WIP / Cr Rev)</t>
  </si>
  <si>
    <t>=&gt; At month end,
If Rev &gt; Progress Billing =&gt; Underbilling aka Assets =&gt; Dr Progress Billing / Cr Revenue Adj
If Rev &lt; Progress Billing =&gt; Overbilling aka Liability =&gt; Dr Revenue Adj / Cr Progress Billing</t>
  </si>
  <si>
    <t>Turn Progress Billing back to Revenue</t>
  </si>
  <si>
    <t>C1</t>
  </si>
  <si>
    <t>REAL</t>
  </si>
  <si>
    <t>COPA REAL</t>
  </si>
  <si>
    <t>DUMMY</t>
  </si>
  <si>
    <t>Dr PL Input Cost</t>
  </si>
  <si>
    <t>Dr PL COS</t>
  </si>
  <si>
    <t>Cr PL Revenue</t>
  </si>
  <si>
    <t>PL Revenue Adj due to RA</t>
  </si>
  <si>
    <t>Cr PL Input Cost</t>
  </si>
  <si>
    <t>Cr PL COS</t>
  </si>
  <si>
    <t>Dr PL Revenue</t>
  </si>
  <si>
    <t>COPA DUMMY</t>
  </si>
  <si>
    <t>BS Progress Billing</t>
  </si>
  <si>
    <r>
      <rPr>
        <b/>
        <sz val="11"/>
        <color theme="1"/>
        <rFont val="Aptos Narrow"/>
        <family val="2"/>
        <scheme val="minor"/>
      </rPr>
      <t>2nd</t>
    </r>
    <r>
      <rPr>
        <sz val="11"/>
        <color theme="1"/>
        <rFont val="Aptos Narrow"/>
        <family val="2"/>
        <scheme val="minor"/>
      </rPr>
      <t>: Cutoff Date to golive so 4.1 &amp; 4.2 execute</t>
    </r>
  </si>
  <si>
    <t>PL Revenue Adj due to RA (Negative)</t>
  </si>
  <si>
    <t>BS Progress Billing (Negative)</t>
  </si>
  <si>
    <t xml:space="preserve"> Cr PL COS</t>
  </si>
  <si>
    <t>Cr WIP Cost Recognized</t>
  </si>
  <si>
    <t>Dr WIP Cost Incurred</t>
  </si>
  <si>
    <r>
      <t xml:space="preserve">Finally, the custom program will reclass the BS to PL as </t>
    </r>
    <r>
      <rPr>
        <b/>
        <sz val="11"/>
        <color theme="1"/>
        <rFont val="Aptos Narrow"/>
        <family val="2"/>
        <scheme val="minor"/>
      </rPr>
      <t>POST-GOLIVE</t>
    </r>
    <r>
      <rPr>
        <sz val="11"/>
        <color theme="1"/>
        <rFont val="Aptos Narrow"/>
        <family val="2"/>
        <scheme val="minor"/>
      </rPr>
      <t xml:space="preserve"> ACTIVITY to nullify the RA postings + WBS settlement at month end</t>
    </r>
  </si>
  <si>
    <t>Example of RA postings + WBS settlement in case no new Input Cost/Billing occur:</t>
  </si>
  <si>
    <t>Therefore the reclass will nullify the gray cells, also the amount of 2 WIP GLACs also netoff to 0, assumption is Input Cost = COS for all projects</t>
  </si>
  <si>
    <t>Document Header</t>
  </si>
  <si>
    <t>Line Item</t>
  </si>
  <si>
    <t>Input Cost</t>
  </si>
  <si>
    <t>Cost of Sales</t>
  </si>
  <si>
    <t>Total Check</t>
  </si>
  <si>
    <t>Company</t>
  </si>
  <si>
    <t xml:space="preserve">Sales Order </t>
  </si>
  <si>
    <t>Billings type</t>
  </si>
  <si>
    <t>Billings</t>
  </si>
  <si>
    <t>Direct Materials</t>
  </si>
  <si>
    <t>Indirect Materials</t>
  </si>
  <si>
    <t>Subcon</t>
  </si>
  <si>
    <t>Labour</t>
  </si>
  <si>
    <t>Outsourced Labour</t>
  </si>
  <si>
    <t>Factory Overhead</t>
  </si>
  <si>
    <t>Project Overhead</t>
  </si>
  <si>
    <t>Factory Overheads</t>
  </si>
  <si>
    <t>Unbilled Receivables</t>
  </si>
  <si>
    <t>Code</t>
  </si>
  <si>
    <t>Posting Date</t>
    <phoneticPr fontId="3" type="noConversion"/>
  </si>
  <si>
    <t>WBS Element</t>
  </si>
  <si>
    <t xml:space="preserve">Currency </t>
  </si>
  <si>
    <t>in Sales Curr</t>
  </si>
  <si>
    <t>in Local Curr</t>
  </si>
  <si>
    <t>C10DM03000</t>
  </si>
  <si>
    <t>C10IM01000</t>
  </si>
  <si>
    <t>C10SC01000</t>
  </si>
  <si>
    <t>790DL01000</t>
  </si>
  <si>
    <t>790SC01000</t>
  </si>
  <si>
    <t>790OH01000</t>
  </si>
  <si>
    <t>790OH03000</t>
  </si>
  <si>
    <t>610DM01000</t>
  </si>
  <si>
    <t>610IM01000</t>
  </si>
  <si>
    <t>610DL01000</t>
  </si>
  <si>
    <t>610SC01000</t>
  </si>
  <si>
    <t>610OH03000</t>
  </si>
  <si>
    <t>LS.LDS25.P020.1</t>
  </si>
  <si>
    <t>SGD</t>
  </si>
  <si>
    <t>PBL</t>
  </si>
  <si>
    <t>LS.LDS25.P020.1.1.6</t>
  </si>
  <si>
    <t/>
  </si>
  <si>
    <t>Post Historical Sales/Cost as at last year to Project [Posting Date: 31/12/2025]</t>
  </si>
  <si>
    <t>G/L Account</t>
  </si>
  <si>
    <t>WBS</t>
  </si>
  <si>
    <t>WBS in COPA</t>
  </si>
  <si>
    <t>600DM01000</t>
  </si>
  <si>
    <t>Cost Component-Direct Materials</t>
  </si>
  <si>
    <t>Input Cost Materials and Components</t>
  </si>
  <si>
    <t>500MA01100</t>
  </si>
  <si>
    <t>Revenue-Main-RA</t>
  </si>
  <si>
    <t>500MA01000</t>
  </si>
  <si>
    <t>Revenue-Main</t>
  </si>
  <si>
    <t>Migration WBS</t>
  </si>
  <si>
    <t>Post Historical Sales/Cost as at last year to COPA [Posting Date: 31/12/2025]</t>
  </si>
  <si>
    <t xml:space="preserve">Reverse last year Historical Sales/Cost in Jan [Posting Date: 01/01/2026] </t>
  </si>
  <si>
    <t xml:space="preserve">Reverse last year Historical Sales/Cost in COPA into Jan [Posting Date: 01/01/2026]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</si>
  <si>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</t>
  </si>
  <si>
    <t>Post Historical Sales/Cost as at cutoff date to Project [Posting Date: Cutoff Date]</t>
  </si>
  <si>
    <t>Post Historical Sales/Cost as at cutoff date to COPA [Posting Date: Cutoff Date]</t>
  </si>
  <si>
    <t>Reclass posting from B/S to P&amp;L on Go-live date</t>
  </si>
  <si>
    <t>This is to nullify the RA posting run at go-live month end</t>
  </si>
  <si>
    <t>203PB01000</t>
  </si>
  <si>
    <t>Progress Billings (CttL)-Current</t>
  </si>
  <si>
    <t>Net Result for WBS Cost Migration</t>
  </si>
  <si>
    <t>Step 1: SC* &amp; SR* uploaded via GL Migration Template (Migration Cockpit)</t>
  </si>
  <si>
    <t>Mig WBS</t>
  </si>
  <si>
    <t>Real WBS</t>
  </si>
  <si>
    <t>Mig WBS in COPA</t>
  </si>
  <si>
    <t>Net Total</t>
  </si>
  <si>
    <t>Rev COPA</t>
  </si>
  <si>
    <t>COS COPA</t>
  </si>
  <si>
    <t>Step 2: CC* &amp; CR* uploaded via Custom WBS migration program</t>
  </si>
  <si>
    <t>- Rev COPA</t>
  </si>
  <si>
    <t>TRANSFER</t>
  </si>
  <si>
    <t>G/L Migration File</t>
  </si>
  <si>
    <t>- Rev</t>
  </si>
  <si>
    <t>Rev</t>
  </si>
  <si>
    <t>(Auto Gen)</t>
  </si>
  <si>
    <t>- COS COPA</t>
  </si>
  <si>
    <t>- COS</t>
  </si>
  <si>
    <t>COS</t>
  </si>
  <si>
    <t>- Rev Adj</t>
  </si>
  <si>
    <t>Rev Adj</t>
  </si>
  <si>
    <t>- Rev Adj COPA</t>
  </si>
  <si>
    <t>Rev Adj COPA</t>
  </si>
  <si>
    <t>- Input Cost</t>
  </si>
  <si>
    <t>- PBL</t>
  </si>
  <si>
    <t>COUNTER RA</t>
  </si>
  <si>
    <t>Net result after adding G/L Migration File</t>
  </si>
  <si>
    <t>Step 3: RA at month-end after Golive</t>
  </si>
  <si>
    <t>WIP Cost Recog</t>
  </si>
  <si>
    <t>WIP Cost Incurred</t>
  </si>
  <si>
    <t>RA Posting (Assuming no new input cost and billing)</t>
  </si>
  <si>
    <t>Final Result:</t>
  </si>
  <si>
    <t>153CI02000</t>
  </si>
  <si>
    <t>WIP-Cost Recog (CttA)</t>
  </si>
  <si>
    <t>WBS Settlement</t>
  </si>
  <si>
    <t>153CI01000</t>
  </si>
  <si>
    <t>WIP-Cost Incurred (CttA)</t>
  </si>
  <si>
    <t>C12DM00000</t>
  </si>
  <si>
    <t>Input Cost-Settlement-Direct Materials</t>
  </si>
  <si>
    <t>Final Result after WBS Settlement</t>
  </si>
  <si>
    <t>You can see the assignment of Dummy &amp; Real but if combine all above it will be correct (Refer to WBS Accounting Entry Sheet)</t>
  </si>
  <si>
    <t>A2</t>
  </si>
  <si>
    <t>A4</t>
  </si>
  <si>
    <r>
      <t xml:space="preserve">GL Template counterpart:
</t>
    </r>
    <r>
      <rPr>
        <sz val="11"/>
        <color theme="1"/>
        <rFont val="Aptos Narrow"/>
        <family val="2"/>
        <scheme val="minor"/>
      </rPr>
      <t>(Assume COS = Input Cost, from Sor Lan understanding then Input Cost is SAP term, COS is eventually total of Input Cost by categories)</t>
    </r>
  </si>
  <si>
    <t>Progress Billing</t>
  </si>
  <si>
    <t>Adv Payment</t>
  </si>
  <si>
    <t>Billing</t>
  </si>
  <si>
    <r>
      <t xml:space="preserve">=&gt; If summing all the Red, </t>
    </r>
    <r>
      <rPr>
        <b/>
        <sz val="11"/>
        <color theme="1"/>
        <rFont val="Aptos Narrow"/>
        <family val="2"/>
        <scheme val="minor"/>
      </rPr>
      <t>Value &lt; 0 then it's Liability</t>
    </r>
    <r>
      <rPr>
        <sz val="11"/>
        <color theme="1"/>
        <rFont val="Aptos Narrow"/>
        <family val="2"/>
        <scheme val="minor"/>
      </rPr>
      <t xml:space="preserve"> / Else </t>
    </r>
    <r>
      <rPr>
        <b/>
        <sz val="11"/>
        <color theme="1"/>
        <rFont val="Aptos Narrow"/>
        <family val="2"/>
        <scheme val="minor"/>
      </rPr>
      <t>Value &gt; 0 then it's Asset</t>
    </r>
  </si>
  <si>
    <t>(Later)</t>
  </si>
  <si>
    <r>
      <rPr>
        <sz val="11"/>
        <color rgb="FF0070C0"/>
        <rFont val="Aptos Narrow"/>
        <family val="2"/>
        <scheme val="minor"/>
      </rPr>
      <t>Dr AR DP</t>
    </r>
    <r>
      <rPr>
        <sz val="11"/>
        <color theme="1"/>
        <rFont val="Aptos Narrow"/>
        <family val="2"/>
        <scheme val="minor"/>
      </rPr>
      <t xml:space="preserve"> / </t>
    </r>
    <r>
      <rPr>
        <sz val="11"/>
        <color rgb="FF00B050"/>
        <rFont val="Aptos Narrow"/>
        <family val="2"/>
        <scheme val="minor"/>
      </rPr>
      <t>Cr AR</t>
    </r>
  </si>
  <si>
    <r>
      <rPr>
        <b/>
        <sz val="11"/>
        <color theme="1"/>
        <rFont val="Aptos Narrow"/>
        <family val="2"/>
        <scheme val="minor"/>
      </rPr>
      <t>Dr Bank</t>
    </r>
    <r>
      <rPr>
        <sz val="11"/>
        <color theme="1"/>
        <rFont val="Aptos Narrow"/>
        <family val="2"/>
        <scheme val="minor"/>
      </rPr>
      <t xml:space="preserve"> / </t>
    </r>
    <r>
      <rPr>
        <sz val="11"/>
        <color rgb="FF00B050"/>
        <rFont val="Aptos Narrow"/>
        <family val="2"/>
        <scheme val="minor"/>
      </rPr>
      <t>Cr AR</t>
    </r>
  </si>
  <si>
    <r>
      <rPr>
        <sz val="11"/>
        <color rgb="FFFF0000"/>
        <rFont val="Aptos Narrow"/>
        <family val="2"/>
        <scheme val="minor"/>
      </rPr>
      <t xml:space="preserve">Dr AR Unbilled </t>
    </r>
    <r>
      <rPr>
        <sz val="11"/>
        <color theme="1"/>
        <rFont val="Aptos Narrow"/>
        <family val="2"/>
        <scheme val="minor"/>
      </rPr>
      <t xml:space="preserve">/ </t>
    </r>
    <r>
      <rPr>
        <b/>
        <sz val="11"/>
        <rFont val="Aptos Narrow"/>
        <family val="2"/>
        <scheme val="minor"/>
      </rPr>
      <t>Cr Rev</t>
    </r>
  </si>
  <si>
    <t>All the bold Black is what remains after the Project complete</t>
  </si>
  <si>
    <t>Cost Incurred</t>
  </si>
  <si>
    <r>
      <rPr>
        <b/>
        <sz val="11"/>
        <color theme="0" tint="-0.34998626667073579"/>
        <rFont val="Aptos Narrow"/>
        <family val="2"/>
        <scheme val="minor"/>
      </rPr>
      <t>Dr WIP</t>
    </r>
    <r>
      <rPr>
        <sz val="11"/>
        <color theme="0" tint="-0.34998626667073579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/ </t>
    </r>
    <r>
      <rPr>
        <b/>
        <sz val="11"/>
        <color rgb="FFFFC000"/>
        <rFont val="Aptos Narrow"/>
        <family val="2"/>
        <scheme val="minor"/>
      </rPr>
      <t>Cr AP</t>
    </r>
  </si>
  <si>
    <r>
      <rPr>
        <sz val="11"/>
        <color rgb="FF00B050"/>
        <rFont val="Aptos Narrow"/>
        <family val="2"/>
        <scheme val="minor"/>
      </rPr>
      <t>Dr AR</t>
    </r>
    <r>
      <rPr>
        <sz val="11"/>
        <color theme="1"/>
        <rFont val="Aptos Narrow"/>
        <family val="2"/>
        <scheme val="minor"/>
      </rPr>
      <t xml:space="preserve"> / </t>
    </r>
    <r>
      <rPr>
        <sz val="11"/>
        <color rgb="FFFF0000"/>
        <rFont val="Aptos Narrow"/>
        <family val="2"/>
        <scheme val="minor"/>
      </rPr>
      <t>Cr PBL</t>
    </r>
  </si>
  <si>
    <r>
      <rPr>
        <b/>
        <sz val="11"/>
        <color rgb="FFFFC000"/>
        <rFont val="Aptos Narrow"/>
        <family val="2"/>
        <scheme val="minor"/>
      </rPr>
      <t>Dr AP</t>
    </r>
    <r>
      <rPr>
        <b/>
        <sz val="11"/>
        <rFont val="Aptos Narrow"/>
        <family val="2"/>
        <scheme val="minor"/>
      </rPr>
      <t xml:space="preserve"> /</t>
    </r>
    <r>
      <rPr>
        <sz val="11"/>
        <rFont val="Aptos Narrow"/>
        <family val="2"/>
        <scheme val="minor"/>
      </rPr>
      <t xml:space="preserve"> </t>
    </r>
    <r>
      <rPr>
        <b/>
        <sz val="11"/>
        <rFont val="Aptos Narrow"/>
        <family val="2"/>
        <scheme val="minor"/>
      </rPr>
      <t>Cr Bank</t>
    </r>
  </si>
  <si>
    <t>Month-End</t>
  </si>
  <si>
    <t>Example on Project Flow:</t>
  </si>
  <si>
    <t>Start</t>
  </si>
  <si>
    <t>Complete</t>
  </si>
  <si>
    <r>
      <rPr>
        <b/>
        <sz val="11"/>
        <rFont val="Aptos Narrow"/>
        <family val="2"/>
        <scheme val="minor"/>
      </rPr>
      <t>Dr COS</t>
    </r>
    <r>
      <rPr>
        <sz val="11"/>
        <rFont val="Aptos Narrow"/>
        <family val="2"/>
        <scheme val="minor"/>
      </rPr>
      <t xml:space="preserve"> / </t>
    </r>
    <r>
      <rPr>
        <b/>
        <sz val="11"/>
        <color theme="0" tint="-0.34998626667073579"/>
        <rFont val="Aptos Narrow"/>
        <family val="2"/>
        <scheme val="minor"/>
      </rPr>
      <t>Cr WIP</t>
    </r>
  </si>
  <si>
    <t>Reclass</t>
  </si>
  <si>
    <r>
      <rPr>
        <b/>
        <sz val="11"/>
        <color theme="1"/>
        <rFont val="Aptos Narrow"/>
        <family val="2"/>
        <scheme val="minor"/>
      </rPr>
      <t>Dr Bank</t>
    </r>
    <r>
      <rPr>
        <sz val="11"/>
        <color theme="1"/>
        <rFont val="Aptos Narrow"/>
        <family val="2"/>
        <scheme val="minor"/>
      </rPr>
      <t xml:space="preserve"> / </t>
    </r>
    <r>
      <rPr>
        <sz val="11"/>
        <color rgb="FFFF0000"/>
        <rFont val="Aptos Narrow"/>
        <family val="2"/>
        <scheme val="minor"/>
      </rPr>
      <t>Cr AR AdvPayment</t>
    </r>
  </si>
  <si>
    <t>Overbilling (aka PBL + Cr AR AdvPayment &gt; AR Unbilled)</t>
  </si>
  <si>
    <t>Underbilling (aka PBL + Cr AR AdvPayment &lt; AR Unbilled)</t>
  </si>
  <si>
    <r>
      <rPr>
        <b/>
        <sz val="11"/>
        <color rgb="FFC00000"/>
        <rFont val="Aptos Narrow"/>
        <family val="2"/>
        <scheme val="minor"/>
      </rPr>
      <t>Dr AR Unbilled</t>
    </r>
    <r>
      <rPr>
        <sz val="11"/>
        <color rgb="FFC00000"/>
        <rFont val="Aptos Narrow"/>
        <family val="2"/>
        <scheme val="minor"/>
      </rPr>
      <t xml:space="preserve"> Adj (Asset) / </t>
    </r>
    <r>
      <rPr>
        <b/>
        <sz val="11"/>
        <color rgb="FFC00000"/>
        <rFont val="Aptos Narrow"/>
        <family val="2"/>
        <scheme val="minor"/>
      </rPr>
      <t>Cr PBL Adj</t>
    </r>
    <r>
      <rPr>
        <sz val="11"/>
        <color rgb="FFC00000"/>
        <rFont val="Aptos Narrow"/>
        <family val="2"/>
        <scheme val="minor"/>
      </rPr>
      <t xml:space="preserve"> </t>
    </r>
    <r>
      <rPr>
        <i/>
        <u/>
        <sz val="11"/>
        <color rgb="FFC00000"/>
        <rFont val="Aptos Narrow"/>
        <family val="2"/>
        <scheme val="minor"/>
      </rPr>
      <t>(To cancel the above Cr PBL Adj + Cr AR AdvPayment)</t>
    </r>
  </si>
  <si>
    <t>WIP = 0, AR AdvPayment = 0, PBL &amp; AR Unbilled sum = 0, AR = 0 when paid, only remain Revenue + COS + Bank</t>
  </si>
  <si>
    <r>
      <t xml:space="preserve">Unbilled Receivables </t>
    </r>
    <r>
      <rPr>
        <u/>
        <sz val="11"/>
        <color theme="1"/>
        <rFont val="Aptos Narrow"/>
        <family val="2"/>
        <scheme val="minor"/>
      </rPr>
      <t>(aka Earned Rev)</t>
    </r>
  </si>
  <si>
    <r>
      <rPr>
        <b/>
        <sz val="11"/>
        <color rgb="FFC00000"/>
        <rFont val="Aptos Narrow"/>
        <family val="2"/>
        <scheme val="minor"/>
      </rPr>
      <t>Dr PBL Adj</t>
    </r>
    <r>
      <rPr>
        <sz val="11"/>
        <color rgb="FFC00000"/>
        <rFont val="Aptos Narrow"/>
        <family val="2"/>
        <scheme val="minor"/>
      </rPr>
      <t xml:space="preserve"> (Liability) /</t>
    </r>
    <r>
      <rPr>
        <b/>
        <sz val="11"/>
        <color rgb="FFC00000"/>
        <rFont val="Aptos Narrow"/>
        <family val="2"/>
        <scheme val="minor"/>
      </rPr>
      <t xml:space="preserve"> Cr AR Unbilled</t>
    </r>
    <r>
      <rPr>
        <sz val="11"/>
        <color rgb="FFC00000"/>
        <rFont val="Aptos Narrow"/>
        <family val="2"/>
        <scheme val="minor"/>
      </rPr>
      <t xml:space="preserve"> </t>
    </r>
    <r>
      <rPr>
        <b/>
        <sz val="11"/>
        <color rgb="FFC00000"/>
        <rFont val="Aptos Narrow"/>
        <family val="2"/>
        <scheme val="minor"/>
      </rPr>
      <t>Adj</t>
    </r>
    <r>
      <rPr>
        <sz val="11"/>
        <color rgb="FFC00000"/>
        <rFont val="Aptos Narrow"/>
        <family val="2"/>
        <scheme val="minor"/>
      </rPr>
      <t xml:space="preserve"> </t>
    </r>
    <r>
      <rPr>
        <i/>
        <u/>
        <sz val="11"/>
        <color rgb="FFC00000"/>
        <rFont val="Aptos Narrow"/>
        <family val="2"/>
        <scheme val="minor"/>
      </rPr>
      <t>(To cancel the above Dr AR Unbilled)</t>
    </r>
  </si>
  <si>
    <t>Then in FSV, we put these Adj GLs in Liability/Asset respectively so it will cancel each other out, the remain of AR balance per project will be in 1 side only: Either Asset or Liability</t>
  </si>
  <si>
    <t>(Some suggest not to include AdvPayment in the calculation though as it has diff nature in Balance Sheet)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</si>
</sst>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i/>
      <sz val="10"/>
      <color rgb="FFC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030A0"/>
      <name val="Aptos Narrow"/>
      <family val="2"/>
      <scheme val="minor"/>
    </font>
    <font>
      <i/>
      <u/>
      <sz val="10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i/>
      <sz val="11"/>
      <color theme="5" tint="-0.249977111117893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b/>
      <sz val="11"/>
      <color theme="7" tint="-0.249977111117893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0"/>
      <color theme="8" tint="-0.249977111117893"/>
      <name val="Aptos Narrow"/>
      <family val="2"/>
      <scheme val="minor"/>
    </font>
    <font>
      <strike/>
      <sz val="11"/>
      <name val="Aptos Narrow"/>
      <family val="2"/>
      <scheme val="minor"/>
    </font>
    <font>
      <b/>
      <i/>
      <sz val="10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1"/>
      <color rgb="FF7030A0"/>
      <name val="Aptos Narrow"/>
      <family val="2"/>
      <scheme val="minor"/>
    </font>
    <font>
      <b/>
      <u/>
      <sz val="11"/>
      <color rgb="FFFF0000"/>
      <name val="Aptos Narrow"/>
      <family val="2"/>
      <scheme val="minor"/>
    </font>
    <font>
      <i/>
      <sz val="11"/>
      <name val="Aptos Narrow"/>
      <family val="2"/>
      <scheme val="minor"/>
    </font>
    <font>
      <sz val="8"/>
      <name val="Arial"/>
      <family val="2"/>
    </font>
    <font>
      <b/>
      <sz val="9"/>
      <name val="Arial"/>
      <family val="2"/>
    </font>
    <font>
      <b/>
      <sz val="9"/>
      <color rgb="FF0070C0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9"/>
      <color rgb="FFFF0000"/>
      <name val="Arial"/>
      <family val="2"/>
    </font>
    <font>
      <b/>
      <sz val="10"/>
      <color theme="0"/>
      <name val="Arial"/>
      <family val="2"/>
    </font>
    <font>
      <sz val="11"/>
      <color rgb="FF000000"/>
      <name val="Aptos Narrow"/>
      <family val="2"/>
      <scheme val="minor"/>
    </font>
    <font>
      <sz val="10"/>
      <color rgb="FFFF0000"/>
      <name val="Arial"/>
      <family val="2"/>
    </font>
    <font>
      <b/>
      <sz val="10"/>
      <color theme="8" tint="0.39997558519241921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sz val="11"/>
      <color rgb="FF00B05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theme="0" tint="-0.34998626667073579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u/>
      <sz val="11"/>
      <color rgb="FFC0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7" fillId="0" borderId="0"/>
    <xf numFmtId="0" fontId="37" fillId="0" borderId="0"/>
    <xf numFmtId="0" fontId="41" fillId="0" borderId="0"/>
  </cellStyleXfs>
  <cellXfs count="48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4" borderId="11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9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0" borderId="0" xfId="0" quotePrefix="1"/>
    <xf numFmtId="0" fontId="6" fillId="0" borderId="0" xfId="0" applyFont="1"/>
    <xf numFmtId="0" fontId="4" fillId="4" borderId="0" xfId="0" applyFont="1" applyFill="1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4" borderId="9" xfId="0" applyFill="1" applyBorder="1" applyAlignment="1">
      <alignment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3" fillId="0" borderId="14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0" fontId="3" fillId="0" borderId="15" xfId="0" applyFont="1" applyBorder="1" applyAlignment="1">
      <alignment vertical="center"/>
    </xf>
    <xf numFmtId="0" fontId="0" fillId="0" borderId="23" xfId="0" applyBorder="1" applyAlignment="1">
      <alignment vertical="center" wrapText="1"/>
    </xf>
    <xf numFmtId="0" fontId="3" fillId="0" borderId="29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5" xfId="0" applyBorder="1" applyAlignment="1">
      <alignment vertical="center"/>
    </xf>
    <xf numFmtId="0" fontId="1" fillId="7" borderId="13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14" fontId="0" fillId="0" borderId="32" xfId="0" quotePrefix="1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5" borderId="35" xfId="0" applyFill="1" applyBorder="1" applyAlignment="1">
      <alignment horizontal="center" vertical="center"/>
    </xf>
    <xf numFmtId="0" fontId="0" fillId="0" borderId="32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5" borderId="32" xfId="0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24" xfId="0" applyBorder="1" applyAlignment="1">
      <alignment vertical="center" wrapText="1"/>
    </xf>
    <xf numFmtId="0" fontId="10" fillId="0" borderId="0" xfId="0" applyFont="1" applyAlignment="1">
      <alignment vertical="center"/>
    </xf>
    <xf numFmtId="14" fontId="11" fillId="6" borderId="32" xfId="0" quotePrefix="1" applyNumberFormat="1" applyFon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11" borderId="1" xfId="0" applyFont="1" applyFill="1" applyBorder="1" applyAlignment="1">
      <alignment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7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52" xfId="0" applyBorder="1" applyAlignment="1">
      <alignment vertical="center"/>
    </xf>
    <xf numFmtId="0" fontId="0" fillId="0" borderId="53" xfId="0" applyBorder="1" applyAlignment="1">
      <alignment vertical="center"/>
    </xf>
    <xf numFmtId="0" fontId="0" fillId="0" borderId="54" xfId="0" applyBorder="1" applyAlignment="1">
      <alignment vertical="center"/>
    </xf>
    <xf numFmtId="0" fontId="6" fillId="0" borderId="11" xfId="0" applyFont="1" applyBorder="1" applyAlignment="1">
      <alignment vertical="center"/>
    </xf>
    <xf numFmtId="0" fontId="15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0" fillId="0" borderId="55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7" borderId="21" xfId="0" applyFill="1" applyBorder="1" applyAlignment="1">
      <alignment vertical="center"/>
    </xf>
    <xf numFmtId="0" fontId="0" fillId="9" borderId="21" xfId="0" applyFill="1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20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56" xfId="0" applyBorder="1" applyAlignment="1">
      <alignment vertical="center"/>
    </xf>
    <xf numFmtId="0" fontId="1" fillId="0" borderId="18" xfId="0" applyFont="1" applyBorder="1" applyAlignment="1">
      <alignment vertical="center"/>
    </xf>
    <xf numFmtId="0" fontId="18" fillId="11" borderId="0" xfId="0" applyFont="1" applyFill="1" applyAlignment="1">
      <alignment vertical="center"/>
    </xf>
    <xf numFmtId="0" fontId="16" fillId="11" borderId="0" xfId="0" applyFont="1" applyFill="1" applyAlignment="1">
      <alignment vertical="center"/>
    </xf>
    <xf numFmtId="0" fontId="16" fillId="11" borderId="0" xfId="0" applyFont="1" applyFill="1" applyAlignment="1">
      <alignment horizontal="center" vertical="center"/>
    </xf>
    <xf numFmtId="0" fontId="0" fillId="2" borderId="3" xfId="0" applyFill="1" applyBorder="1" applyAlignment="1">
      <alignment vertical="center"/>
    </xf>
    <xf numFmtId="0" fontId="0" fillId="2" borderId="57" xfId="0" applyFill="1" applyBorder="1" applyAlignment="1">
      <alignment vertical="center"/>
    </xf>
    <xf numFmtId="0" fontId="0" fillId="2" borderId="58" xfId="0" applyFill="1" applyBorder="1" applyAlignment="1">
      <alignment vertical="center"/>
    </xf>
    <xf numFmtId="0" fontId="15" fillId="2" borderId="59" xfId="0" applyFont="1" applyFill="1" applyBorder="1" applyAlignment="1">
      <alignment vertical="center"/>
    </xf>
    <xf numFmtId="0" fontId="0" fillId="2" borderId="50" xfId="0" applyFill="1" applyBorder="1" applyAlignment="1">
      <alignment vertical="center"/>
    </xf>
    <xf numFmtId="0" fontId="15" fillId="2" borderId="34" xfId="0" applyFont="1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1" fillId="5" borderId="9" xfId="0" applyFont="1" applyFill="1" applyBorder="1" applyAlignment="1">
      <alignment vertical="center"/>
    </xf>
    <xf numFmtId="0" fontId="0" fillId="5" borderId="10" xfId="0" applyFill="1" applyBorder="1" applyAlignment="1">
      <alignment vertical="center"/>
    </xf>
    <xf numFmtId="0" fontId="0" fillId="5" borderId="11" xfId="0" applyFill="1" applyBorder="1" applyAlignment="1">
      <alignment vertical="center"/>
    </xf>
    <xf numFmtId="0" fontId="1" fillId="5" borderId="12" xfId="0" applyFont="1" applyFill="1" applyBorder="1" applyAlignment="1">
      <alignment vertical="center"/>
    </xf>
    <xf numFmtId="0" fontId="15" fillId="2" borderId="58" xfId="0" applyFont="1" applyFill="1" applyBorder="1" applyAlignment="1">
      <alignment horizontal="left" vertical="center"/>
    </xf>
    <xf numFmtId="0" fontId="0" fillId="2" borderId="10" xfId="0" applyFill="1" applyBorder="1" applyAlignment="1">
      <alignment vertical="center"/>
    </xf>
    <xf numFmtId="0" fontId="15" fillId="2" borderId="11" xfId="0" applyFont="1" applyFill="1" applyBorder="1" applyAlignment="1">
      <alignment horizontal="left" vertical="center"/>
    </xf>
    <xf numFmtId="0" fontId="0" fillId="2" borderId="11" xfId="0" applyFill="1" applyBorder="1" applyAlignment="1">
      <alignment vertical="center"/>
    </xf>
    <xf numFmtId="0" fontId="15" fillId="2" borderId="12" xfId="0" applyFont="1" applyFill="1" applyBorder="1" applyAlignment="1">
      <alignment vertical="center"/>
    </xf>
    <xf numFmtId="0" fontId="0" fillId="6" borderId="3" xfId="0" applyFill="1" applyBorder="1" applyAlignment="1">
      <alignment vertical="center"/>
    </xf>
    <xf numFmtId="0" fontId="6" fillId="2" borderId="3" xfId="0" applyFont="1" applyFill="1" applyBorder="1" applyAlignment="1">
      <alignment vertical="center"/>
    </xf>
    <xf numFmtId="0" fontId="12" fillId="7" borderId="3" xfId="0" applyFont="1" applyFill="1" applyBorder="1" applyAlignment="1">
      <alignment vertical="center"/>
    </xf>
    <xf numFmtId="0" fontId="0" fillId="7" borderId="3" xfId="0" applyFill="1" applyBorder="1" applyAlignment="1">
      <alignment vertical="center"/>
    </xf>
    <xf numFmtId="0" fontId="6" fillId="6" borderId="3" xfId="0" applyFont="1" applyFill="1" applyBorder="1" applyAlignment="1">
      <alignment vertical="center"/>
    </xf>
    <xf numFmtId="0" fontId="0" fillId="9" borderId="58" xfId="0" applyFill="1" applyBorder="1" applyAlignment="1">
      <alignment vertical="center"/>
    </xf>
    <xf numFmtId="0" fontId="0" fillId="2" borderId="8" xfId="0" applyFill="1" applyBorder="1" applyAlignment="1">
      <alignment vertical="center"/>
    </xf>
    <xf numFmtId="0" fontId="15" fillId="2" borderId="9" xfId="0" applyFont="1" applyFill="1" applyBorder="1" applyAlignment="1">
      <alignment vertical="center"/>
    </xf>
    <xf numFmtId="0" fontId="0" fillId="6" borderId="50" xfId="0" applyFill="1" applyBorder="1" applyAlignment="1">
      <alignment vertical="center"/>
    </xf>
    <xf numFmtId="0" fontId="15" fillId="6" borderId="34" xfId="0" applyFont="1" applyFill="1" applyBorder="1" applyAlignment="1">
      <alignment vertical="center"/>
    </xf>
    <xf numFmtId="0" fontId="0" fillId="6" borderId="10" xfId="0" applyFill="1" applyBorder="1" applyAlignment="1">
      <alignment vertical="center"/>
    </xf>
    <xf numFmtId="0" fontId="0" fillId="6" borderId="11" xfId="0" applyFill="1" applyBorder="1" applyAlignment="1">
      <alignment vertical="center"/>
    </xf>
    <xf numFmtId="0" fontId="15" fillId="6" borderId="12" xfId="0" applyFont="1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5" borderId="6" xfId="0" applyFill="1" applyBorder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12" xfId="0" applyFill="1" applyBorder="1" applyAlignment="1">
      <alignment vertical="center"/>
    </xf>
    <xf numFmtId="0" fontId="6" fillId="2" borderId="58" xfId="0" applyFont="1" applyFill="1" applyBorder="1" applyAlignment="1">
      <alignment vertical="center"/>
    </xf>
    <xf numFmtId="0" fontId="0" fillId="7" borderId="50" xfId="0" applyFill="1" applyBorder="1" applyAlignment="1">
      <alignment vertical="center"/>
    </xf>
    <xf numFmtId="0" fontId="15" fillId="7" borderId="34" xfId="0" applyFont="1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12" fillId="7" borderId="11" xfId="0" applyFont="1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15" fillId="7" borderId="12" xfId="0" applyFont="1" applyFill="1" applyBorder="1" applyAlignment="1">
      <alignment vertical="center"/>
    </xf>
    <xf numFmtId="0" fontId="6" fillId="2" borderId="11" xfId="0" applyFont="1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5" fillId="2" borderId="7" xfId="0" applyFont="1" applyFill="1" applyBorder="1" applyAlignment="1">
      <alignment vertical="center"/>
    </xf>
    <xf numFmtId="0" fontId="6" fillId="6" borderId="11" xfId="0" applyFont="1" applyFill="1" applyBorder="1" applyAlignment="1">
      <alignment vertical="center"/>
    </xf>
    <xf numFmtId="0" fontId="0" fillId="7" borderId="57" xfId="0" applyFill="1" applyBorder="1" applyAlignment="1">
      <alignment vertical="center"/>
    </xf>
    <xf numFmtId="0" fontId="0" fillId="7" borderId="58" xfId="0" applyFill="1" applyBorder="1" applyAlignment="1">
      <alignment vertical="center"/>
    </xf>
    <xf numFmtId="0" fontId="15" fillId="7" borderId="59" xfId="0" applyFont="1" applyFill="1" applyBorder="1" applyAlignment="1">
      <alignment vertical="center"/>
    </xf>
    <xf numFmtId="0" fontId="17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4" borderId="10" xfId="0" applyFill="1" applyBorder="1" applyAlignment="1">
      <alignment vertical="center"/>
    </xf>
    <xf numFmtId="0" fontId="21" fillId="0" borderId="0" xfId="0" applyFont="1" applyAlignment="1">
      <alignment vertical="center"/>
    </xf>
    <xf numFmtId="0" fontId="0" fillId="4" borderId="11" xfId="0" applyFill="1" applyBorder="1" applyAlignment="1">
      <alignment vertical="center" wrapText="1"/>
    </xf>
    <xf numFmtId="0" fontId="21" fillId="0" borderId="11" xfId="0" applyFont="1" applyBorder="1" applyAlignment="1">
      <alignment vertical="center"/>
    </xf>
    <xf numFmtId="0" fontId="0" fillId="9" borderId="8" xfId="0" applyFill="1" applyBorder="1" applyAlignment="1">
      <alignment vertical="center"/>
    </xf>
    <xf numFmtId="0" fontId="0" fillId="9" borderId="6" xfId="0" applyFill="1" applyBorder="1" applyAlignment="1">
      <alignment vertical="center"/>
    </xf>
    <xf numFmtId="0" fontId="0" fillId="9" borderId="5" xfId="0" applyFill="1" applyBorder="1" applyAlignment="1">
      <alignment vertical="center"/>
    </xf>
    <xf numFmtId="0" fontId="22" fillId="0" borderId="0" xfId="0" applyFont="1" applyAlignment="1">
      <alignment vertical="center"/>
    </xf>
    <xf numFmtId="0" fontId="23" fillId="9" borderId="0" xfId="0" applyFont="1" applyFill="1" applyAlignment="1">
      <alignment vertical="center"/>
    </xf>
    <xf numFmtId="0" fontId="0" fillId="9" borderId="10" xfId="0" applyFill="1" applyBorder="1" applyAlignment="1">
      <alignment vertical="center"/>
    </xf>
    <xf numFmtId="0" fontId="0" fillId="9" borderId="11" xfId="0" applyFill="1" applyBorder="1" applyAlignment="1">
      <alignment vertical="center"/>
    </xf>
    <xf numFmtId="0" fontId="0" fillId="9" borderId="6" xfId="0" applyFill="1" applyBorder="1" applyAlignment="1">
      <alignment vertical="center" wrapText="1"/>
    </xf>
    <xf numFmtId="0" fontId="1" fillId="9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0" fillId="12" borderId="10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1" fillId="12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8" borderId="10" xfId="0" applyFill="1" applyBorder="1" applyAlignment="1">
      <alignment vertical="center"/>
    </xf>
    <xf numFmtId="0" fontId="0" fillId="8" borderId="11" xfId="0" applyFill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21" fillId="0" borderId="6" xfId="0" applyFont="1" applyBorder="1" applyAlignment="1">
      <alignment vertical="center"/>
    </xf>
    <xf numFmtId="0" fontId="24" fillId="0" borderId="0" xfId="0" applyFont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24" fillId="0" borderId="0" xfId="0" applyFont="1" applyAlignment="1">
      <alignment vertical="center" wrapText="1"/>
    </xf>
    <xf numFmtId="0" fontId="27" fillId="9" borderId="7" xfId="0" applyFont="1" applyFill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5" fillId="9" borderId="12" xfId="0" applyFont="1" applyFill="1" applyBorder="1" applyAlignment="1">
      <alignment horizontal="center" vertical="center"/>
    </xf>
    <xf numFmtId="0" fontId="25" fillId="4" borderId="12" xfId="0" applyFont="1" applyFill="1" applyBorder="1" applyAlignment="1">
      <alignment horizontal="center" vertical="center"/>
    </xf>
    <xf numFmtId="0" fontId="25" fillId="12" borderId="12" xfId="0" applyFont="1" applyFill="1" applyBorder="1" applyAlignment="1">
      <alignment horizontal="center" vertical="center"/>
    </xf>
    <xf numFmtId="0" fontId="25" fillId="8" borderId="12" xfId="0" applyFont="1" applyFill="1" applyBorder="1" applyAlignment="1">
      <alignment horizontal="center" vertical="center"/>
    </xf>
    <xf numFmtId="0" fontId="25" fillId="9" borderId="9" xfId="0" applyFont="1" applyFill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" fillId="2" borderId="11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9" fillId="0" borderId="0" xfId="0" applyFont="1" applyAlignment="1">
      <alignment vertical="center"/>
    </xf>
    <xf numFmtId="0" fontId="0" fillId="6" borderId="0" xfId="0" applyFill="1" applyAlignment="1">
      <alignment vertical="center"/>
    </xf>
    <xf numFmtId="0" fontId="32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5" fillId="0" borderId="0" xfId="0" applyFont="1" applyAlignment="1">
      <alignment vertical="center"/>
    </xf>
    <xf numFmtId="0" fontId="0" fillId="6" borderId="8" xfId="0" applyFill="1" applyBorder="1" applyAlignment="1">
      <alignment vertical="center"/>
    </xf>
    <xf numFmtId="0" fontId="15" fillId="0" borderId="11" xfId="0" applyFont="1" applyBorder="1" applyAlignment="1">
      <alignment vertical="center"/>
    </xf>
    <xf numFmtId="0" fontId="0" fillId="9" borderId="7" xfId="0" applyFill="1" applyBorder="1" applyAlignment="1">
      <alignment vertical="center"/>
    </xf>
    <xf numFmtId="0" fontId="1" fillId="9" borderId="5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0" fillId="6" borderId="0" xfId="0" applyFill="1" applyAlignment="1">
      <alignment horizontal="center" vertical="center" wrapText="1"/>
    </xf>
    <xf numFmtId="0" fontId="6" fillId="0" borderId="8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0" fillId="9" borderId="9" xfId="0" applyFill="1" applyBorder="1" applyAlignment="1">
      <alignment vertical="center"/>
    </xf>
    <xf numFmtId="0" fontId="13" fillId="0" borderId="5" xfId="0" applyFont="1" applyBorder="1" applyAlignment="1">
      <alignment vertical="center" wrapText="1"/>
    </xf>
    <xf numFmtId="0" fontId="13" fillId="0" borderId="5" xfId="0" applyFont="1" applyBorder="1" applyAlignment="1">
      <alignment vertical="center"/>
    </xf>
    <xf numFmtId="0" fontId="32" fillId="0" borderId="11" xfId="0" applyFont="1" applyBorder="1" applyAlignment="1">
      <alignment vertical="center"/>
    </xf>
    <xf numFmtId="0" fontId="0" fillId="7" borderId="8" xfId="0" applyFill="1" applyBorder="1" applyAlignment="1">
      <alignment vertical="center"/>
    </xf>
    <xf numFmtId="0" fontId="3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6" fillId="8" borderId="0" xfId="0" applyFont="1" applyFill="1" applyAlignment="1">
      <alignment vertical="center"/>
    </xf>
    <xf numFmtId="0" fontId="0" fillId="8" borderId="0" xfId="0" applyFill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0" fillId="13" borderId="0" xfId="0" applyFill="1" applyAlignment="1">
      <alignment vertical="center"/>
    </xf>
    <xf numFmtId="0" fontId="6" fillId="13" borderId="0" xfId="0" applyFont="1" applyFill="1" applyAlignment="1">
      <alignment vertical="center"/>
    </xf>
    <xf numFmtId="0" fontId="20" fillId="0" borderId="0" xfId="0" applyFont="1" applyAlignment="1">
      <alignment horizontal="center" vertical="center"/>
    </xf>
    <xf numFmtId="0" fontId="6" fillId="9" borderId="0" xfId="0" applyFont="1" applyFill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12" fillId="14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0" fillId="14" borderId="0" xfId="0" applyFill="1"/>
    <xf numFmtId="0" fontId="0" fillId="14" borderId="0" xfId="0" quotePrefix="1" applyFill="1" applyAlignment="1">
      <alignment vertical="center"/>
    </xf>
    <xf numFmtId="0" fontId="36" fillId="0" borderId="0" xfId="0" applyFont="1" applyAlignment="1">
      <alignment vertical="center"/>
    </xf>
    <xf numFmtId="49" fontId="38" fillId="15" borderId="2" xfId="1" applyNumberFormat="1" applyFont="1" applyFill="1" applyBorder="1"/>
    <xf numFmtId="49" fontId="38" fillId="15" borderId="3" xfId="1" applyNumberFormat="1" applyFont="1" applyFill="1" applyBorder="1" applyAlignment="1">
      <alignment horizontal="center"/>
    </xf>
    <xf numFmtId="49" fontId="38" fillId="16" borderId="2" xfId="2" applyNumberFormat="1" applyFont="1" applyFill="1" applyBorder="1"/>
    <xf numFmtId="49" fontId="39" fillId="16" borderId="2" xfId="2" applyNumberFormat="1" applyFont="1" applyFill="1" applyBorder="1"/>
    <xf numFmtId="49" fontId="38" fillId="16" borderId="3" xfId="2" applyNumberFormat="1" applyFont="1" applyFill="1" applyBorder="1"/>
    <xf numFmtId="49" fontId="40" fillId="16" borderId="4" xfId="2" applyNumberFormat="1" applyFont="1" applyFill="1" applyBorder="1"/>
    <xf numFmtId="49" fontId="40" fillId="16" borderId="3" xfId="2" applyNumberFormat="1" applyFont="1" applyFill="1" applyBorder="1"/>
    <xf numFmtId="49" fontId="38" fillId="17" borderId="2" xfId="2" applyNumberFormat="1" applyFont="1" applyFill="1" applyBorder="1"/>
    <xf numFmtId="49" fontId="38" fillId="17" borderId="3" xfId="2" applyNumberFormat="1" applyFont="1" applyFill="1" applyBorder="1"/>
    <xf numFmtId="49" fontId="40" fillId="18" borderId="2" xfId="2" applyNumberFormat="1" applyFont="1" applyFill="1" applyBorder="1"/>
    <xf numFmtId="49" fontId="38" fillId="18" borderId="3" xfId="2" applyNumberFormat="1" applyFont="1" applyFill="1" applyBorder="1"/>
    <xf numFmtId="0" fontId="42" fillId="19" borderId="16" xfId="3" applyFont="1" applyFill="1" applyBorder="1" applyAlignment="1">
      <alignment horizontal="left"/>
    </xf>
    <xf numFmtId="0" fontId="42" fillId="19" borderId="55" xfId="3" applyFont="1" applyFill="1" applyBorder="1" applyAlignment="1">
      <alignment horizontal="left"/>
    </xf>
    <xf numFmtId="0" fontId="41" fillId="19" borderId="55" xfId="3" applyFill="1" applyBorder="1" applyAlignment="1">
      <alignment horizontal="center"/>
    </xf>
    <xf numFmtId="0" fontId="41" fillId="19" borderId="17" xfId="3" applyFill="1" applyBorder="1" applyAlignment="1">
      <alignment horizontal="center"/>
    </xf>
    <xf numFmtId="0" fontId="41" fillId="0" borderId="0" xfId="3" applyAlignment="1">
      <alignment horizontal="center"/>
    </xf>
    <xf numFmtId="49" fontId="43" fillId="15" borderId="13" xfId="1" applyNumberFormat="1" applyFont="1" applyFill="1" applyBorder="1" applyAlignment="1">
      <alignment horizontal="center" wrapText="1"/>
    </xf>
    <xf numFmtId="49" fontId="43" fillId="16" borderId="13" xfId="2" applyNumberFormat="1" applyFont="1" applyFill="1" applyBorder="1" applyAlignment="1">
      <alignment wrapText="1"/>
    </xf>
    <xf numFmtId="49" fontId="40" fillId="9" borderId="20" xfId="2" applyNumberFormat="1" applyFont="1" applyFill="1" applyBorder="1" applyAlignment="1">
      <alignment wrapText="1"/>
    </xf>
    <xf numFmtId="49" fontId="40" fillId="16" borderId="20" xfId="2" applyNumberFormat="1" applyFont="1" applyFill="1" applyBorder="1" applyAlignment="1">
      <alignment wrapText="1"/>
    </xf>
    <xf numFmtId="2" fontId="38" fillId="17" borderId="2" xfId="2" applyNumberFormat="1" applyFont="1" applyFill="1" applyBorder="1" applyAlignment="1">
      <alignment horizontal="center" wrapText="1"/>
    </xf>
    <xf numFmtId="2" fontId="38" fillId="18" borderId="2" xfId="2" applyNumberFormat="1" applyFont="1" applyFill="1" applyBorder="1" applyAlignment="1">
      <alignment horizontal="center" wrapText="1"/>
    </xf>
    <xf numFmtId="0" fontId="42" fillId="19" borderId="13" xfId="3" applyFont="1" applyFill="1" applyBorder="1" applyAlignment="1">
      <alignment horizontal="center" wrapText="1"/>
    </xf>
    <xf numFmtId="0" fontId="41" fillId="0" borderId="0" xfId="3" applyAlignment="1">
      <alignment horizontal="center" wrapText="1"/>
    </xf>
    <xf numFmtId="49" fontId="43" fillId="15" borderId="15" xfId="1" applyNumberFormat="1" applyFont="1" applyFill="1" applyBorder="1" applyAlignment="1">
      <alignment horizontal="center"/>
    </xf>
    <xf numFmtId="49" fontId="43" fillId="16" borderId="15" xfId="2" applyNumberFormat="1" applyFont="1" applyFill="1" applyBorder="1"/>
    <xf numFmtId="49" fontId="40" fillId="9" borderId="20" xfId="2" applyNumberFormat="1" applyFont="1" applyFill="1" applyBorder="1"/>
    <xf numFmtId="49" fontId="40" fillId="16" borderId="20" xfId="2" applyNumberFormat="1" applyFont="1" applyFill="1" applyBorder="1"/>
    <xf numFmtId="0" fontId="38" fillId="17" borderId="20" xfId="2" applyFont="1" applyFill="1" applyBorder="1" applyAlignment="1">
      <alignment horizontal="center"/>
    </xf>
    <xf numFmtId="0" fontId="38" fillId="18" borderId="20" xfId="2" applyFont="1" applyFill="1" applyBorder="1" applyAlignment="1">
      <alignment horizontal="center"/>
    </xf>
    <xf numFmtId="0" fontId="42" fillId="19" borderId="14" xfId="3" applyFont="1" applyFill="1" applyBorder="1"/>
    <xf numFmtId="0" fontId="41" fillId="0" borderId="0" xfId="3"/>
    <xf numFmtId="0" fontId="41" fillId="0" borderId="1" xfId="3" applyBorder="1" applyAlignment="1">
      <alignment horizontal="center"/>
    </xf>
    <xf numFmtId="14" fontId="41" fillId="0" borderId="1" xfId="3" applyNumberFormat="1" applyBorder="1" applyAlignment="1">
      <alignment horizontal="center"/>
    </xf>
    <xf numFmtId="0" fontId="41" fillId="0" borderId="1" xfId="3" applyBorder="1"/>
    <xf numFmtId="4" fontId="41" fillId="0" borderId="1" xfId="3" applyNumberFormat="1" applyBorder="1"/>
    <xf numFmtId="4" fontId="41" fillId="0" borderId="1" xfId="3" applyNumberFormat="1" applyBorder="1" applyAlignment="1">
      <alignment horizontal="right"/>
    </xf>
    <xf numFmtId="4" fontId="41" fillId="2" borderId="1" xfId="3" applyNumberFormat="1" applyFill="1" applyBorder="1"/>
    <xf numFmtId="4" fontId="41" fillId="20" borderId="1" xfId="3" applyNumberFormat="1" applyFill="1" applyBorder="1"/>
    <xf numFmtId="0" fontId="42" fillId="4" borderId="2" xfId="3" applyFont="1" applyFill="1" applyBorder="1" applyAlignment="1">
      <alignment horizontal="center" vertical="center"/>
    </xf>
    <xf numFmtId="0" fontId="42" fillId="4" borderId="3" xfId="3" applyFont="1" applyFill="1" applyBorder="1" applyAlignment="1">
      <alignment vertical="center"/>
    </xf>
    <xf numFmtId="0" fontId="41" fillId="4" borderId="3" xfId="3" applyFill="1" applyBorder="1" applyAlignment="1">
      <alignment vertical="center"/>
    </xf>
    <xf numFmtId="0" fontId="41" fillId="4" borderId="4" xfId="3" applyFill="1" applyBorder="1" applyAlignment="1">
      <alignment vertical="center"/>
    </xf>
    <xf numFmtId="0" fontId="41" fillId="0" borderId="0" xfId="3" applyAlignment="1">
      <alignment vertical="center"/>
    </xf>
    <xf numFmtId="0" fontId="44" fillId="21" borderId="60" xfId="3" applyFont="1" applyFill="1" applyBorder="1"/>
    <xf numFmtId="14" fontId="45" fillId="0" borderId="60" xfId="3" applyNumberFormat="1" applyFont="1" applyBorder="1" applyAlignment="1">
      <alignment vertical="top"/>
    </xf>
    <xf numFmtId="0" fontId="45" fillId="0" borderId="60" xfId="3" applyFont="1" applyBorder="1" applyAlignment="1">
      <alignment vertical="top"/>
    </xf>
    <xf numFmtId="4" fontId="45" fillId="0" borderId="60" xfId="3" applyNumberFormat="1" applyFont="1" applyBorder="1" applyAlignment="1">
      <alignment vertical="top"/>
    </xf>
    <xf numFmtId="0" fontId="41" fillId="0" borderId="60" xfId="3" applyBorder="1"/>
    <xf numFmtId="4" fontId="45" fillId="0" borderId="60" xfId="3" quotePrefix="1" applyNumberFormat="1" applyFont="1" applyBorder="1" applyAlignment="1">
      <alignment vertical="top"/>
    </xf>
    <xf numFmtId="0" fontId="41" fillId="0" borderId="0" xfId="3" applyAlignment="1">
      <alignment horizontal="left" indent="3"/>
    </xf>
    <xf numFmtId="0" fontId="42" fillId="22" borderId="2" xfId="3" applyFont="1" applyFill="1" applyBorder="1" applyAlignment="1">
      <alignment horizontal="center" vertical="center"/>
    </xf>
    <xf numFmtId="0" fontId="42" fillId="22" borderId="3" xfId="3" applyFont="1" applyFill="1" applyBorder="1" applyAlignment="1">
      <alignment vertical="center"/>
    </xf>
    <xf numFmtId="0" fontId="41" fillId="22" borderId="3" xfId="3" applyFill="1" applyBorder="1" applyAlignment="1">
      <alignment vertical="center"/>
    </xf>
    <xf numFmtId="0" fontId="41" fillId="22" borderId="4" xfId="3" applyFill="1" applyBorder="1" applyAlignment="1">
      <alignment vertical="center"/>
    </xf>
    <xf numFmtId="0" fontId="42" fillId="0" borderId="0" xfId="3" applyFont="1" applyAlignment="1">
      <alignment horizontal="center" vertical="center"/>
    </xf>
    <xf numFmtId="0" fontId="42" fillId="23" borderId="5" xfId="3" applyFont="1" applyFill="1" applyBorder="1" applyAlignment="1">
      <alignment horizontal="center" vertical="center"/>
    </xf>
    <xf numFmtId="0" fontId="42" fillId="23" borderId="61" xfId="3" applyFont="1" applyFill="1" applyBorder="1" applyAlignment="1">
      <alignment horizontal="center" vertical="center"/>
    </xf>
    <xf numFmtId="0" fontId="41" fillId="0" borderId="0" xfId="3" applyAlignment="1">
      <alignment horizontal="center" vertical="center" wrapText="1"/>
    </xf>
    <xf numFmtId="0" fontId="42" fillId="0" borderId="1" xfId="3" applyFont="1" applyBorder="1" applyAlignment="1">
      <alignment horizontal="center" vertical="center" wrapText="1"/>
    </xf>
    <xf numFmtId="0" fontId="42" fillId="0" borderId="2" xfId="3" applyFont="1" applyBorder="1" applyAlignment="1">
      <alignment horizontal="center" vertical="center" wrapText="1"/>
    </xf>
    <xf numFmtId="0" fontId="42" fillId="0" borderId="4" xfId="3" applyFont="1" applyBorder="1" applyAlignment="1">
      <alignment horizontal="center" vertical="center" wrapText="1"/>
    </xf>
    <xf numFmtId="0" fontId="46" fillId="0" borderId="62" xfId="3" applyFont="1" applyBorder="1" applyAlignment="1">
      <alignment vertical="center"/>
    </xf>
    <xf numFmtId="0" fontId="42" fillId="0" borderId="62" xfId="3" applyFont="1" applyBorder="1" applyAlignment="1">
      <alignment horizontal="center" vertical="center"/>
    </xf>
    <xf numFmtId="0" fontId="42" fillId="0" borderId="1" xfId="3" applyFont="1" applyBorder="1"/>
    <xf numFmtId="0" fontId="41" fillId="0" borderId="2" xfId="3" applyBorder="1"/>
    <xf numFmtId="0" fontId="41" fillId="0" borderId="4" xfId="3" applyBorder="1"/>
    <xf numFmtId="0" fontId="46" fillId="0" borderId="63" xfId="3" applyFont="1" applyBorder="1" applyAlignment="1">
      <alignment vertical="center"/>
    </xf>
    <xf numFmtId="0" fontId="42" fillId="0" borderId="63" xfId="3" applyFont="1" applyBorder="1" applyAlignment="1">
      <alignment horizontal="center" vertical="center"/>
    </xf>
    <xf numFmtId="0" fontId="42" fillId="23" borderId="64" xfId="3" applyFont="1" applyFill="1" applyBorder="1" applyAlignment="1">
      <alignment horizontal="center" vertical="center"/>
    </xf>
    <xf numFmtId="0" fontId="46" fillId="0" borderId="61" xfId="3" quotePrefix="1" applyFont="1" applyBorder="1" applyAlignment="1">
      <alignment vertical="center"/>
    </xf>
    <xf numFmtId="0" fontId="47" fillId="0" borderId="7" xfId="3" applyFont="1" applyBorder="1" applyAlignment="1">
      <alignment vertical="center"/>
    </xf>
    <xf numFmtId="0" fontId="41" fillId="0" borderId="5" xfId="3" applyBorder="1"/>
    <xf numFmtId="0" fontId="41" fillId="7" borderId="7" xfId="3" applyFill="1" applyBorder="1" applyAlignment="1">
      <alignment horizontal="center" vertical="center"/>
    </xf>
    <xf numFmtId="0" fontId="42" fillId="18" borderId="2" xfId="3" applyFont="1" applyFill="1" applyBorder="1" applyAlignment="1">
      <alignment horizontal="center" vertical="center"/>
    </xf>
    <xf numFmtId="0" fontId="42" fillId="18" borderId="3" xfId="3" applyFont="1" applyFill="1" applyBorder="1" applyAlignment="1">
      <alignment vertical="center"/>
    </xf>
    <xf numFmtId="0" fontId="41" fillId="18" borderId="3" xfId="3" applyFill="1" applyBorder="1" applyAlignment="1">
      <alignment vertical="center"/>
    </xf>
    <xf numFmtId="0" fontId="41" fillId="18" borderId="4" xfId="3" applyFill="1" applyBorder="1" applyAlignment="1">
      <alignment vertical="center"/>
    </xf>
    <xf numFmtId="0" fontId="41" fillId="0" borderId="62" xfId="3" quotePrefix="1" applyBorder="1" applyAlignment="1">
      <alignment vertical="center"/>
    </xf>
    <xf numFmtId="0" fontId="48" fillId="0" borderId="9" xfId="3" applyFont="1" applyBorder="1" applyAlignment="1">
      <alignment vertical="center"/>
    </xf>
    <xf numFmtId="0" fontId="41" fillId="2" borderId="8" xfId="3" applyFill="1" applyBorder="1"/>
    <xf numFmtId="0" fontId="41" fillId="7" borderId="9" xfId="3" applyFill="1" applyBorder="1" applyAlignment="1">
      <alignment horizontal="center" vertical="center"/>
    </xf>
    <xf numFmtId="0" fontId="42" fillId="0" borderId="0" xfId="3" applyFont="1"/>
    <xf numFmtId="0" fontId="46" fillId="0" borderId="62" xfId="3" quotePrefix="1" applyFont="1" applyBorder="1" applyAlignment="1">
      <alignment vertical="center"/>
    </xf>
    <xf numFmtId="0" fontId="47" fillId="0" borderId="9" xfId="3" applyFont="1" applyBorder="1" applyAlignment="1">
      <alignment vertical="center"/>
    </xf>
    <xf numFmtId="0" fontId="41" fillId="0" borderId="8" xfId="3" applyBorder="1"/>
    <xf numFmtId="0" fontId="42" fillId="0" borderId="1" xfId="3" applyFont="1" applyBorder="1" applyAlignment="1">
      <alignment wrapText="1"/>
    </xf>
    <xf numFmtId="0" fontId="42" fillId="0" borderId="2" xfId="3" applyFont="1" applyBorder="1" applyAlignment="1">
      <alignment wrapText="1"/>
    </xf>
    <xf numFmtId="0" fontId="42" fillId="0" borderId="4" xfId="3" applyFont="1" applyBorder="1" applyAlignment="1">
      <alignment wrapText="1"/>
    </xf>
    <xf numFmtId="0" fontId="41" fillId="0" borderId="9" xfId="3" applyBorder="1" applyAlignment="1">
      <alignment vertical="center"/>
    </xf>
    <xf numFmtId="0" fontId="46" fillId="0" borderId="63" xfId="3" quotePrefix="1" applyFont="1" applyBorder="1" applyAlignment="1">
      <alignment vertical="center"/>
    </xf>
    <xf numFmtId="0" fontId="46" fillId="0" borderId="12" xfId="3" applyFont="1" applyBorder="1" applyAlignment="1">
      <alignment vertical="center"/>
    </xf>
    <xf numFmtId="0" fontId="41" fillId="2" borderId="10" xfId="3" applyFill="1" applyBorder="1"/>
    <xf numFmtId="0" fontId="41" fillId="7" borderId="12" xfId="3" applyFill="1" applyBorder="1" applyAlignment="1">
      <alignment horizontal="center" vertical="center"/>
    </xf>
    <xf numFmtId="0" fontId="46" fillId="0" borderId="7" xfId="3" quotePrefix="1" applyFont="1" applyBorder="1" applyAlignment="1">
      <alignment vertical="center"/>
    </xf>
    <xf numFmtId="0" fontId="41" fillId="2" borderId="6" xfId="3" applyFill="1" applyBorder="1"/>
    <xf numFmtId="0" fontId="46" fillId="0" borderId="12" xfId="3" quotePrefix="1" applyFont="1" applyBorder="1" applyAlignment="1">
      <alignment vertical="center"/>
    </xf>
    <xf numFmtId="0" fontId="41" fillId="2" borderId="11" xfId="3" applyFill="1" applyBorder="1"/>
    <xf numFmtId="0" fontId="41" fillId="0" borderId="0" xfId="3" applyAlignment="1">
      <alignment wrapText="1"/>
    </xf>
    <xf numFmtId="0" fontId="42" fillId="24" borderId="1" xfId="3" applyFont="1" applyFill="1" applyBorder="1" applyAlignment="1">
      <alignment wrapText="1"/>
    </xf>
    <xf numFmtId="0" fontId="42" fillId="24" borderId="2" xfId="3" applyFont="1" applyFill="1" applyBorder="1" applyAlignment="1">
      <alignment wrapText="1"/>
    </xf>
    <xf numFmtId="0" fontId="42" fillId="24" borderId="4" xfId="3" applyFont="1" applyFill="1" applyBorder="1" applyAlignment="1">
      <alignment wrapText="1"/>
    </xf>
    <xf numFmtId="0" fontId="42" fillId="24" borderId="1" xfId="3" applyFont="1" applyFill="1" applyBorder="1" applyAlignment="1">
      <alignment horizontal="center" vertical="center" wrapText="1"/>
    </xf>
    <xf numFmtId="0" fontId="47" fillId="0" borderId="62" xfId="3" applyFont="1" applyBorder="1" applyAlignment="1">
      <alignment vertical="center"/>
    </xf>
    <xf numFmtId="0" fontId="41" fillId="4" borderId="62" xfId="3" applyFill="1" applyBorder="1" applyAlignment="1">
      <alignment vertical="center"/>
    </xf>
    <xf numFmtId="0" fontId="41" fillId="0" borderId="0" xfId="3" applyAlignment="1">
      <alignment horizontal="center" vertical="center"/>
    </xf>
    <xf numFmtId="0" fontId="42" fillId="23" borderId="7" xfId="3" applyFont="1" applyFill="1" applyBorder="1" applyAlignment="1">
      <alignment horizontal="center" vertical="center"/>
    </xf>
    <xf numFmtId="0" fontId="41" fillId="4" borderId="62" xfId="3" quotePrefix="1" applyFill="1" applyBorder="1" applyAlignment="1">
      <alignment vertical="center"/>
    </xf>
    <xf numFmtId="0" fontId="48" fillId="4" borderId="9" xfId="3" applyFont="1" applyFill="1" applyBorder="1" applyAlignment="1">
      <alignment vertical="center"/>
    </xf>
    <xf numFmtId="0" fontId="41" fillId="4" borderId="9" xfId="3" applyFill="1" applyBorder="1" applyAlignment="1">
      <alignment vertical="center"/>
    </xf>
    <xf numFmtId="0" fontId="41" fillId="0" borderId="62" xfId="3" applyBorder="1" applyAlignment="1">
      <alignment vertical="center"/>
    </xf>
    <xf numFmtId="0" fontId="41" fillId="0" borderId="63" xfId="3" applyBorder="1" applyAlignment="1">
      <alignment vertical="center"/>
    </xf>
    <xf numFmtId="0" fontId="41" fillId="4" borderId="12" xfId="3" applyFill="1" applyBorder="1" applyAlignment="1">
      <alignment vertical="center"/>
    </xf>
    <xf numFmtId="0" fontId="42" fillId="25" borderId="2" xfId="3" applyFont="1" applyFill="1" applyBorder="1" applyAlignment="1">
      <alignment horizontal="center" vertical="center"/>
    </xf>
    <xf numFmtId="0" fontId="42" fillId="25" borderId="3" xfId="3" applyFont="1" applyFill="1" applyBorder="1" applyAlignment="1">
      <alignment vertical="center"/>
    </xf>
    <xf numFmtId="0" fontId="41" fillId="25" borderId="3" xfId="3" applyFill="1" applyBorder="1" applyAlignment="1">
      <alignment vertical="center"/>
    </xf>
    <xf numFmtId="0" fontId="41" fillId="25" borderId="4" xfId="3" applyFill="1" applyBorder="1" applyAlignment="1">
      <alignment vertical="center"/>
    </xf>
    <xf numFmtId="0" fontId="2" fillId="6" borderId="52" xfId="0" applyFont="1" applyFill="1" applyBorder="1" applyAlignment="1">
      <alignment horizontal="center" vertical="center"/>
    </xf>
    <xf numFmtId="0" fontId="2" fillId="6" borderId="53" xfId="0" applyFont="1" applyFill="1" applyBorder="1" applyAlignment="1">
      <alignment horizontal="center" vertical="center"/>
    </xf>
    <xf numFmtId="0" fontId="2" fillId="6" borderId="54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13" fillId="6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/>
    </xf>
    <xf numFmtId="0" fontId="1" fillId="2" borderId="56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10" borderId="13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0" fillId="9" borderId="0" xfId="0" quotePrefix="1" applyFill="1" applyAlignment="1">
      <alignment horizontal="left" vertical="center" wrapText="1"/>
    </xf>
    <xf numFmtId="0" fontId="1" fillId="6" borderId="17" xfId="0" applyFont="1" applyFill="1" applyBorder="1" applyAlignment="1">
      <alignment horizontal="left" vertical="center"/>
    </xf>
    <xf numFmtId="0" fontId="1" fillId="6" borderId="21" xfId="0" applyFont="1" applyFill="1" applyBorder="1" applyAlignment="1">
      <alignment horizontal="left" vertical="center"/>
    </xf>
    <xf numFmtId="0" fontId="1" fillId="6" borderId="56" xfId="0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0" fillId="0" borderId="2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 wrapText="1"/>
    </xf>
    <xf numFmtId="0" fontId="1" fillId="3" borderId="29" xfId="0" applyFont="1" applyFill="1" applyBorder="1" applyAlignment="1">
      <alignment horizontal="center" vertical="center"/>
    </xf>
    <xf numFmtId="17" fontId="1" fillId="3" borderId="47" xfId="0" applyNumberFormat="1" applyFont="1" applyFill="1" applyBorder="1" applyAlignment="1">
      <alignment horizontal="center" vertical="center" wrapText="1"/>
    </xf>
    <xf numFmtId="17" fontId="1" fillId="3" borderId="48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5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14" fontId="0" fillId="0" borderId="47" xfId="0" quotePrefix="1" applyNumberFormat="1" applyBorder="1" applyAlignment="1">
      <alignment horizontal="center" vertical="center"/>
    </xf>
    <xf numFmtId="14" fontId="0" fillId="0" borderId="49" xfId="0" quotePrefix="1" applyNumberFormat="1" applyBorder="1" applyAlignment="1">
      <alignment horizontal="center" vertical="center"/>
    </xf>
    <xf numFmtId="14" fontId="0" fillId="0" borderId="48" xfId="0" quotePrefix="1" applyNumberFormat="1" applyBorder="1" applyAlignment="1">
      <alignment horizontal="center" vertical="center"/>
    </xf>
    <xf numFmtId="14" fontId="11" fillId="6" borderId="23" xfId="0" quotePrefix="1" applyNumberFormat="1" applyFont="1" applyFill="1" applyBorder="1" applyAlignment="1">
      <alignment horizontal="center" vertical="center"/>
    </xf>
    <xf numFmtId="14" fontId="11" fillId="6" borderId="15" xfId="0" quotePrefix="1" applyNumberFormat="1" applyFont="1" applyFill="1" applyBorder="1" applyAlignment="1">
      <alignment horizontal="center" vertical="center"/>
    </xf>
    <xf numFmtId="14" fontId="11" fillId="6" borderId="29" xfId="0" quotePrefix="1" applyNumberFormat="1" applyFont="1" applyFill="1" applyBorder="1" applyAlignment="1">
      <alignment horizontal="center" vertical="center"/>
    </xf>
    <xf numFmtId="0" fontId="0" fillId="0" borderId="47" xfId="0" quotePrefix="1" applyBorder="1" applyAlignment="1">
      <alignment horizontal="center" vertical="center"/>
    </xf>
    <xf numFmtId="0" fontId="0" fillId="0" borderId="49" xfId="0" quotePrefix="1" applyBorder="1" applyAlignment="1">
      <alignment horizontal="center" vertical="center"/>
    </xf>
    <xf numFmtId="0" fontId="0" fillId="0" borderId="48" xfId="0" quotePrefix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4" xfId="0" quotePrefix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7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7" fontId="1" fillId="3" borderId="2" xfId="0" applyNumberFormat="1" applyFont="1" applyFill="1" applyBorder="1" applyAlignment="1">
      <alignment horizontal="center" vertical="center"/>
    </xf>
    <xf numFmtId="17" fontId="1" fillId="3" borderId="4" xfId="0" applyNumberFormat="1" applyFont="1" applyFill="1" applyBorder="1" applyAlignment="1">
      <alignment horizontal="center" vertical="center"/>
    </xf>
    <xf numFmtId="14" fontId="0" fillId="0" borderId="18" xfId="0" quotePrefix="1" applyNumberFormat="1" applyBorder="1" applyAlignment="1">
      <alignment horizontal="center" vertical="center"/>
    </xf>
    <xf numFmtId="14" fontId="0" fillId="0" borderId="19" xfId="0" quotePrefix="1" applyNumberFormat="1" applyBorder="1" applyAlignment="1">
      <alignment horizontal="center" vertical="center"/>
    </xf>
    <xf numFmtId="14" fontId="0" fillId="0" borderId="26" xfId="0" quotePrefix="1" applyNumberFormat="1" applyBorder="1" applyAlignment="1">
      <alignment horizontal="center" vertical="center"/>
    </xf>
    <xf numFmtId="14" fontId="0" fillId="0" borderId="2" xfId="0" quotePrefix="1" applyNumberFormat="1" applyBorder="1" applyAlignment="1">
      <alignment horizontal="center" vertical="center"/>
    </xf>
    <xf numFmtId="14" fontId="0" fillId="0" borderId="3" xfId="0" quotePrefix="1" applyNumberFormat="1" applyBorder="1" applyAlignment="1">
      <alignment horizontal="center" vertical="center"/>
    </xf>
    <xf numFmtId="14" fontId="0" fillId="0" borderId="34" xfId="0" quotePrefix="1" applyNumberFormat="1" applyBorder="1" applyAlignment="1">
      <alignment horizontal="center" vertical="center"/>
    </xf>
    <xf numFmtId="14" fontId="0" fillId="0" borderId="36" xfId="0" quotePrefix="1" applyNumberFormat="1" applyBorder="1" applyAlignment="1">
      <alignment horizontal="center" vertical="center"/>
    </xf>
    <xf numFmtId="14" fontId="0" fillId="0" borderId="37" xfId="0" quotePrefix="1" applyNumberFormat="1" applyBorder="1" applyAlignment="1">
      <alignment horizontal="center" vertical="center"/>
    </xf>
    <xf numFmtId="14" fontId="0" fillId="0" borderId="38" xfId="0" quotePrefix="1" applyNumberFormat="1" applyBorder="1" applyAlignment="1">
      <alignment horizontal="center" vertical="center"/>
    </xf>
    <xf numFmtId="17" fontId="1" fillId="3" borderId="3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9" borderId="0" xfId="0" applyFill="1" applyAlignment="1">
      <alignment vertical="center" wrapText="1"/>
    </xf>
    <xf numFmtId="0" fontId="33" fillId="9" borderId="0" xfId="0" applyFont="1" applyFill="1" applyAlignment="1">
      <alignment vertical="center"/>
    </xf>
    <xf numFmtId="0" fontId="0" fillId="9" borderId="0" xfId="0" quotePrefix="1" applyFill="1" applyAlignment="1">
      <alignment vertical="center"/>
    </xf>
    <xf numFmtId="0" fontId="52" fillId="9" borderId="0" xfId="0" applyFont="1" applyFill="1" applyAlignment="1">
      <alignment vertical="center"/>
    </xf>
    <xf numFmtId="0" fontId="1" fillId="9" borderId="0" xfId="0" applyFont="1" applyFill="1" applyAlignment="1">
      <alignment vertical="center" wrapText="1"/>
    </xf>
    <xf numFmtId="0" fontId="0" fillId="9" borderId="0" xfId="0" applyFill="1"/>
    <xf numFmtId="0" fontId="1" fillId="9" borderId="0" xfId="0" applyFont="1" applyFill="1" applyAlignment="1">
      <alignment vertical="center"/>
    </xf>
    <xf numFmtId="0" fontId="14" fillId="9" borderId="16" xfId="0" applyFont="1" applyFill="1" applyBorder="1" applyAlignment="1">
      <alignment horizontal="center" vertical="center" wrapText="1"/>
    </xf>
    <xf numFmtId="0" fontId="14" fillId="9" borderId="17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0" fontId="14" fillId="9" borderId="56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D843E9BE-6B2E-4D4F-B31F-7B04B0F415E1}"/>
    <cellStyle name="Normal 3" xfId="2" xr:uid="{574A0B19-910B-4115-B698-4C6351B99DED}"/>
    <cellStyle name="Normal 4" xfId="3" xr:uid="{86152D64-73D1-4792-88BA-5489CAE7F62C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6803</xdr:colOff>
      <xdr:row>2</xdr:row>
      <xdr:rowOff>43542</xdr:rowOff>
    </xdr:from>
    <xdr:to>
      <xdr:col>15</xdr:col>
      <xdr:colOff>6802</xdr:colOff>
      <xdr:row>15</xdr:row>
      <xdr:rowOff>48986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12B57D4-F283-4392-BEC2-8721069C5A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946" y="413656"/>
          <a:ext cx="11908970" cy="2411187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114852</xdr:colOff>
      <xdr:row>84</xdr:row>
      <xdr:rowOff>26502</xdr:rowOff>
    </xdr:from>
    <xdr:to>
      <xdr:col>7</xdr:col>
      <xdr:colOff>194366</xdr:colOff>
      <xdr:row>86</xdr:row>
      <xdr:rowOff>8831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7F5BF411-DB96-4627-955D-0D41F1F16D17}"/>
            </a:ext>
          </a:extLst>
        </xdr:cNvPr>
        <xdr:cNvSpPr/>
      </xdr:nvSpPr>
      <xdr:spPr>
        <a:xfrm>
          <a:off x="8604802" y="15498277"/>
          <a:ext cx="79514" cy="363329"/>
        </a:xfrm>
        <a:prstGeom prst="rightBrace">
          <a:avLst>
            <a:gd name="adj1" fmla="val 52451"/>
            <a:gd name="adj2" fmla="val 48889"/>
          </a:avLst>
        </a:prstGeom>
        <a:ln w="15875"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53010</xdr:colOff>
      <xdr:row>137</xdr:row>
      <xdr:rowOff>0</xdr:rowOff>
    </xdr:from>
    <xdr:to>
      <xdr:col>9</xdr:col>
      <xdr:colOff>132524</xdr:colOff>
      <xdr:row>139</xdr:row>
      <xdr:rowOff>35338</xdr:rowOff>
    </xdr:to>
    <xdr:sp macro="" textlink="">
      <xdr:nvSpPr>
        <xdr:cNvPr id="3" name="Right Brace 2">
          <a:extLst>
            <a:ext uri="{FF2B5EF4-FFF2-40B4-BE49-F238E27FC236}">
              <a16:creationId xmlns:a16="http://schemas.microsoft.com/office/drawing/2014/main" id="{9994D861-AB38-4745-9D80-9A4A58535D52}"/>
            </a:ext>
          </a:extLst>
        </xdr:cNvPr>
        <xdr:cNvSpPr/>
      </xdr:nvSpPr>
      <xdr:spPr>
        <a:xfrm>
          <a:off x="10568610" y="24599900"/>
          <a:ext cx="79514" cy="365538"/>
        </a:xfrm>
        <a:prstGeom prst="rightBrace">
          <a:avLst>
            <a:gd name="adj1" fmla="val 52451"/>
            <a:gd name="adj2" fmla="val 48889"/>
          </a:avLst>
        </a:prstGeom>
        <a:ln w="15875"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220870</xdr:colOff>
      <xdr:row>137</xdr:row>
      <xdr:rowOff>35340</xdr:rowOff>
    </xdr:from>
    <xdr:to>
      <xdr:col>16</xdr:col>
      <xdr:colOff>750957</xdr:colOff>
      <xdr:row>139</xdr:row>
      <xdr:rowOff>61844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427FFD7-60B8-4365-9192-D84D7EF47BC5}"/>
            </a:ext>
          </a:extLst>
        </xdr:cNvPr>
        <xdr:cNvSpPr txBox="1"/>
      </xdr:nvSpPr>
      <xdr:spPr>
        <a:xfrm>
          <a:off x="10739645" y="24635240"/>
          <a:ext cx="1228587" cy="3567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Net WIP zero</a:t>
          </a:r>
        </a:p>
      </xdr:txBody>
    </xdr:sp>
    <xdr:clientData/>
  </xdr:twoCellAnchor>
  <xdr:twoCellAnchor>
    <xdr:from>
      <xdr:col>9</xdr:col>
      <xdr:colOff>61845</xdr:colOff>
      <xdr:row>143</xdr:row>
      <xdr:rowOff>26504</xdr:rowOff>
    </xdr:from>
    <xdr:to>
      <xdr:col>9</xdr:col>
      <xdr:colOff>141359</xdr:colOff>
      <xdr:row>145</xdr:row>
      <xdr:rowOff>61842</xdr:rowOff>
    </xdr:to>
    <xdr:sp macro="" textlink="">
      <xdr:nvSpPr>
        <xdr:cNvPr id="5" name="Right Brace 4">
          <a:extLst>
            <a:ext uri="{FF2B5EF4-FFF2-40B4-BE49-F238E27FC236}">
              <a16:creationId xmlns:a16="http://schemas.microsoft.com/office/drawing/2014/main" id="{8D1BE96E-4A01-4FB0-A5C7-0D4054C383A4}"/>
            </a:ext>
          </a:extLst>
        </xdr:cNvPr>
        <xdr:cNvSpPr/>
      </xdr:nvSpPr>
      <xdr:spPr>
        <a:xfrm>
          <a:off x="10577445" y="25620179"/>
          <a:ext cx="82689" cy="362363"/>
        </a:xfrm>
        <a:prstGeom prst="rightBrace">
          <a:avLst>
            <a:gd name="adj1" fmla="val 52451"/>
            <a:gd name="adj2" fmla="val 48889"/>
          </a:avLst>
        </a:prstGeom>
        <a:ln w="15875"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176696</xdr:colOff>
      <xdr:row>143</xdr:row>
      <xdr:rowOff>79514</xdr:rowOff>
    </xdr:from>
    <xdr:to>
      <xdr:col>16</xdr:col>
      <xdr:colOff>706783</xdr:colOff>
      <xdr:row>145</xdr:row>
      <xdr:rowOff>106018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74C6E50-A835-458B-A693-3D268616902F}"/>
            </a:ext>
          </a:extLst>
        </xdr:cNvPr>
        <xdr:cNvSpPr txBox="1"/>
      </xdr:nvSpPr>
      <xdr:spPr>
        <a:xfrm>
          <a:off x="10695471" y="25670014"/>
          <a:ext cx="1244462" cy="35987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Net Input cost zero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oang Quoc Dat Kenway" id="{2920EFAE-7A21-43FB-8C0D-D5DAB7101B10}" userId="S::quocdat.hoang@stengg.com::a802ecaa-97f9-4122-bc68-f1bb3347832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5-25T04:35:48.78" personId="{2920EFAE-7A21-43FB-8C0D-D5DAB7101B10}" id="{38A44E51-1208-4877-8E14-E23CFE369053}">
    <text>FINDING:
Wrong understanding</text>
  </threadedComment>
  <threadedComment ref="C4" dT="2026-05-25T04:35:58.35" personId="{2920EFAE-7A21-43FB-8C0D-D5DAB7101B10}" id="{D359C89C-3A5A-4A09-B19A-66B8861148A3}">
    <text>FINDING:
Wrong understanding</text>
  </threadedComment>
  <threadedComment ref="D4" dT="2026-05-25T04:30:12.68" personId="{2920EFAE-7A21-43FB-8C0D-D5DAB7101B10}" id="{07818701-5D3F-481A-96CA-7D8EBACB7E9E}">
    <text>FINDING:
Missing / Wrongly fill with CC</text>
  </threadedComment>
  <threadedComment ref="E4" dT="2026-05-25T04:30:53.84" personId="{2920EFAE-7A21-43FB-8C0D-D5DAB7101B10}" id="{A9155D62-C2E3-4D41-9796-044F0F11BB65}">
    <text>FINDING:
Wrongly put for BS</text>
  </threadedComment>
  <threadedComment ref="F4" dT="2026-05-25T04:31:03.05" personId="{2920EFAE-7A21-43FB-8C0D-D5DAB7101B10}" id="{408E9B9D-97DE-4F47-A683-46FFC3B41462}">
    <text>FINDING:
Missing</text>
  </threadedComment>
  <threadedComment ref="G4" dT="2026-05-25T04:31:15.32" personId="{2920EFAE-7A21-43FB-8C0D-D5DAB7101B10}" id="{9D270AC8-0A8B-4363-8EE2-7BEFCF81D537}">
    <text>FINDING:
Missing</text>
  </threadedComment>
  <threadedComment ref="H4" dT="2026-05-25T04:31:22.45" personId="{2920EFAE-7A21-43FB-8C0D-D5DAB7101B10}" id="{FF6A6A58-1F1E-4339-B999-C37E05026D1A}">
    <text>FINDING:
Missing</text>
  </threadedComment>
  <threadedComment ref="I4" dT="2026-05-25T04:31:46.04" personId="{2920EFAE-7A21-43FB-8C0D-D5DAB7101B10}" id="{A42F0CA2-1B40-4746-BA75-DF1F403729AE}">
    <text>FINDING:
Wrongly selected</text>
  </threadedComment>
  <threadedComment ref="B32" dT="2026-05-25T04:35:25.29" personId="{2920EFAE-7A21-43FB-8C0D-D5DAB7101B10}" id="{7CA63F4A-12F7-4B05-9563-A8F2A6BFF1E0}">
    <text>FINDING:
Missing Asset SubNo.</text>
  </threadedComment>
  <threadedComment ref="C32" dT="2026-05-25T04:32:13.66" personId="{2920EFAE-7A21-43FB-8C0D-D5DAB7101B10}" id="{A73B61B3-0B76-4C08-9F6F-6195E6B302D9}">
    <text>FINDING:
Wrong understanding</text>
  </threadedComment>
  <threadedComment ref="D32" dT="2026-05-25T04:32:21.10" personId="{2920EFAE-7A21-43FB-8C0D-D5DAB7101B10}" id="{F9034908-F74B-4043-A9DC-72C9E0033C24}">
    <text>FINDING:
Missing</text>
  </threadedComment>
  <threadedComment ref="D38" dT="2026-05-25T04:32:36.87" personId="{2920EFAE-7A21-43FB-8C0D-D5DAB7101B10}" id="{8B090461-5618-432A-AC6A-744212C9C304}">
    <text>FINDING:
Wrong understanding</text>
  </threadedComment>
  <threadedComment ref="B44" dT="2026-05-25T04:34:56.31" personId="{2920EFAE-7A21-43FB-8C0D-D5DAB7101B10}" id="{C15A7600-92B5-4F4D-B509-CF7896BF58A0}">
    <text>FINDING:
Missing + Wrong understanding</text>
  </threadedComment>
  <threadedComment ref="E44" dT="2026-05-25T04:33:29.65" personId="{2920EFAE-7A21-43FB-8C0D-D5DAB7101B10}" id="{5B01ACEA-8673-4265-9483-F80D500B3E5F}">
    <text>FINDING:
Recheck understanding</text>
  </threadedComment>
  <threadedComment ref="F44" dT="2026-05-25T04:33:45.55" personId="{2920EFAE-7A21-43FB-8C0D-D5DAB7101B10}" id="{C83DE4A6-C738-401A-8F7B-AC07BCC5FE64}">
    <text>FINDING:
Wrong understanding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7" dT="2026-04-07T00:59:03.13" personId="{2920EFAE-7A21-43FB-8C0D-D5DAB7101B10}" id="{FA784C6A-A253-4B1B-A59C-363C6A3F003D}">
    <text>1 Migration Open BS
1 Migration Normal AR
1 Migration Downpayment AR
1 Migration Normal AP
1 Migration Downpayment AP
1 Migration Inventory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1" dT="2026-04-03T03:22:09.60" personId="{2920EFAE-7A21-43FB-8C0D-D5DAB7101B10}" id="{31A57323-7DF0-4B2F-9222-8FFF99F19E88}">
    <text>If needed then in 3 Migration Templates or 1 Migration Template with Sum, we will have to fill in Open items per month-end (6 months in total)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BDAC7-32D7-4DB3-B86E-5CF95BD8DA6E}">
  <dimension ref="A2:AD55"/>
  <sheetViews>
    <sheetView zoomScale="80" zoomScaleNormal="80" workbookViewId="0">
      <selection activeCell="A2" sqref="A2"/>
    </sheetView>
  </sheetViews>
  <sheetFormatPr defaultColWidth="8.7265625" defaultRowHeight="14.5" x14ac:dyDescent="0.35"/>
  <cols>
    <col min="1" max="1" width="20.54296875" style="1" bestFit="1" customWidth="1"/>
    <col min="2" max="2" width="35.1796875" style="1" bestFit="1" customWidth="1"/>
    <col min="3" max="3" width="33" style="1" bestFit="1" customWidth="1"/>
    <col min="4" max="4" width="34.1796875" style="1" bestFit="1" customWidth="1"/>
    <col min="5" max="5" width="15.1796875" style="1" bestFit="1" customWidth="1"/>
    <col min="6" max="6" width="28.1796875" style="1" bestFit="1" customWidth="1"/>
    <col min="7" max="7" width="45.1796875" style="1" bestFit="1" customWidth="1"/>
    <col min="8" max="8" width="21.26953125" style="1" bestFit="1" customWidth="1"/>
    <col min="9" max="9" width="21.1796875" style="2" bestFit="1" customWidth="1"/>
    <col min="10" max="10" width="28.81640625" style="1" bestFit="1" customWidth="1"/>
    <col min="11" max="11" width="17.81640625" style="1" bestFit="1" customWidth="1"/>
    <col min="12" max="12" width="27" style="1" bestFit="1" customWidth="1"/>
    <col min="13" max="13" width="53.453125" style="1" bestFit="1" customWidth="1"/>
    <col min="14" max="14" width="8.7265625" style="1"/>
    <col min="15" max="15" width="19.81640625" style="1" bestFit="1" customWidth="1"/>
    <col min="16" max="16" width="12.1796875" style="1" bestFit="1" customWidth="1"/>
    <col min="17" max="17" width="15" style="2" bestFit="1" customWidth="1"/>
    <col min="18" max="18" width="27.453125" style="1" bestFit="1" customWidth="1"/>
    <col min="19" max="19" width="11.453125" style="1" bestFit="1" customWidth="1"/>
    <col min="20" max="20" width="22.1796875" style="1" bestFit="1" customWidth="1"/>
    <col min="21" max="21" width="10.1796875" style="1" bestFit="1" customWidth="1"/>
    <col min="22" max="22" width="15" style="2" bestFit="1" customWidth="1"/>
    <col min="23" max="23" width="27.453125" style="1" bestFit="1" customWidth="1"/>
    <col min="24" max="24" width="8.7265625" style="1"/>
    <col min="25" max="25" width="17.54296875" style="1" bestFit="1" customWidth="1"/>
    <col min="26" max="26" width="12.1796875" style="1" bestFit="1" customWidth="1"/>
    <col min="27" max="27" width="8.7265625" style="1"/>
    <col min="28" max="28" width="20.54296875" style="1" bestFit="1" customWidth="1"/>
    <col min="29" max="29" width="11.453125" style="1" bestFit="1" customWidth="1"/>
    <col min="30" max="30" width="16.453125" style="1" bestFit="1" customWidth="1"/>
    <col min="31" max="16384" width="8.7265625" style="1"/>
  </cols>
  <sheetData>
    <row r="2" spans="1:30" ht="15" thickBot="1" x14ac:dyDescent="0.4">
      <c r="A2" s="220" t="s">
        <v>463</v>
      </c>
    </row>
    <row r="3" spans="1:30" ht="15" thickBot="1" x14ac:dyDescent="0.4">
      <c r="B3" s="224">
        <v>2025</v>
      </c>
      <c r="C3" s="172"/>
      <c r="D3" s="172"/>
      <c r="E3" s="172"/>
      <c r="F3" s="172"/>
      <c r="G3" s="172"/>
      <c r="H3" s="172"/>
      <c r="I3" s="191"/>
      <c r="J3" s="172"/>
      <c r="K3" s="172"/>
      <c r="L3" s="172"/>
      <c r="M3" s="223"/>
    </row>
    <row r="4" spans="1:30" ht="44" thickBot="1" x14ac:dyDescent="0.4">
      <c r="B4" s="221" t="s">
        <v>440</v>
      </c>
      <c r="C4" s="218" t="s">
        <v>439</v>
      </c>
      <c r="D4" s="218" t="s">
        <v>404</v>
      </c>
      <c r="E4" s="226" t="s">
        <v>488</v>
      </c>
      <c r="F4" s="226" t="s">
        <v>453</v>
      </c>
      <c r="G4" s="226" t="s">
        <v>454</v>
      </c>
      <c r="H4" s="226" t="s">
        <v>449</v>
      </c>
      <c r="I4" s="226" t="s">
        <v>450</v>
      </c>
      <c r="J4" s="367" t="s">
        <v>459</v>
      </c>
      <c r="K4" s="368"/>
      <c r="L4" s="368"/>
      <c r="M4" s="369"/>
      <c r="O4" s="230" t="s">
        <v>472</v>
      </c>
      <c r="P4" s="16"/>
      <c r="Q4" s="15"/>
      <c r="R4" s="17"/>
      <c r="S4" s="16"/>
      <c r="T4" s="230" t="s">
        <v>473</v>
      </c>
      <c r="U4" s="16"/>
      <c r="V4" s="15"/>
      <c r="W4" s="17"/>
      <c r="X4" s="16"/>
      <c r="Y4" s="231" t="s">
        <v>467</v>
      </c>
      <c r="Z4" s="16"/>
      <c r="AA4" s="16"/>
      <c r="AB4" s="16"/>
      <c r="AC4" s="16"/>
      <c r="AD4" s="17"/>
    </row>
    <row r="5" spans="1:30" x14ac:dyDescent="0.35">
      <c r="A5" s="2" t="s">
        <v>468</v>
      </c>
      <c r="B5" s="48" t="s">
        <v>435</v>
      </c>
      <c r="C5" s="2">
        <v>9000000000</v>
      </c>
      <c r="D5" s="166" t="s">
        <v>405</v>
      </c>
      <c r="E5" s="2"/>
      <c r="F5" s="2"/>
      <c r="G5" s="2"/>
      <c r="H5" s="2"/>
      <c r="I5" s="166" t="s">
        <v>458</v>
      </c>
      <c r="J5" s="220" t="s">
        <v>427</v>
      </c>
      <c r="K5" s="1" t="s">
        <v>433</v>
      </c>
      <c r="L5" s="90" t="s">
        <v>432</v>
      </c>
      <c r="M5" s="19"/>
      <c r="O5" s="48"/>
      <c r="P5" s="215" t="s">
        <v>364</v>
      </c>
      <c r="Q5" s="218" t="s">
        <v>365</v>
      </c>
      <c r="R5" s="19"/>
      <c r="T5" s="48"/>
      <c r="U5" s="215" t="s">
        <v>364</v>
      </c>
      <c r="V5" s="218" t="s">
        <v>365</v>
      </c>
      <c r="W5" s="19"/>
      <c r="Y5" s="227"/>
      <c r="Z5" s="225">
        <v>2026</v>
      </c>
      <c r="AA5" s="84"/>
      <c r="AB5" s="84"/>
      <c r="AC5" s="84"/>
      <c r="AD5" s="229"/>
    </row>
    <row r="6" spans="1:30" x14ac:dyDescent="0.35">
      <c r="A6" s="2" t="s">
        <v>469</v>
      </c>
      <c r="B6" s="48" t="s">
        <v>436</v>
      </c>
      <c r="C6" s="2">
        <v>9000000000</v>
      </c>
      <c r="D6" s="166" t="s">
        <v>405</v>
      </c>
      <c r="E6" s="2"/>
      <c r="F6" s="2"/>
      <c r="G6" s="2"/>
      <c r="H6" s="2"/>
      <c r="I6" s="166" t="s">
        <v>458</v>
      </c>
      <c r="J6" s="62" t="s">
        <v>426</v>
      </c>
      <c r="K6" s="1" t="s">
        <v>433</v>
      </c>
      <c r="L6" s="90" t="s">
        <v>432</v>
      </c>
      <c r="M6" s="19"/>
      <c r="O6" s="48"/>
      <c r="P6" s="1" t="s">
        <v>361</v>
      </c>
      <c r="Q6" s="2" t="s">
        <v>228</v>
      </c>
      <c r="R6" s="19" t="s">
        <v>229</v>
      </c>
      <c r="T6" s="48"/>
      <c r="U6" s="1" t="s">
        <v>355</v>
      </c>
      <c r="V6" s="2" t="s">
        <v>224</v>
      </c>
      <c r="W6" s="19" t="s">
        <v>225</v>
      </c>
      <c r="Y6" s="48"/>
      <c r="Z6" s="215" t="s">
        <v>391</v>
      </c>
      <c r="AA6" s="215" t="s">
        <v>392</v>
      </c>
      <c r="AB6" s="215" t="s">
        <v>403</v>
      </c>
      <c r="AC6" s="219" t="s">
        <v>400</v>
      </c>
      <c r="AD6" s="19"/>
    </row>
    <row r="7" spans="1:30" x14ac:dyDescent="0.35">
      <c r="A7" s="2" t="s">
        <v>469</v>
      </c>
      <c r="B7" s="48" t="s">
        <v>438</v>
      </c>
      <c r="C7" s="2">
        <v>9000000000</v>
      </c>
      <c r="D7" s="166" t="s">
        <v>405</v>
      </c>
      <c r="E7" s="2"/>
      <c r="F7" s="2"/>
      <c r="G7" s="2"/>
      <c r="H7" s="2"/>
      <c r="I7" s="166" t="s">
        <v>458</v>
      </c>
      <c r="J7" s="62" t="s">
        <v>426</v>
      </c>
      <c r="K7" s="1" t="s">
        <v>433</v>
      </c>
      <c r="L7" s="90" t="s">
        <v>432</v>
      </c>
      <c r="M7" s="19"/>
      <c r="O7" s="48"/>
      <c r="P7" s="1" t="s">
        <v>362</v>
      </c>
      <c r="Q7" s="2" t="s">
        <v>375</v>
      </c>
      <c r="R7" s="19" t="s">
        <v>376</v>
      </c>
      <c r="T7" s="48"/>
      <c r="U7" s="1" t="s">
        <v>356</v>
      </c>
      <c r="V7" s="2" t="s">
        <v>366</v>
      </c>
      <c r="W7" s="19" t="s">
        <v>367</v>
      </c>
      <c r="Y7" s="48"/>
      <c r="Z7" s="1" t="s">
        <v>396</v>
      </c>
      <c r="AA7" s="2">
        <v>2</v>
      </c>
      <c r="AB7" s="1" t="s">
        <v>399</v>
      </c>
      <c r="AC7" s="216" t="s">
        <v>261</v>
      </c>
      <c r="AD7" s="19" t="s">
        <v>262</v>
      </c>
    </row>
    <row r="8" spans="1:30" x14ac:dyDescent="0.35">
      <c r="A8" s="2" t="s">
        <v>470</v>
      </c>
      <c r="B8" s="48" t="s">
        <v>437</v>
      </c>
      <c r="C8" s="2">
        <v>9000000000</v>
      </c>
      <c r="D8" s="166" t="s">
        <v>405</v>
      </c>
      <c r="E8" s="2"/>
      <c r="F8" s="2"/>
      <c r="G8" s="2"/>
      <c r="H8" s="2"/>
      <c r="I8" s="166" t="s">
        <v>458</v>
      </c>
      <c r="J8" s="62" t="s">
        <v>426</v>
      </c>
      <c r="K8" s="1" t="s">
        <v>433</v>
      </c>
      <c r="L8" s="90" t="s">
        <v>432</v>
      </c>
      <c r="M8" s="19"/>
      <c r="O8" s="48"/>
      <c r="P8" s="1" t="s">
        <v>363</v>
      </c>
      <c r="Q8" s="2" t="s">
        <v>377</v>
      </c>
      <c r="R8" s="19" t="s">
        <v>378</v>
      </c>
      <c r="T8" s="48"/>
      <c r="U8" s="1" t="s">
        <v>357</v>
      </c>
      <c r="V8" s="2" t="s">
        <v>368</v>
      </c>
      <c r="W8" s="19" t="s">
        <v>369</v>
      </c>
      <c r="Y8" s="48"/>
      <c r="Z8" s="1" t="s">
        <v>397</v>
      </c>
      <c r="AA8" s="2">
        <v>4</v>
      </c>
      <c r="AB8" s="1" t="s">
        <v>399</v>
      </c>
      <c r="AC8" s="216" t="s">
        <v>263</v>
      </c>
      <c r="AD8" s="19" t="s">
        <v>264</v>
      </c>
    </row>
    <row r="9" spans="1:30" x14ac:dyDescent="0.35">
      <c r="A9" s="2" t="s">
        <v>470</v>
      </c>
      <c r="B9" s="48" t="s">
        <v>456</v>
      </c>
      <c r="C9" s="2">
        <v>9000000000</v>
      </c>
      <c r="D9" s="166" t="s">
        <v>405</v>
      </c>
      <c r="E9" s="2"/>
      <c r="F9" s="2"/>
      <c r="G9" s="2"/>
      <c r="H9" s="2"/>
      <c r="I9" s="166" t="s">
        <v>458</v>
      </c>
      <c r="J9" s="62" t="s">
        <v>426</v>
      </c>
      <c r="K9" s="1" t="s">
        <v>433</v>
      </c>
      <c r="L9" s="90" t="s">
        <v>432</v>
      </c>
      <c r="M9" s="19"/>
      <c r="O9" s="48"/>
      <c r="P9" s="1" t="s">
        <v>374</v>
      </c>
      <c r="Q9" s="2" t="s">
        <v>379</v>
      </c>
      <c r="R9" s="19" t="s">
        <v>380</v>
      </c>
      <c r="T9" s="48"/>
      <c r="U9" s="1" t="s">
        <v>358</v>
      </c>
      <c r="V9" s="2" t="s">
        <v>384</v>
      </c>
      <c r="W9" s="19" t="s">
        <v>370</v>
      </c>
      <c r="Y9" s="48"/>
      <c r="Z9" s="1" t="s">
        <v>398</v>
      </c>
      <c r="AA9" s="2">
        <v>6</v>
      </c>
      <c r="AB9" s="1" t="s">
        <v>399</v>
      </c>
      <c r="AC9" s="216" t="s">
        <v>269</v>
      </c>
      <c r="AD9" s="19" t="s">
        <v>270</v>
      </c>
    </row>
    <row r="10" spans="1:30" ht="15" thickBot="1" x14ac:dyDescent="0.4">
      <c r="A10" s="2"/>
      <c r="B10" s="138" t="s">
        <v>234</v>
      </c>
      <c r="C10" s="2">
        <v>9000000000</v>
      </c>
      <c r="D10" s="166" t="s">
        <v>405</v>
      </c>
      <c r="E10" s="2"/>
      <c r="F10" s="2"/>
      <c r="G10" s="166" t="s">
        <v>457</v>
      </c>
      <c r="H10" s="2"/>
      <c r="I10" s="166" t="s">
        <v>458</v>
      </c>
      <c r="J10" s="62" t="s">
        <v>426</v>
      </c>
      <c r="K10" s="1" t="s">
        <v>433</v>
      </c>
      <c r="L10" s="90" t="s">
        <v>432</v>
      </c>
      <c r="M10" s="19" t="s">
        <v>425</v>
      </c>
      <c r="O10" s="91"/>
      <c r="P10" s="92"/>
      <c r="Q10" s="23"/>
      <c r="R10" s="93"/>
      <c r="S10" s="92"/>
      <c r="T10" s="91"/>
      <c r="U10" s="92" t="s">
        <v>373</v>
      </c>
      <c r="V10" s="23" t="s">
        <v>371</v>
      </c>
      <c r="W10" s="93" t="s">
        <v>372</v>
      </c>
      <c r="X10" s="92"/>
      <c r="Y10" s="91"/>
      <c r="Z10" s="92"/>
      <c r="AA10" s="92"/>
      <c r="AB10" s="92"/>
      <c r="AC10" s="92"/>
      <c r="AD10" s="93"/>
    </row>
    <row r="11" spans="1:30" x14ac:dyDescent="0.35">
      <c r="A11" s="2" t="s">
        <v>471</v>
      </c>
      <c r="B11" s="48" t="s">
        <v>430</v>
      </c>
      <c r="C11" s="2">
        <v>9000000000</v>
      </c>
      <c r="D11" s="166" t="s">
        <v>405</v>
      </c>
      <c r="E11" s="2"/>
      <c r="F11" s="2"/>
      <c r="G11" s="166" t="s">
        <v>457</v>
      </c>
      <c r="H11" s="2"/>
      <c r="I11" s="166" t="s">
        <v>458</v>
      </c>
      <c r="J11" s="220" t="s">
        <v>427</v>
      </c>
      <c r="K11" s="1" t="s">
        <v>433</v>
      </c>
      <c r="L11" s="90" t="s">
        <v>432</v>
      </c>
      <c r="M11" s="19" t="s">
        <v>429</v>
      </c>
    </row>
    <row r="12" spans="1:30" x14ac:dyDescent="0.35">
      <c r="B12" s="138" t="s">
        <v>431</v>
      </c>
      <c r="C12" s="2">
        <v>9000000000</v>
      </c>
      <c r="D12" s="166" t="s">
        <v>405</v>
      </c>
      <c r="E12" s="2"/>
      <c r="F12" s="2"/>
      <c r="G12" s="166" t="s">
        <v>457</v>
      </c>
      <c r="H12" s="2"/>
      <c r="I12" s="166" t="s">
        <v>458</v>
      </c>
      <c r="J12" s="220" t="s">
        <v>427</v>
      </c>
      <c r="K12" s="1" t="s">
        <v>433</v>
      </c>
      <c r="L12" s="1" t="s">
        <v>434</v>
      </c>
      <c r="M12" s="19" t="s">
        <v>428</v>
      </c>
    </row>
    <row r="13" spans="1:30" x14ac:dyDescent="0.35">
      <c r="B13" s="138" t="s">
        <v>445</v>
      </c>
      <c r="C13" s="2">
        <v>9000000000</v>
      </c>
      <c r="D13" s="166" t="s">
        <v>405</v>
      </c>
      <c r="E13" s="2"/>
      <c r="F13" s="2"/>
      <c r="G13" s="166" t="s">
        <v>457</v>
      </c>
      <c r="H13" s="166" t="s">
        <v>457</v>
      </c>
      <c r="I13" s="166" t="s">
        <v>458</v>
      </c>
      <c r="J13" s="220" t="s">
        <v>427</v>
      </c>
      <c r="K13" s="1" t="s">
        <v>433</v>
      </c>
      <c r="L13" s="1" t="s">
        <v>434</v>
      </c>
      <c r="M13" s="19" t="s">
        <v>447</v>
      </c>
    </row>
    <row r="14" spans="1:30" ht="15" thickBot="1" x14ac:dyDescent="0.4">
      <c r="B14" s="128" t="s">
        <v>446</v>
      </c>
      <c r="C14" s="23">
        <v>9000000000</v>
      </c>
      <c r="D14" s="228" t="s">
        <v>405</v>
      </c>
      <c r="E14" s="23"/>
      <c r="F14" s="23"/>
      <c r="G14" s="228" t="s">
        <v>457</v>
      </c>
      <c r="H14" s="23"/>
      <c r="I14" s="228" t="s">
        <v>458</v>
      </c>
      <c r="J14" s="222" t="s">
        <v>427</v>
      </c>
      <c r="K14" s="92" t="s">
        <v>433</v>
      </c>
      <c r="L14" s="92" t="s">
        <v>434</v>
      </c>
      <c r="M14" s="93" t="s">
        <v>448</v>
      </c>
    </row>
    <row r="15" spans="1:30" ht="15" thickBot="1" x14ac:dyDescent="0.4">
      <c r="E15" s="2"/>
      <c r="F15" s="2"/>
      <c r="G15" s="2"/>
      <c r="H15" s="2"/>
    </row>
    <row r="16" spans="1:30" ht="15" thickBot="1" x14ac:dyDescent="0.4">
      <c r="B16" s="224">
        <v>2026</v>
      </c>
      <c r="C16" s="172"/>
      <c r="D16" s="172"/>
      <c r="E16" s="191"/>
      <c r="F16" s="191"/>
      <c r="G16" s="191"/>
      <c r="H16" s="191"/>
      <c r="I16" s="191"/>
      <c r="J16" s="172"/>
      <c r="K16" s="172"/>
      <c r="L16" s="172"/>
      <c r="M16" s="223"/>
    </row>
    <row r="17" spans="1:13" ht="44" thickBot="1" x14ac:dyDescent="0.4">
      <c r="B17" s="221" t="s">
        <v>440</v>
      </c>
      <c r="C17" s="218" t="s">
        <v>439</v>
      </c>
      <c r="D17" s="218" t="s">
        <v>404</v>
      </c>
      <c r="E17" s="226" t="s">
        <v>455</v>
      </c>
      <c r="F17" s="226" t="s">
        <v>453</v>
      </c>
      <c r="G17" s="226" t="s">
        <v>454</v>
      </c>
      <c r="H17" s="226" t="s">
        <v>449</v>
      </c>
      <c r="I17" s="226" t="s">
        <v>450</v>
      </c>
      <c r="J17" s="367" t="s">
        <v>459</v>
      </c>
      <c r="K17" s="368"/>
      <c r="L17" s="368"/>
      <c r="M17" s="369"/>
    </row>
    <row r="18" spans="1:13" x14ac:dyDescent="0.35">
      <c r="B18" s="138" t="s">
        <v>234</v>
      </c>
      <c r="C18" s="2">
        <v>9000000000</v>
      </c>
      <c r="D18" s="166" t="s">
        <v>405</v>
      </c>
      <c r="E18" s="2"/>
      <c r="F18" s="2"/>
      <c r="G18" s="166" t="s">
        <v>457</v>
      </c>
      <c r="H18" s="2"/>
      <c r="I18" s="166" t="s">
        <v>458</v>
      </c>
      <c r="J18" s="62" t="s">
        <v>460</v>
      </c>
      <c r="K18" s="1" t="s">
        <v>462</v>
      </c>
      <c r="L18" s="1" t="s">
        <v>434</v>
      </c>
      <c r="M18" s="19" t="s">
        <v>425</v>
      </c>
    </row>
    <row r="19" spans="1:13" x14ac:dyDescent="0.35">
      <c r="B19" s="138" t="s">
        <v>431</v>
      </c>
      <c r="C19" s="2">
        <v>9000000000</v>
      </c>
      <c r="D19" s="166" t="s">
        <v>405</v>
      </c>
      <c r="E19" s="2"/>
      <c r="F19" s="2"/>
      <c r="G19" s="166" t="s">
        <v>457</v>
      </c>
      <c r="H19" s="2"/>
      <c r="I19" s="166" t="s">
        <v>458</v>
      </c>
      <c r="J19" s="220" t="s">
        <v>461</v>
      </c>
      <c r="K19" s="1" t="s">
        <v>462</v>
      </c>
      <c r="L19" s="1" t="s">
        <v>434</v>
      </c>
      <c r="M19" s="19" t="s">
        <v>428</v>
      </c>
    </row>
    <row r="20" spans="1:13" x14ac:dyDescent="0.35">
      <c r="B20" s="138" t="s">
        <v>445</v>
      </c>
      <c r="C20" s="2">
        <v>9000000000</v>
      </c>
      <c r="D20" s="166" t="s">
        <v>405</v>
      </c>
      <c r="E20" s="2"/>
      <c r="F20" s="2"/>
      <c r="G20" s="166" t="s">
        <v>457</v>
      </c>
      <c r="H20" s="166" t="s">
        <v>457</v>
      </c>
      <c r="I20" s="166" t="s">
        <v>458</v>
      </c>
      <c r="J20" s="220" t="s">
        <v>461</v>
      </c>
      <c r="K20" s="1" t="s">
        <v>462</v>
      </c>
      <c r="L20" s="1" t="s">
        <v>434</v>
      </c>
      <c r="M20" s="19" t="s">
        <v>447</v>
      </c>
    </row>
    <row r="21" spans="1:13" x14ac:dyDescent="0.35">
      <c r="B21" s="138" t="s">
        <v>446</v>
      </c>
      <c r="C21" s="2">
        <v>9000000000</v>
      </c>
      <c r="D21" s="166" t="s">
        <v>405</v>
      </c>
      <c r="E21" s="2"/>
      <c r="F21" s="2"/>
      <c r="G21" s="166" t="s">
        <v>457</v>
      </c>
      <c r="H21" s="2"/>
      <c r="I21" s="166" t="s">
        <v>458</v>
      </c>
      <c r="J21" s="220" t="s">
        <v>461</v>
      </c>
      <c r="K21" s="1" t="s">
        <v>462</v>
      </c>
      <c r="L21" s="1" t="s">
        <v>434</v>
      </c>
      <c r="M21" s="19" t="s">
        <v>448</v>
      </c>
    </row>
    <row r="22" spans="1:13" x14ac:dyDescent="0.35">
      <c r="B22" s="138" t="s">
        <v>155</v>
      </c>
      <c r="C22" s="2">
        <v>9000000000</v>
      </c>
      <c r="D22" s="166"/>
      <c r="E22" s="2" t="s">
        <v>451</v>
      </c>
      <c r="F22" s="2" t="s">
        <v>452</v>
      </c>
      <c r="G22" s="166" t="s">
        <v>457</v>
      </c>
      <c r="H22" s="2"/>
      <c r="I22" s="166" t="s">
        <v>458</v>
      </c>
      <c r="J22" s="220" t="s">
        <v>461</v>
      </c>
      <c r="K22" s="1" t="s">
        <v>462</v>
      </c>
      <c r="L22" s="1" t="s">
        <v>434</v>
      </c>
      <c r="M22" s="19"/>
    </row>
    <row r="23" spans="1:13" x14ac:dyDescent="0.35">
      <c r="B23" s="233" t="s">
        <v>474</v>
      </c>
      <c r="C23" s="2">
        <v>9000000000</v>
      </c>
      <c r="D23" s="166" t="s">
        <v>405</v>
      </c>
      <c r="E23" s="2"/>
      <c r="F23" s="2"/>
      <c r="G23" s="166"/>
      <c r="H23" s="2"/>
      <c r="I23" s="166"/>
      <c r="J23" s="216" t="s">
        <v>476</v>
      </c>
      <c r="K23" s="1" t="s">
        <v>462</v>
      </c>
      <c r="L23" s="1" t="s">
        <v>434</v>
      </c>
      <c r="M23" s="19" t="s">
        <v>482</v>
      </c>
    </row>
    <row r="24" spans="1:13" x14ac:dyDescent="0.35">
      <c r="B24" s="233" t="s">
        <v>475</v>
      </c>
      <c r="C24" s="2">
        <v>9000000000</v>
      </c>
      <c r="D24" s="166" t="s">
        <v>405</v>
      </c>
      <c r="E24" s="2"/>
      <c r="F24" s="2"/>
      <c r="G24" s="166"/>
      <c r="H24" s="2"/>
      <c r="I24" s="166"/>
      <c r="J24" s="216" t="s">
        <v>477</v>
      </c>
      <c r="K24" s="1" t="s">
        <v>462</v>
      </c>
      <c r="L24" s="1" t="s">
        <v>434</v>
      </c>
      <c r="M24" s="19" t="s">
        <v>483</v>
      </c>
    </row>
    <row r="25" spans="1:13" x14ac:dyDescent="0.35">
      <c r="B25" s="233" t="s">
        <v>436</v>
      </c>
      <c r="C25" s="2">
        <v>9000000000</v>
      </c>
      <c r="D25" s="166" t="s">
        <v>405</v>
      </c>
      <c r="E25" s="2"/>
      <c r="F25" s="2"/>
      <c r="G25" s="166"/>
      <c r="H25" s="2"/>
      <c r="I25" s="166"/>
      <c r="J25" s="216" t="s">
        <v>478</v>
      </c>
      <c r="K25" s="1" t="s">
        <v>462</v>
      </c>
      <c r="L25" s="1" t="s">
        <v>434</v>
      </c>
      <c r="M25" s="19" t="s">
        <v>484</v>
      </c>
    </row>
    <row r="26" spans="1:13" x14ac:dyDescent="0.35">
      <c r="B26" s="233" t="s">
        <v>438</v>
      </c>
      <c r="C26" s="2">
        <v>9000000000</v>
      </c>
      <c r="D26" s="166" t="s">
        <v>405</v>
      </c>
      <c r="E26" s="2"/>
      <c r="F26" s="2"/>
      <c r="G26" s="166"/>
      <c r="H26" s="2"/>
      <c r="I26" s="166"/>
      <c r="J26" s="216" t="s">
        <v>480</v>
      </c>
      <c r="K26" s="1" t="s">
        <v>462</v>
      </c>
      <c r="L26" s="1" t="s">
        <v>434</v>
      </c>
      <c r="M26" s="19" t="s">
        <v>487</v>
      </c>
    </row>
    <row r="27" spans="1:13" x14ac:dyDescent="0.35">
      <c r="B27" s="233" t="s">
        <v>437</v>
      </c>
      <c r="C27" s="2">
        <v>9000000000</v>
      </c>
      <c r="D27" s="166" t="s">
        <v>405</v>
      </c>
      <c r="E27" s="2"/>
      <c r="F27" s="2"/>
      <c r="G27" s="166"/>
      <c r="H27" s="2"/>
      <c r="I27" s="166"/>
      <c r="J27" s="216" t="s">
        <v>479</v>
      </c>
      <c r="K27" s="1" t="s">
        <v>462</v>
      </c>
      <c r="L27" s="1" t="s">
        <v>434</v>
      </c>
      <c r="M27" s="19" t="s">
        <v>486</v>
      </c>
    </row>
    <row r="28" spans="1:13" ht="15" thickBot="1" x14ac:dyDescent="0.4">
      <c r="B28" s="153" t="s">
        <v>456</v>
      </c>
      <c r="C28" s="23">
        <v>9000000000</v>
      </c>
      <c r="D28" s="228" t="s">
        <v>405</v>
      </c>
      <c r="E28" s="228"/>
      <c r="F28" s="228"/>
      <c r="G28" s="228"/>
      <c r="H28" s="23"/>
      <c r="I28" s="228"/>
      <c r="J28" s="232" t="s">
        <v>481</v>
      </c>
      <c r="K28" s="92" t="s">
        <v>462</v>
      </c>
      <c r="L28" s="92" t="s">
        <v>434</v>
      </c>
      <c r="M28" s="93" t="s">
        <v>485</v>
      </c>
    </row>
    <row r="29" spans="1:13" x14ac:dyDescent="0.35">
      <c r="C29" s="2"/>
      <c r="I29" s="166"/>
    </row>
    <row r="30" spans="1:13" x14ac:dyDescent="0.35">
      <c r="A30" s="220" t="s">
        <v>464</v>
      </c>
    </row>
    <row r="31" spans="1:13" x14ac:dyDescent="0.35">
      <c r="A31" s="214"/>
      <c r="B31" s="225">
        <v>2026</v>
      </c>
      <c r="C31" s="84"/>
      <c r="D31" s="84"/>
      <c r="E31" s="84"/>
      <c r="F31" s="84"/>
    </row>
    <row r="32" spans="1:13" x14ac:dyDescent="0.35">
      <c r="B32" s="215" t="s">
        <v>402</v>
      </c>
      <c r="C32" s="218" t="s">
        <v>408</v>
      </c>
      <c r="D32" s="218" t="s">
        <v>406</v>
      </c>
      <c r="E32" s="218" t="s">
        <v>407</v>
      </c>
      <c r="F32" s="218" t="s">
        <v>409</v>
      </c>
    </row>
    <row r="33" spans="1:19" x14ac:dyDescent="0.35">
      <c r="B33" s="1" t="s">
        <v>414</v>
      </c>
      <c r="C33" s="2" t="s">
        <v>417</v>
      </c>
      <c r="D33" s="2" t="s">
        <v>418</v>
      </c>
      <c r="E33" s="166" t="s">
        <v>405</v>
      </c>
      <c r="F33" s="2" t="s">
        <v>420</v>
      </c>
    </row>
    <row r="34" spans="1:19" x14ac:dyDescent="0.35">
      <c r="B34" s="1" t="s">
        <v>415</v>
      </c>
      <c r="C34" s="2" t="s">
        <v>416</v>
      </c>
      <c r="D34" s="2" t="s">
        <v>419</v>
      </c>
      <c r="E34" s="166" t="s">
        <v>405</v>
      </c>
      <c r="F34" s="2" t="s">
        <v>421</v>
      </c>
    </row>
    <row r="35" spans="1:19" x14ac:dyDescent="0.35">
      <c r="B35" s="215" t="s">
        <v>402</v>
      </c>
      <c r="C35" s="218" t="s">
        <v>410</v>
      </c>
      <c r="D35" s="218" t="s">
        <v>411</v>
      </c>
      <c r="E35" s="219" t="s">
        <v>400</v>
      </c>
    </row>
    <row r="36" spans="1:19" x14ac:dyDescent="0.35">
      <c r="B36" s="1" t="s">
        <v>414</v>
      </c>
      <c r="C36" s="166" t="s">
        <v>422</v>
      </c>
      <c r="D36" s="166" t="s">
        <v>424</v>
      </c>
      <c r="E36" s="2" t="s">
        <v>237</v>
      </c>
      <c r="F36" s="1" t="s">
        <v>238</v>
      </c>
    </row>
    <row r="37" spans="1:19" x14ac:dyDescent="0.35">
      <c r="B37" s="1" t="s">
        <v>415</v>
      </c>
      <c r="C37" s="166" t="s">
        <v>422</v>
      </c>
      <c r="D37" s="166" t="s">
        <v>424</v>
      </c>
      <c r="E37" s="2" t="s">
        <v>235</v>
      </c>
      <c r="F37" s="1" t="s">
        <v>236</v>
      </c>
    </row>
    <row r="38" spans="1:19" x14ac:dyDescent="0.35">
      <c r="B38" s="215" t="s">
        <v>402</v>
      </c>
      <c r="C38" s="218" t="s">
        <v>413</v>
      </c>
      <c r="D38" s="218" t="s">
        <v>412</v>
      </c>
      <c r="E38" s="219" t="s">
        <v>400</v>
      </c>
      <c r="S38" s="216"/>
    </row>
    <row r="39" spans="1:19" x14ac:dyDescent="0.35">
      <c r="B39" s="1" t="s">
        <v>414</v>
      </c>
      <c r="C39" s="166" t="s">
        <v>422</v>
      </c>
      <c r="D39" s="217" t="s">
        <v>423</v>
      </c>
      <c r="E39" s="2" t="s">
        <v>441</v>
      </c>
      <c r="F39" s="1" t="s">
        <v>442</v>
      </c>
      <c r="S39" s="216"/>
    </row>
    <row r="40" spans="1:19" x14ac:dyDescent="0.35">
      <c r="B40" s="1" t="s">
        <v>415</v>
      </c>
      <c r="C40" s="166" t="s">
        <v>422</v>
      </c>
      <c r="D40" s="217" t="s">
        <v>423</v>
      </c>
      <c r="E40" s="2" t="s">
        <v>443</v>
      </c>
      <c r="F40" s="1" t="s">
        <v>444</v>
      </c>
      <c r="S40" s="216"/>
    </row>
    <row r="41" spans="1:19" x14ac:dyDescent="0.35">
      <c r="S41" s="216"/>
    </row>
    <row r="42" spans="1:19" x14ac:dyDescent="0.35">
      <c r="A42" s="220" t="s">
        <v>465</v>
      </c>
    </row>
    <row r="43" spans="1:19" x14ac:dyDescent="0.35">
      <c r="A43" s="214"/>
      <c r="B43" s="225">
        <v>2026</v>
      </c>
      <c r="C43" s="84"/>
      <c r="D43" s="84"/>
      <c r="E43" s="84"/>
      <c r="F43" s="84"/>
    </row>
    <row r="44" spans="1:19" x14ac:dyDescent="0.35">
      <c r="B44" s="215" t="s">
        <v>349</v>
      </c>
      <c r="C44" s="215" t="s">
        <v>207</v>
      </c>
      <c r="D44" s="218" t="s">
        <v>404</v>
      </c>
      <c r="E44" s="219" t="s">
        <v>401</v>
      </c>
      <c r="F44" s="218" t="s">
        <v>359</v>
      </c>
    </row>
    <row r="45" spans="1:19" x14ac:dyDescent="0.35">
      <c r="B45" s="1" t="s">
        <v>351</v>
      </c>
      <c r="C45" s="1" t="s">
        <v>360</v>
      </c>
      <c r="D45" s="166" t="s">
        <v>405</v>
      </c>
    </row>
    <row r="46" spans="1:19" x14ac:dyDescent="0.35">
      <c r="B46" s="1" t="s">
        <v>352</v>
      </c>
      <c r="C46" s="1" t="s">
        <v>381</v>
      </c>
      <c r="D46" s="166" t="s">
        <v>405</v>
      </c>
      <c r="F46" s="2" t="s">
        <v>384</v>
      </c>
      <c r="G46" s="1" t="s">
        <v>370</v>
      </c>
    </row>
    <row r="47" spans="1:19" x14ac:dyDescent="0.35">
      <c r="B47" s="1" t="s">
        <v>353</v>
      </c>
      <c r="C47" s="1" t="s">
        <v>382</v>
      </c>
      <c r="D47" s="166" t="s">
        <v>405</v>
      </c>
      <c r="E47" s="1" t="s">
        <v>393</v>
      </c>
      <c r="G47" s="1" t="s">
        <v>385</v>
      </c>
    </row>
    <row r="48" spans="1:19" x14ac:dyDescent="0.35">
      <c r="B48" s="1" t="s">
        <v>354</v>
      </c>
      <c r="C48" s="1" t="s">
        <v>383</v>
      </c>
      <c r="D48" s="166" t="s">
        <v>405</v>
      </c>
      <c r="E48" s="1" t="s">
        <v>394</v>
      </c>
      <c r="G48" s="1" t="s">
        <v>386</v>
      </c>
    </row>
    <row r="50" spans="1:7" x14ac:dyDescent="0.35">
      <c r="A50" s="220" t="s">
        <v>466</v>
      </c>
    </row>
    <row r="51" spans="1:7" x14ac:dyDescent="0.35">
      <c r="A51" s="214"/>
      <c r="B51" s="225">
        <v>2026</v>
      </c>
      <c r="C51" s="84"/>
      <c r="D51" s="84"/>
      <c r="E51" s="84"/>
      <c r="F51" s="84"/>
    </row>
    <row r="52" spans="1:7" x14ac:dyDescent="0.35">
      <c r="B52" s="215" t="s">
        <v>349</v>
      </c>
      <c r="C52" s="215" t="s">
        <v>208</v>
      </c>
      <c r="D52" s="218" t="s">
        <v>404</v>
      </c>
      <c r="E52" s="219" t="s">
        <v>401</v>
      </c>
      <c r="F52" s="218" t="s">
        <v>359</v>
      </c>
    </row>
    <row r="53" spans="1:7" x14ac:dyDescent="0.35">
      <c r="B53" s="1" t="s">
        <v>348</v>
      </c>
      <c r="C53" s="1" t="s">
        <v>387</v>
      </c>
      <c r="D53" s="166" t="s">
        <v>405</v>
      </c>
    </row>
    <row r="54" spans="1:7" x14ac:dyDescent="0.35">
      <c r="B54" s="1" t="s">
        <v>350</v>
      </c>
      <c r="C54" s="1" t="s">
        <v>388</v>
      </c>
      <c r="D54" s="166" t="s">
        <v>405</v>
      </c>
      <c r="F54" s="2" t="s">
        <v>375</v>
      </c>
      <c r="G54" s="1" t="s">
        <v>376</v>
      </c>
    </row>
    <row r="55" spans="1:7" x14ac:dyDescent="0.35">
      <c r="B55" s="1" t="s">
        <v>353</v>
      </c>
      <c r="C55" s="1" t="s">
        <v>389</v>
      </c>
      <c r="D55" s="166" t="s">
        <v>405</v>
      </c>
      <c r="E55" s="1" t="s">
        <v>395</v>
      </c>
      <c r="G55" s="1" t="s">
        <v>390</v>
      </c>
    </row>
  </sheetData>
  <mergeCells count="2">
    <mergeCell ref="J4:M4"/>
    <mergeCell ref="J17:M17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B6A5D-6923-4A79-B973-0CEE24D7FE03}">
  <sheetPr codeName="Sheet6"/>
  <dimension ref="A2:BT60"/>
  <sheetViews>
    <sheetView tabSelected="1" topLeftCell="R1" zoomScale="70" zoomScaleNormal="70" workbookViewId="0">
      <pane xSplit="1" ySplit="3" topLeftCell="AU21" activePane="bottomRight" state="frozen"/>
      <selection activeCell="R1" sqref="R1"/>
      <selection pane="topRight" activeCell="S1" sqref="S1"/>
      <selection pane="bottomLeft" activeCell="R4" sqref="R4"/>
      <selection pane="bottomRight" activeCell="BA26" sqref="BA26"/>
    </sheetView>
  </sheetViews>
  <sheetFormatPr defaultColWidth="8.7265625" defaultRowHeight="14.5" x14ac:dyDescent="0.35"/>
  <cols>
    <col min="1" max="1" width="8.7265625" style="1"/>
    <col min="2" max="2" width="14.26953125" style="1" bestFit="1" customWidth="1"/>
    <col min="3" max="3" width="8.7265625" style="1"/>
    <col min="4" max="4" width="21.54296875" style="1" customWidth="1"/>
    <col min="5" max="5" width="16.54296875" style="1" customWidth="1"/>
    <col min="6" max="6" width="18.54296875" style="1" customWidth="1"/>
    <col min="7" max="9" width="8.7265625" style="1"/>
    <col min="10" max="10" width="12.453125" style="1" customWidth="1"/>
    <col min="11" max="11" width="18.7265625" style="1" customWidth="1"/>
    <col min="12" max="12" width="17.453125" style="1" customWidth="1"/>
    <col min="13" max="13" width="18.81640625" style="1" customWidth="1"/>
    <col min="14" max="14" width="13.453125" style="1" bestFit="1" customWidth="1"/>
    <col min="15" max="16" width="8.7265625" style="1"/>
    <col min="17" max="17" width="13.26953125" style="1" customWidth="1"/>
    <col min="18" max="18" width="8.7265625" style="1"/>
    <col min="19" max="19" width="13.1796875" style="2" customWidth="1"/>
    <col min="20" max="20" width="12.1796875" style="2" bestFit="1" customWidth="1"/>
    <col min="21" max="21" width="47.453125" style="1" bestFit="1" customWidth="1"/>
    <col min="22" max="22" width="4.7265625" style="1" bestFit="1" customWidth="1"/>
    <col min="23" max="23" width="12.453125" style="1" customWidth="1"/>
    <col min="24" max="24" width="8.7265625" style="1"/>
    <col min="25" max="25" width="5.7265625" style="1" customWidth="1"/>
    <col min="26" max="26" width="21.81640625" style="1" bestFit="1" customWidth="1"/>
    <col min="27" max="27" width="9.54296875" style="1" bestFit="1" customWidth="1"/>
    <col min="28" max="28" width="2.81640625" style="1" bestFit="1" customWidth="1"/>
    <col min="29" max="29" width="14.26953125" style="1" customWidth="1"/>
    <col min="30" max="30" width="24" style="2" customWidth="1"/>
    <col min="31" max="31" width="8.7265625" style="1"/>
    <col min="32" max="32" width="6.1796875" style="1" customWidth="1"/>
    <col min="33" max="33" width="18.54296875" style="1" bestFit="1" customWidth="1"/>
    <col min="34" max="34" width="9.54296875" style="1" bestFit="1" customWidth="1"/>
    <col min="35" max="35" width="2.81640625" style="1" bestFit="1" customWidth="1"/>
    <col min="36" max="36" width="13.81640625" style="1" customWidth="1"/>
    <col min="37" max="37" width="42.81640625" style="2" customWidth="1"/>
    <col min="38" max="39" width="8.7265625" style="1"/>
    <col min="40" max="40" width="13" style="1" customWidth="1"/>
    <col min="41" max="42" width="8.7265625" style="1"/>
    <col min="43" max="43" width="15.7265625" style="1" customWidth="1"/>
    <col min="44" max="44" width="10.26953125" style="1" customWidth="1"/>
    <col min="45" max="45" width="15.54296875" style="1" customWidth="1"/>
    <col min="46" max="47" width="8.7265625" style="1"/>
    <col min="48" max="48" width="15.7265625" style="1" customWidth="1"/>
    <col min="49" max="55" width="8.7265625" style="1"/>
    <col min="56" max="56" width="25.1796875" style="1" bestFit="1" customWidth="1"/>
    <col min="57" max="16384" width="8.7265625" style="1"/>
  </cols>
  <sheetData>
    <row r="2" spans="19:65" ht="24" customHeight="1" x14ac:dyDescent="0.35">
      <c r="Y2" s="78">
        <v>2025</v>
      </c>
      <c r="Z2" s="79" t="s">
        <v>323</v>
      </c>
      <c r="AF2" s="78">
        <v>2026</v>
      </c>
      <c r="AG2" s="79" t="s">
        <v>301</v>
      </c>
    </row>
    <row r="3" spans="19:65" ht="36" customHeight="1" thickBot="1" x14ac:dyDescent="0.4">
      <c r="S3" s="77" t="s">
        <v>232</v>
      </c>
      <c r="T3" s="77" t="s">
        <v>199</v>
      </c>
      <c r="U3" s="80" t="s">
        <v>214</v>
      </c>
      <c r="V3" s="80" t="s">
        <v>200</v>
      </c>
      <c r="W3" s="80" t="s">
        <v>206</v>
      </c>
      <c r="Y3" s="112"/>
      <c r="Z3" s="113" t="s">
        <v>279</v>
      </c>
      <c r="AA3" s="113" t="s">
        <v>206</v>
      </c>
      <c r="AB3" s="112"/>
      <c r="AC3" s="113" t="s">
        <v>278</v>
      </c>
      <c r="AD3" s="114" t="s">
        <v>81</v>
      </c>
      <c r="AF3" s="112"/>
      <c r="AG3" s="113" t="s">
        <v>281</v>
      </c>
      <c r="AH3" s="113" t="s">
        <v>206</v>
      </c>
      <c r="AI3" s="112"/>
      <c r="AJ3" s="113" t="s">
        <v>278</v>
      </c>
      <c r="AK3" s="114" t="s">
        <v>81</v>
      </c>
    </row>
    <row r="4" spans="19:65" ht="25" customHeight="1" x14ac:dyDescent="0.35">
      <c r="S4" s="380" t="s">
        <v>243</v>
      </c>
      <c r="T4" s="5" t="s">
        <v>235</v>
      </c>
      <c r="U4" s="3" t="s">
        <v>236</v>
      </c>
      <c r="V4" s="3" t="s">
        <v>201</v>
      </c>
      <c r="W4" s="3" t="s">
        <v>86</v>
      </c>
      <c r="Y4" s="116" t="s">
        <v>276</v>
      </c>
      <c r="Z4" s="117" t="str">
        <f>T4</f>
        <v>100CP02C00</v>
      </c>
      <c r="AA4" s="117" t="s">
        <v>280</v>
      </c>
      <c r="AB4" s="117" t="s">
        <v>277</v>
      </c>
      <c r="AC4" s="118">
        <f>$T$38</f>
        <v>9000000000</v>
      </c>
      <c r="AD4" s="377" t="s">
        <v>304</v>
      </c>
      <c r="AF4" s="116" t="s">
        <v>276</v>
      </c>
      <c r="AG4" s="150" t="str">
        <f>T4</f>
        <v>100CP02C00</v>
      </c>
      <c r="AH4" s="117" t="s">
        <v>86</v>
      </c>
      <c r="AI4" s="117" t="s">
        <v>277</v>
      </c>
      <c r="AJ4" s="118">
        <f>$T$43</f>
        <v>9000000004</v>
      </c>
      <c r="AK4" s="377" t="s">
        <v>303</v>
      </c>
      <c r="AM4" s="79" t="s">
        <v>283</v>
      </c>
      <c r="BA4" s="84" t="s">
        <v>516</v>
      </c>
      <c r="BB4" s="84"/>
      <c r="BC4" s="84"/>
      <c r="BD4" s="84"/>
      <c r="BE4" s="84" t="s">
        <v>517</v>
      </c>
      <c r="BF4" s="84"/>
      <c r="BG4" s="84"/>
      <c r="BH4" s="84"/>
      <c r="BI4" s="84"/>
      <c r="BJ4" s="84"/>
    </row>
    <row r="5" spans="19:65" ht="24.75" customHeight="1" x14ac:dyDescent="0.35">
      <c r="S5" s="381"/>
      <c r="T5" s="5" t="s">
        <v>237</v>
      </c>
      <c r="U5" s="3" t="s">
        <v>238</v>
      </c>
      <c r="V5" s="3" t="s">
        <v>201</v>
      </c>
      <c r="W5" s="3" t="s">
        <v>86</v>
      </c>
      <c r="Y5" s="119" t="s">
        <v>276</v>
      </c>
      <c r="Z5" s="115" t="str">
        <f t="shared" ref="Z5:Z7" si="0">T5</f>
        <v>100CP03C00</v>
      </c>
      <c r="AA5" s="115" t="s">
        <v>280</v>
      </c>
      <c r="AB5" s="115" t="s">
        <v>277</v>
      </c>
      <c r="AC5" s="120">
        <f>$T$38</f>
        <v>9000000000</v>
      </c>
      <c r="AD5" s="378"/>
      <c r="AF5" s="119" t="s">
        <v>276</v>
      </c>
      <c r="AG5" s="133" t="str">
        <f t="shared" ref="AG5:AG35" si="1">T5</f>
        <v>100CP03C00</v>
      </c>
      <c r="AH5" s="115" t="s">
        <v>86</v>
      </c>
      <c r="AI5" s="115" t="s">
        <v>277</v>
      </c>
      <c r="AJ5" s="120">
        <f>$T$43</f>
        <v>9000000004</v>
      </c>
      <c r="AK5" s="378"/>
      <c r="AM5" s="79" t="s">
        <v>285</v>
      </c>
      <c r="BA5" s="84" t="s">
        <v>518</v>
      </c>
      <c r="BB5" s="84"/>
      <c r="BC5" s="84"/>
      <c r="BD5" s="84"/>
      <c r="BE5" s="84" t="s">
        <v>519</v>
      </c>
      <c r="BF5" s="84"/>
      <c r="BG5" s="84"/>
      <c r="BH5" s="84"/>
      <c r="BI5" s="84"/>
      <c r="BJ5" s="84"/>
    </row>
    <row r="6" spans="19:65" ht="50.25" customHeight="1" x14ac:dyDescent="0.35">
      <c r="S6" s="381"/>
      <c r="T6" s="5" t="s">
        <v>204</v>
      </c>
      <c r="U6" s="3" t="s">
        <v>205</v>
      </c>
      <c r="V6" s="3" t="s">
        <v>201</v>
      </c>
      <c r="W6" s="3" t="s">
        <v>86</v>
      </c>
      <c r="Y6" s="119" t="s">
        <v>277</v>
      </c>
      <c r="Z6" s="115" t="str">
        <f t="shared" si="0"/>
        <v>100FL01A00</v>
      </c>
      <c r="AA6" s="115" t="s">
        <v>280</v>
      </c>
      <c r="AB6" s="115" t="s">
        <v>276</v>
      </c>
      <c r="AC6" s="120">
        <f>$T$38</f>
        <v>9000000000</v>
      </c>
      <c r="AD6" s="378"/>
      <c r="AF6" s="119" t="s">
        <v>277</v>
      </c>
      <c r="AG6" s="133" t="str">
        <f t="shared" si="1"/>
        <v>100FL01A00</v>
      </c>
      <c r="AH6" s="115" t="s">
        <v>86</v>
      </c>
      <c r="AI6" s="115" t="s">
        <v>276</v>
      </c>
      <c r="AJ6" s="120">
        <f>$T$43</f>
        <v>9000000004</v>
      </c>
      <c r="AK6" s="378"/>
      <c r="AM6" s="1" t="s">
        <v>494</v>
      </c>
      <c r="AN6" s="79"/>
      <c r="BA6" s="389" t="s">
        <v>520</v>
      </c>
      <c r="BB6" s="389"/>
      <c r="BC6" s="389"/>
      <c r="BD6" s="389"/>
      <c r="BE6" s="389"/>
      <c r="BF6" s="389"/>
      <c r="BG6" s="389"/>
      <c r="BH6" s="389"/>
      <c r="BI6" s="389"/>
      <c r="BJ6" s="389"/>
    </row>
    <row r="7" spans="19:65" ht="25" customHeight="1" x14ac:dyDescent="0.35">
      <c r="S7" s="382"/>
      <c r="T7" s="5" t="s">
        <v>212</v>
      </c>
      <c r="U7" s="3" t="s">
        <v>213</v>
      </c>
      <c r="V7" s="3" t="s">
        <v>201</v>
      </c>
      <c r="W7" s="3" t="s">
        <v>86</v>
      </c>
      <c r="Y7" s="119" t="s">
        <v>277</v>
      </c>
      <c r="Z7" s="115" t="str">
        <f t="shared" si="0"/>
        <v>100PM01A00</v>
      </c>
      <c r="AA7" s="115" t="s">
        <v>280</v>
      </c>
      <c r="AB7" s="115" t="s">
        <v>276</v>
      </c>
      <c r="AC7" s="120">
        <f>$T$38</f>
        <v>9000000000</v>
      </c>
      <c r="AD7" s="378"/>
      <c r="AF7" s="119" t="s">
        <v>277</v>
      </c>
      <c r="AG7" s="133" t="str">
        <f t="shared" si="1"/>
        <v>100PM01A00</v>
      </c>
      <c r="AH7" s="115" t="s">
        <v>86</v>
      </c>
      <c r="AI7" s="115" t="s">
        <v>276</v>
      </c>
      <c r="AJ7" s="120">
        <f>$T$43</f>
        <v>9000000004</v>
      </c>
      <c r="AK7" s="379"/>
      <c r="AM7" s="1" t="s">
        <v>495</v>
      </c>
      <c r="AN7" s="79"/>
    </row>
    <row r="8" spans="19:65" ht="25" customHeight="1" x14ac:dyDescent="0.35">
      <c r="S8" s="383" t="s">
        <v>244</v>
      </c>
      <c r="T8" s="81" t="s">
        <v>239</v>
      </c>
      <c r="U8" s="82" t="s">
        <v>240</v>
      </c>
      <c r="V8" s="82" t="s">
        <v>202</v>
      </c>
      <c r="W8" s="82" t="s">
        <v>86</v>
      </c>
      <c r="Y8" s="121"/>
      <c r="Z8" s="122"/>
      <c r="AA8" s="122"/>
      <c r="AB8" s="122"/>
      <c r="AC8" s="123"/>
      <c r="AD8" s="378"/>
      <c r="AF8" s="151" t="s">
        <v>276</v>
      </c>
      <c r="AG8" s="134" t="str">
        <f t="shared" si="1"/>
        <v>711PP11000</v>
      </c>
      <c r="AH8" s="135" t="s">
        <v>280</v>
      </c>
      <c r="AI8" s="135" t="s">
        <v>277</v>
      </c>
      <c r="AJ8" s="152">
        <v>9000000000</v>
      </c>
      <c r="AK8" s="377" t="s">
        <v>302</v>
      </c>
      <c r="AM8" s="1" t="s">
        <v>496</v>
      </c>
      <c r="AN8" s="79"/>
    </row>
    <row r="9" spans="19:65" ht="25" customHeight="1" thickBot="1" x14ac:dyDescent="0.4">
      <c r="S9" s="384"/>
      <c r="T9" s="81" t="s">
        <v>241</v>
      </c>
      <c r="U9" s="82" t="s">
        <v>242</v>
      </c>
      <c r="V9" s="82" t="s">
        <v>202</v>
      </c>
      <c r="W9" s="82" t="s">
        <v>86</v>
      </c>
      <c r="Y9" s="124"/>
      <c r="Z9" s="125"/>
      <c r="AA9" s="125"/>
      <c r="AB9" s="125"/>
      <c r="AC9" s="126"/>
      <c r="AD9" s="378"/>
      <c r="AF9" s="153" t="s">
        <v>276</v>
      </c>
      <c r="AG9" s="154" t="str">
        <f t="shared" si="1"/>
        <v>711PP12000</v>
      </c>
      <c r="AH9" s="155" t="s">
        <v>280</v>
      </c>
      <c r="AI9" s="155" t="s">
        <v>277</v>
      </c>
      <c r="AJ9" s="156">
        <v>9000000000</v>
      </c>
      <c r="AK9" s="379"/>
      <c r="AM9" s="1" t="s">
        <v>497</v>
      </c>
      <c r="AN9" s="79"/>
      <c r="AY9" s="238">
        <v>2025</v>
      </c>
      <c r="AZ9" s="243">
        <v>2026</v>
      </c>
    </row>
    <row r="10" spans="19:65" ht="25" customHeight="1" x14ac:dyDescent="0.35">
      <c r="S10" s="376" t="s">
        <v>93</v>
      </c>
      <c r="T10" s="5" t="s">
        <v>224</v>
      </c>
      <c r="U10" s="3" t="s">
        <v>225</v>
      </c>
      <c r="V10" s="3" t="s">
        <v>201</v>
      </c>
      <c r="W10" s="3" t="s">
        <v>207</v>
      </c>
      <c r="Y10" s="116" t="s">
        <v>276</v>
      </c>
      <c r="Z10" s="127">
        <f>T41</f>
        <v>9000000002</v>
      </c>
      <c r="AA10" s="117" t="s">
        <v>280</v>
      </c>
      <c r="AB10" s="117" t="s">
        <v>277</v>
      </c>
      <c r="AC10" s="118">
        <f>$T$38</f>
        <v>9000000000</v>
      </c>
      <c r="AD10" s="378"/>
      <c r="AF10" s="116" t="s">
        <v>276</v>
      </c>
      <c r="AG10" s="150" t="str">
        <f t="shared" si="1"/>
        <v>156TD00000</v>
      </c>
      <c r="AH10" s="117" t="s">
        <v>207</v>
      </c>
      <c r="AI10" s="117" t="s">
        <v>277</v>
      </c>
      <c r="AJ10" s="118">
        <f>T41</f>
        <v>9000000002</v>
      </c>
      <c r="AK10" s="377" t="s">
        <v>489</v>
      </c>
      <c r="AN10" s="79" t="s">
        <v>498</v>
      </c>
      <c r="BB10" s="62"/>
    </row>
    <row r="11" spans="19:65" ht="25" customHeight="1" thickBot="1" x14ac:dyDescent="0.4">
      <c r="S11" s="376"/>
      <c r="T11" s="5" t="s">
        <v>226</v>
      </c>
      <c r="U11" s="3" t="s">
        <v>227</v>
      </c>
      <c r="V11" s="3" t="s">
        <v>201</v>
      </c>
      <c r="W11" s="3" t="s">
        <v>207</v>
      </c>
      <c r="Y11" s="128" t="s">
        <v>277</v>
      </c>
      <c r="Z11" s="129">
        <f>T45</f>
        <v>9000000006</v>
      </c>
      <c r="AA11" s="130" t="s">
        <v>280</v>
      </c>
      <c r="AB11" s="130" t="s">
        <v>276</v>
      </c>
      <c r="AC11" s="131">
        <f>$T$38</f>
        <v>9000000000</v>
      </c>
      <c r="AD11" s="378"/>
      <c r="AF11" s="128" t="s">
        <v>277</v>
      </c>
      <c r="AG11" s="157" t="str">
        <f t="shared" si="1"/>
        <v>153AC01000</v>
      </c>
      <c r="AH11" s="130" t="s">
        <v>207</v>
      </c>
      <c r="AI11" s="130" t="s">
        <v>276</v>
      </c>
      <c r="AJ11" s="131">
        <f>T45</f>
        <v>9000000006</v>
      </c>
      <c r="AK11" s="379"/>
      <c r="AN11" s="241" t="s">
        <v>523</v>
      </c>
      <c r="AO11" s="215" t="s">
        <v>526</v>
      </c>
      <c r="AP11" s="215"/>
      <c r="AQ11" s="215"/>
      <c r="AS11" s="241" t="s">
        <v>525</v>
      </c>
      <c r="AT11" s="215" t="s">
        <v>530</v>
      </c>
      <c r="AU11" s="215"/>
      <c r="AV11" s="215"/>
      <c r="AY11" s="36"/>
      <c r="AZ11" s="219" t="s">
        <v>647</v>
      </c>
    </row>
    <row r="12" spans="19:65" ht="25" customHeight="1" x14ac:dyDescent="0.35">
      <c r="S12" s="376" t="s">
        <v>94</v>
      </c>
      <c r="T12" s="5" t="s">
        <v>228</v>
      </c>
      <c r="U12" s="3" t="s">
        <v>229</v>
      </c>
      <c r="V12" s="3" t="s">
        <v>201</v>
      </c>
      <c r="W12" s="3" t="s">
        <v>208</v>
      </c>
      <c r="Y12" s="116" t="s">
        <v>277</v>
      </c>
      <c r="Z12" s="127">
        <f>T39</f>
        <v>9000000001</v>
      </c>
      <c r="AA12" s="117" t="s">
        <v>280</v>
      </c>
      <c r="AB12" s="117" t="s">
        <v>276</v>
      </c>
      <c r="AC12" s="118">
        <f>$T$38</f>
        <v>9000000000</v>
      </c>
      <c r="AD12" s="378"/>
      <c r="AF12" s="116" t="s">
        <v>277</v>
      </c>
      <c r="AG12" s="150" t="str">
        <f t="shared" si="1"/>
        <v>206AP00000</v>
      </c>
      <c r="AH12" s="117" t="s">
        <v>208</v>
      </c>
      <c r="AI12" s="117" t="s">
        <v>276</v>
      </c>
      <c r="AJ12" s="118">
        <f>T39</f>
        <v>9000000001</v>
      </c>
      <c r="AK12" s="377" t="s">
        <v>490</v>
      </c>
      <c r="AN12" s="241" t="s">
        <v>523</v>
      </c>
      <c r="AO12" s="84" t="s">
        <v>528</v>
      </c>
      <c r="AP12" s="84"/>
      <c r="AQ12" s="84"/>
      <c r="AS12" s="241" t="s">
        <v>525</v>
      </c>
      <c r="AT12" s="84" t="s">
        <v>532</v>
      </c>
      <c r="AU12" s="84"/>
      <c r="AV12" s="84"/>
      <c r="AY12" s="36"/>
      <c r="AZ12" s="219" t="s">
        <v>511</v>
      </c>
    </row>
    <row r="13" spans="19:65" ht="25" customHeight="1" thickBot="1" x14ac:dyDescent="0.4">
      <c r="S13" s="376"/>
      <c r="T13" s="5" t="s">
        <v>230</v>
      </c>
      <c r="U13" s="3" t="s">
        <v>231</v>
      </c>
      <c r="V13" s="3" t="s">
        <v>201</v>
      </c>
      <c r="W13" s="3" t="s">
        <v>208</v>
      </c>
      <c r="Y13" s="128" t="s">
        <v>276</v>
      </c>
      <c r="Z13" s="129">
        <f>T44</f>
        <v>9000000005</v>
      </c>
      <c r="AA13" s="130" t="s">
        <v>280</v>
      </c>
      <c r="AB13" s="130" t="s">
        <v>277</v>
      </c>
      <c r="AC13" s="131">
        <f>$T$38</f>
        <v>9000000000</v>
      </c>
      <c r="AD13" s="378"/>
      <c r="AF13" s="128" t="s">
        <v>276</v>
      </c>
      <c r="AG13" s="157" t="str">
        <f t="shared" si="1"/>
        <v>159AP00000</v>
      </c>
      <c r="AH13" s="130" t="s">
        <v>208</v>
      </c>
      <c r="AI13" s="130" t="s">
        <v>277</v>
      </c>
      <c r="AJ13" s="131">
        <f>T44</f>
        <v>9000000005</v>
      </c>
      <c r="AK13" s="379"/>
      <c r="AN13" s="241" t="s">
        <v>523</v>
      </c>
      <c r="AO13" s="237" t="s">
        <v>527</v>
      </c>
      <c r="AP13" s="237"/>
      <c r="AQ13" s="237"/>
      <c r="AS13" s="241" t="s">
        <v>525</v>
      </c>
      <c r="AT13" s="237" t="s">
        <v>531</v>
      </c>
      <c r="AU13" s="237"/>
      <c r="AV13" s="237"/>
      <c r="AY13" s="36"/>
      <c r="AZ13" s="219" t="s">
        <v>510</v>
      </c>
      <c r="BK13"/>
      <c r="BL13"/>
      <c r="BM13"/>
    </row>
    <row r="14" spans="19:65" ht="25" customHeight="1" x14ac:dyDescent="0.35">
      <c r="S14" s="376" t="s">
        <v>234</v>
      </c>
      <c r="T14" s="5" t="s">
        <v>220</v>
      </c>
      <c r="U14" s="3" t="s">
        <v>221</v>
      </c>
      <c r="V14" s="3" t="s">
        <v>201</v>
      </c>
      <c r="W14" s="3" t="s">
        <v>209</v>
      </c>
      <c r="Y14" s="116" t="s">
        <v>276</v>
      </c>
      <c r="Z14" s="117" t="str">
        <f>T14</f>
        <v>158NT05000</v>
      </c>
      <c r="AA14" s="117" t="s">
        <v>280</v>
      </c>
      <c r="AB14" s="117" t="s">
        <v>277</v>
      </c>
      <c r="AC14" s="118">
        <f>$T$38</f>
        <v>9000000000</v>
      </c>
      <c r="AD14" s="378"/>
      <c r="AF14" s="116" t="s">
        <v>276</v>
      </c>
      <c r="AG14" s="117" t="str">
        <f t="shared" si="1"/>
        <v>158NT05000</v>
      </c>
      <c r="AH14" s="117" t="s">
        <v>280</v>
      </c>
      <c r="AI14" s="117" t="s">
        <v>277</v>
      </c>
      <c r="AJ14" s="118">
        <f>$T$38</f>
        <v>9000000000</v>
      </c>
      <c r="AK14" s="377" t="s">
        <v>491</v>
      </c>
      <c r="AN14" s="241" t="s">
        <v>523</v>
      </c>
      <c r="AO14" s="239" t="s">
        <v>529</v>
      </c>
      <c r="AP14" s="239"/>
      <c r="AQ14" s="239"/>
      <c r="AS14" s="241" t="s">
        <v>525</v>
      </c>
      <c r="AT14" s="239" t="s">
        <v>529</v>
      </c>
      <c r="AU14" s="239"/>
      <c r="AV14" s="239"/>
      <c r="AY14" s="36"/>
      <c r="AZ14" s="219" t="s">
        <v>512</v>
      </c>
      <c r="BK14"/>
      <c r="BL14"/>
      <c r="BM14"/>
    </row>
    <row r="15" spans="19:65" ht="28.5" customHeight="1" thickBot="1" x14ac:dyDescent="0.4">
      <c r="S15" s="376"/>
      <c r="T15" s="5" t="s">
        <v>222</v>
      </c>
      <c r="U15" s="3" t="s">
        <v>223</v>
      </c>
      <c r="V15" s="3" t="s">
        <v>201</v>
      </c>
      <c r="W15" s="3" t="s">
        <v>209</v>
      </c>
      <c r="Y15" s="128" t="s">
        <v>277</v>
      </c>
      <c r="Z15" s="130" t="str">
        <f t="shared" ref="Z15:Z25" si="2">T15</f>
        <v>206OT54000</v>
      </c>
      <c r="AA15" s="130" t="s">
        <v>280</v>
      </c>
      <c r="AB15" s="130" t="s">
        <v>276</v>
      </c>
      <c r="AC15" s="131">
        <f>$T$38</f>
        <v>9000000000</v>
      </c>
      <c r="AD15" s="378"/>
      <c r="AF15" s="128" t="s">
        <v>277</v>
      </c>
      <c r="AG15" s="130" t="str">
        <f t="shared" si="1"/>
        <v>206OT54000</v>
      </c>
      <c r="AH15" s="130" t="s">
        <v>280</v>
      </c>
      <c r="AI15" s="130" t="s">
        <v>276</v>
      </c>
      <c r="AJ15" s="131">
        <f>$T$38</f>
        <v>9000000000</v>
      </c>
      <c r="AK15" s="393"/>
      <c r="AN15" s="79" t="s">
        <v>499</v>
      </c>
      <c r="BB15" s="394" t="s">
        <v>649</v>
      </c>
      <c r="BC15" s="394"/>
      <c r="BD15" s="394"/>
      <c r="BE15" s="394"/>
      <c r="BF15" s="394"/>
      <c r="BG15" s="394"/>
      <c r="BH15" s="394"/>
      <c r="BI15" s="394"/>
      <c r="BJ15" s="394"/>
      <c r="BK15" s="394"/>
      <c r="BL15" s="394"/>
      <c r="BM15" s="394"/>
    </row>
    <row r="16" spans="19:65" ht="25" customHeight="1" x14ac:dyDescent="0.35">
      <c r="S16" s="376" t="s">
        <v>233</v>
      </c>
      <c r="T16" s="5" t="s">
        <v>245</v>
      </c>
      <c r="U16" s="3" t="s">
        <v>246</v>
      </c>
      <c r="V16" s="3" t="s">
        <v>201</v>
      </c>
      <c r="W16" s="3" t="s">
        <v>210</v>
      </c>
      <c r="Y16" s="116" t="s">
        <v>276</v>
      </c>
      <c r="Z16" s="137" t="str">
        <f t="shared" si="2"/>
        <v>188CC01M00</v>
      </c>
      <c r="AA16" s="117" t="s">
        <v>280</v>
      </c>
      <c r="AB16" s="117" t="s">
        <v>277</v>
      </c>
      <c r="AC16" s="118">
        <f>$T$38</f>
        <v>9000000000</v>
      </c>
      <c r="AD16" s="378"/>
      <c r="AF16" s="158" t="s">
        <v>276</v>
      </c>
      <c r="AG16" s="159" t="str">
        <f t="shared" si="1"/>
        <v>188CC01M00</v>
      </c>
      <c r="AH16" s="159" t="s">
        <v>280</v>
      </c>
      <c r="AI16" s="159" t="s">
        <v>277</v>
      </c>
      <c r="AJ16" s="160">
        <f>$T$38</f>
        <v>9000000000</v>
      </c>
      <c r="AK16" s="377" t="s">
        <v>492</v>
      </c>
      <c r="AN16" s="241" t="s">
        <v>524</v>
      </c>
      <c r="AO16" s="84" t="s">
        <v>528</v>
      </c>
      <c r="AP16" s="84"/>
      <c r="AQ16" s="84"/>
      <c r="AS16" s="241" t="s">
        <v>533</v>
      </c>
      <c r="AT16" s="242" t="s">
        <v>532</v>
      </c>
      <c r="AU16" s="84"/>
      <c r="AV16" s="84"/>
      <c r="AY16" s="36"/>
      <c r="AZ16" s="219" t="s">
        <v>514</v>
      </c>
      <c r="BB16" s="1" t="s">
        <v>528</v>
      </c>
      <c r="BD16" s="1" t="s">
        <v>533</v>
      </c>
      <c r="BK16"/>
      <c r="BL16"/>
      <c r="BM16"/>
    </row>
    <row r="17" spans="1:72" ht="25" customHeight="1" thickBot="1" x14ac:dyDescent="0.4">
      <c r="B17" s="62" t="s">
        <v>137</v>
      </c>
      <c r="D17" s="62" t="s">
        <v>138</v>
      </c>
      <c r="E17" s="62" t="s">
        <v>139</v>
      </c>
      <c r="H17" s="62" t="s">
        <v>140</v>
      </c>
      <c r="I17" s="62" t="s">
        <v>141</v>
      </c>
      <c r="S17" s="376"/>
      <c r="T17" s="5" t="s">
        <v>247</v>
      </c>
      <c r="U17" s="3" t="s">
        <v>248</v>
      </c>
      <c r="V17" s="3" t="s">
        <v>201</v>
      </c>
      <c r="W17" s="3" t="s">
        <v>210</v>
      </c>
      <c r="Y17" s="138" t="s">
        <v>277</v>
      </c>
      <c r="Z17" s="84" t="str">
        <f t="shared" si="2"/>
        <v>300SC01000</v>
      </c>
      <c r="AA17" s="30" t="s">
        <v>280</v>
      </c>
      <c r="AB17" s="30" t="s">
        <v>276</v>
      </c>
      <c r="AC17" s="139">
        <f>$T$38</f>
        <v>9000000000</v>
      </c>
      <c r="AD17" s="378"/>
      <c r="AF17" s="138" t="s">
        <v>277</v>
      </c>
      <c r="AG17" s="30" t="str">
        <f t="shared" si="1"/>
        <v>300SC01000</v>
      </c>
      <c r="AH17" s="30" t="s">
        <v>280</v>
      </c>
      <c r="AI17" s="30" t="s">
        <v>276</v>
      </c>
      <c r="AJ17" s="139">
        <f>$T$38</f>
        <v>9000000000</v>
      </c>
      <c r="AK17" s="393"/>
      <c r="AN17" s="241" t="s">
        <v>524</v>
      </c>
      <c r="AO17" s="237" t="s">
        <v>527</v>
      </c>
      <c r="AP17" s="237"/>
      <c r="AQ17" s="237"/>
      <c r="AS17" s="241" t="s">
        <v>533</v>
      </c>
      <c r="AT17" s="236" t="s">
        <v>531</v>
      </c>
      <c r="AU17" s="236"/>
      <c r="AV17" s="236"/>
      <c r="AY17" s="36"/>
      <c r="AZ17" s="219" t="s">
        <v>509</v>
      </c>
      <c r="BB17" s="1" t="s">
        <v>527</v>
      </c>
      <c r="BD17" s="1" t="s">
        <v>533</v>
      </c>
      <c r="BK17"/>
      <c r="BL17"/>
      <c r="BM17"/>
    </row>
    <row r="18" spans="1:72" ht="25" customHeight="1" x14ac:dyDescent="0.35">
      <c r="A18" s="2">
        <v>1</v>
      </c>
      <c r="B18" s="1" t="s">
        <v>120</v>
      </c>
      <c r="D18" s="85" t="s">
        <v>142</v>
      </c>
      <c r="E18" s="16"/>
      <c r="F18" s="86" t="s">
        <v>143</v>
      </c>
      <c r="H18" s="85" t="s">
        <v>144</v>
      </c>
      <c r="I18" s="16"/>
      <c r="J18" s="16"/>
      <c r="K18" s="16"/>
      <c r="L18" s="16"/>
      <c r="M18" s="87" t="s">
        <v>145</v>
      </c>
      <c r="N18" s="86"/>
      <c r="P18" s="1" t="s">
        <v>146</v>
      </c>
      <c r="Q18" s="372" t="s">
        <v>147</v>
      </c>
      <c r="S18" s="376"/>
      <c r="T18" s="88" t="s">
        <v>261</v>
      </c>
      <c r="U18" s="32" t="s">
        <v>262</v>
      </c>
      <c r="V18" s="32" t="s">
        <v>201</v>
      </c>
      <c r="W18" s="32" t="s">
        <v>275</v>
      </c>
      <c r="Y18" s="140" t="s">
        <v>276</v>
      </c>
      <c r="Z18" s="132" t="str">
        <f t="shared" si="2"/>
        <v>152RM00000</v>
      </c>
      <c r="AA18" s="132" t="s">
        <v>280</v>
      </c>
      <c r="AB18" s="132" t="s">
        <v>277</v>
      </c>
      <c r="AC18" s="141">
        <f>$T$38</f>
        <v>9000000000</v>
      </c>
      <c r="AD18" s="378"/>
      <c r="AF18" s="140" t="s">
        <v>276</v>
      </c>
      <c r="AG18" s="136" t="str">
        <f t="shared" si="1"/>
        <v>152RM00000</v>
      </c>
      <c r="AH18" s="132" t="s">
        <v>282</v>
      </c>
      <c r="AI18" s="132" t="s">
        <v>277</v>
      </c>
      <c r="AJ18" s="141">
        <f>$T$42</f>
        <v>9000000003</v>
      </c>
      <c r="AK18" s="390" t="s">
        <v>284</v>
      </c>
      <c r="AN18" s="241" t="s">
        <v>524</v>
      </c>
      <c r="AO18" s="239" t="s">
        <v>529</v>
      </c>
      <c r="AP18" s="239"/>
      <c r="AQ18" s="239"/>
      <c r="AS18" s="241" t="s">
        <v>533</v>
      </c>
      <c r="AT18" s="240" t="s">
        <v>529</v>
      </c>
      <c r="AU18" s="240"/>
      <c r="AV18" s="240"/>
      <c r="AY18" s="36"/>
      <c r="AZ18" s="219" t="s">
        <v>522</v>
      </c>
      <c r="BB18" s="1" t="s">
        <v>650</v>
      </c>
      <c r="BD18" s="1" t="s">
        <v>525</v>
      </c>
      <c r="BK18"/>
      <c r="BL18"/>
      <c r="BM18"/>
    </row>
    <row r="19" spans="1:72" ht="25" customHeight="1" x14ac:dyDescent="0.35">
      <c r="A19" s="2">
        <v>2</v>
      </c>
      <c r="B19" s="1" t="s">
        <v>148</v>
      </c>
      <c r="D19" s="48" t="s">
        <v>149</v>
      </c>
      <c r="F19" s="89" t="s">
        <v>150</v>
      </c>
      <c r="H19" s="48" t="s">
        <v>151</v>
      </c>
      <c r="M19" s="90" t="s">
        <v>145</v>
      </c>
      <c r="N19" s="89"/>
      <c r="Q19" s="373"/>
      <c r="S19" s="376"/>
      <c r="T19" s="88" t="s">
        <v>263</v>
      </c>
      <c r="U19" s="32" t="s">
        <v>264</v>
      </c>
      <c r="V19" s="32" t="s">
        <v>201</v>
      </c>
      <c r="W19" s="32" t="s">
        <v>275</v>
      </c>
      <c r="Y19" s="140" t="s">
        <v>276</v>
      </c>
      <c r="Z19" s="132" t="str">
        <f t="shared" si="2"/>
        <v>152TG00000</v>
      </c>
      <c r="AA19" s="132" t="s">
        <v>280</v>
      </c>
      <c r="AB19" s="132" t="s">
        <v>277</v>
      </c>
      <c r="AC19" s="141">
        <f>$T$38</f>
        <v>9000000000</v>
      </c>
      <c r="AD19" s="378"/>
      <c r="AF19" s="140" t="s">
        <v>276</v>
      </c>
      <c r="AG19" s="136" t="str">
        <f t="shared" si="1"/>
        <v>152TG00000</v>
      </c>
      <c r="AH19" s="132" t="s">
        <v>282</v>
      </c>
      <c r="AI19" s="132" t="s">
        <v>277</v>
      </c>
      <c r="AJ19" s="141">
        <f>$T$42</f>
        <v>9000000003</v>
      </c>
      <c r="AK19" s="391"/>
      <c r="AM19" s="1" t="s">
        <v>500</v>
      </c>
      <c r="BK19"/>
      <c r="BL19"/>
      <c r="BM19"/>
    </row>
    <row r="20" spans="1:72" ht="25" customHeight="1" x14ac:dyDescent="0.35">
      <c r="A20" s="2">
        <v>3</v>
      </c>
      <c r="B20" s="1" t="s">
        <v>3</v>
      </c>
      <c r="D20" s="48" t="s">
        <v>149</v>
      </c>
      <c r="F20" s="89" t="s">
        <v>152</v>
      </c>
      <c r="H20" s="48" t="s">
        <v>151</v>
      </c>
      <c r="M20" s="90" t="s">
        <v>145</v>
      </c>
      <c r="N20" s="89"/>
      <c r="Q20" s="373"/>
      <c r="S20" s="376"/>
      <c r="T20" s="88" t="s">
        <v>265</v>
      </c>
      <c r="U20" s="32" t="s">
        <v>266</v>
      </c>
      <c r="V20" s="32" t="s">
        <v>201</v>
      </c>
      <c r="W20" s="32" t="s">
        <v>275</v>
      </c>
      <c r="Y20" s="140" t="s">
        <v>276</v>
      </c>
      <c r="Z20" s="132" t="str">
        <f t="shared" si="2"/>
        <v>152SP00000</v>
      </c>
      <c r="AA20" s="132" t="s">
        <v>280</v>
      </c>
      <c r="AB20" s="132" t="s">
        <v>277</v>
      </c>
      <c r="AC20" s="141">
        <f>$T$38</f>
        <v>9000000000</v>
      </c>
      <c r="AD20" s="378"/>
      <c r="AF20" s="140" t="s">
        <v>276</v>
      </c>
      <c r="AG20" s="136" t="str">
        <f t="shared" si="1"/>
        <v>152SP00000</v>
      </c>
      <c r="AH20" s="132" t="s">
        <v>282</v>
      </c>
      <c r="AI20" s="132" t="s">
        <v>277</v>
      </c>
      <c r="AJ20" s="141">
        <f>$T$42</f>
        <v>9000000003</v>
      </c>
      <c r="AK20" s="391"/>
      <c r="AN20" s="1" t="s">
        <v>502</v>
      </c>
      <c r="BA20" s="235" t="s">
        <v>503</v>
      </c>
      <c r="BK20"/>
      <c r="BL20"/>
      <c r="BM20"/>
    </row>
    <row r="21" spans="1:72" ht="25" customHeight="1" x14ac:dyDescent="0.35">
      <c r="A21" s="2">
        <v>4</v>
      </c>
      <c r="B21" s="1" t="s">
        <v>4</v>
      </c>
      <c r="D21" s="48" t="s">
        <v>149</v>
      </c>
      <c r="F21" s="89" t="s">
        <v>153</v>
      </c>
      <c r="H21" s="48" t="s">
        <v>151</v>
      </c>
      <c r="M21" s="90" t="s">
        <v>145</v>
      </c>
      <c r="N21" s="89"/>
      <c r="Q21" s="373"/>
      <c r="S21" s="376"/>
      <c r="T21" s="88" t="s">
        <v>267</v>
      </c>
      <c r="U21" s="32" t="s">
        <v>268</v>
      </c>
      <c r="V21" s="32" t="s">
        <v>201</v>
      </c>
      <c r="W21" s="32" t="s">
        <v>275</v>
      </c>
      <c r="Y21" s="140" t="s">
        <v>276</v>
      </c>
      <c r="Z21" s="132" t="str">
        <f t="shared" si="2"/>
        <v>152PG00000</v>
      </c>
      <c r="AA21" s="132" t="s">
        <v>280</v>
      </c>
      <c r="AB21" s="132" t="s">
        <v>277</v>
      </c>
      <c r="AC21" s="141">
        <f>$T$38</f>
        <v>9000000000</v>
      </c>
      <c r="AD21" s="378"/>
      <c r="AF21" s="140" t="s">
        <v>276</v>
      </c>
      <c r="AG21" s="136" t="str">
        <f t="shared" si="1"/>
        <v>152PG00000</v>
      </c>
      <c r="AH21" s="132" t="s">
        <v>282</v>
      </c>
      <c r="AI21" s="132" t="s">
        <v>277</v>
      </c>
      <c r="AJ21" s="141">
        <f>$T$42</f>
        <v>9000000003</v>
      </c>
      <c r="AK21" s="391"/>
      <c r="AN21" s="1" t="s">
        <v>535</v>
      </c>
      <c r="BA21" s="235" t="s">
        <v>504</v>
      </c>
      <c r="BK21"/>
      <c r="BL21"/>
      <c r="BM21"/>
    </row>
    <row r="22" spans="1:72" ht="25" customHeight="1" x14ac:dyDescent="0.35">
      <c r="A22" s="2">
        <v>5</v>
      </c>
      <c r="B22" s="1" t="s">
        <v>154</v>
      </c>
      <c r="D22" s="48" t="s">
        <v>151</v>
      </c>
      <c r="F22" s="89" t="s">
        <v>150</v>
      </c>
      <c r="H22" s="48" t="s">
        <v>151</v>
      </c>
      <c r="M22" s="90" t="s">
        <v>150</v>
      </c>
      <c r="N22" s="89"/>
      <c r="Q22" s="373"/>
      <c r="S22" s="376"/>
      <c r="T22" s="88" t="s">
        <v>265</v>
      </c>
      <c r="U22" s="32" t="s">
        <v>266</v>
      </c>
      <c r="V22" s="32" t="s">
        <v>201</v>
      </c>
      <c r="W22" s="32" t="s">
        <v>275</v>
      </c>
      <c r="Y22" s="140" t="s">
        <v>276</v>
      </c>
      <c r="Z22" s="132" t="str">
        <f t="shared" si="2"/>
        <v>152SP00000</v>
      </c>
      <c r="AA22" s="132" t="s">
        <v>280</v>
      </c>
      <c r="AB22" s="132" t="s">
        <v>277</v>
      </c>
      <c r="AC22" s="141">
        <f>$T$38</f>
        <v>9000000000</v>
      </c>
      <c r="AD22" s="378"/>
      <c r="AF22" s="140" t="s">
        <v>276</v>
      </c>
      <c r="AG22" s="136" t="str">
        <f t="shared" si="1"/>
        <v>152SP00000</v>
      </c>
      <c r="AH22" s="132" t="s">
        <v>282</v>
      </c>
      <c r="AI22" s="132" t="s">
        <v>277</v>
      </c>
      <c r="AJ22" s="141">
        <f>$T$42</f>
        <v>9000000003</v>
      </c>
      <c r="AK22" s="391"/>
      <c r="AM22" s="1" t="s">
        <v>541</v>
      </c>
      <c r="BK22"/>
      <c r="BL22"/>
      <c r="BM22"/>
    </row>
    <row r="23" spans="1:72" ht="25" customHeight="1" thickBot="1" x14ac:dyDescent="0.4">
      <c r="A23" s="2">
        <v>6</v>
      </c>
      <c r="B23" s="1" t="s">
        <v>155</v>
      </c>
      <c r="D23" s="91" t="s">
        <v>108</v>
      </c>
      <c r="E23" s="92"/>
      <c r="F23" s="93"/>
      <c r="H23" s="91" t="s">
        <v>108</v>
      </c>
      <c r="I23" s="92"/>
      <c r="J23" s="92"/>
      <c r="K23" s="92"/>
      <c r="L23" s="92"/>
      <c r="M23" s="92"/>
      <c r="N23" s="93"/>
      <c r="Q23" s="373"/>
      <c r="S23" s="376"/>
      <c r="T23" s="88" t="s">
        <v>269</v>
      </c>
      <c r="U23" s="32" t="s">
        <v>270</v>
      </c>
      <c r="V23" s="32" t="s">
        <v>201</v>
      </c>
      <c r="W23" s="32" t="s">
        <v>275</v>
      </c>
      <c r="Y23" s="140" t="s">
        <v>276</v>
      </c>
      <c r="Z23" s="132" t="str">
        <f t="shared" si="2"/>
        <v>152OS00000</v>
      </c>
      <c r="AA23" s="132" t="s">
        <v>280</v>
      </c>
      <c r="AB23" s="132" t="s">
        <v>277</v>
      </c>
      <c r="AC23" s="141">
        <f>$T$38</f>
        <v>9000000000</v>
      </c>
      <c r="AD23" s="378"/>
      <c r="AF23" s="140" t="s">
        <v>276</v>
      </c>
      <c r="AG23" s="136" t="str">
        <f t="shared" si="1"/>
        <v>152OS00000</v>
      </c>
      <c r="AH23" s="132" t="s">
        <v>282</v>
      </c>
      <c r="AI23" s="132" t="s">
        <v>277</v>
      </c>
      <c r="AJ23" s="141">
        <f>$T$42</f>
        <v>9000000003</v>
      </c>
      <c r="AK23" s="391"/>
      <c r="AN23" s="241" t="s">
        <v>525</v>
      </c>
      <c r="AO23" s="245" t="s">
        <v>526</v>
      </c>
      <c r="AP23" s="246"/>
      <c r="AQ23" s="246"/>
      <c r="AS23" s="241" t="s">
        <v>523</v>
      </c>
      <c r="AT23" s="245" t="s">
        <v>538</v>
      </c>
      <c r="AU23" s="246"/>
      <c r="AV23" s="246"/>
      <c r="AY23" s="37"/>
      <c r="AZ23" s="219" t="s">
        <v>648</v>
      </c>
      <c r="BA23" s="1" t="s">
        <v>515</v>
      </c>
    </row>
    <row r="24" spans="1:72" ht="22.5" customHeight="1" thickBot="1" x14ac:dyDescent="0.4">
      <c r="Q24" s="373"/>
      <c r="S24" s="376"/>
      <c r="T24" s="88" t="s">
        <v>271</v>
      </c>
      <c r="U24" s="32" t="s">
        <v>272</v>
      </c>
      <c r="V24" s="32" t="s">
        <v>201</v>
      </c>
      <c r="W24" s="32" t="s">
        <v>275</v>
      </c>
      <c r="Y24" s="140" t="s">
        <v>276</v>
      </c>
      <c r="Z24" s="132" t="str">
        <f t="shared" si="2"/>
        <v>152SF00000</v>
      </c>
      <c r="AA24" s="132" t="s">
        <v>280</v>
      </c>
      <c r="AB24" s="132" t="s">
        <v>277</v>
      </c>
      <c r="AC24" s="141">
        <f>$T$38</f>
        <v>9000000000</v>
      </c>
      <c r="AD24" s="378"/>
      <c r="AF24" s="140" t="s">
        <v>276</v>
      </c>
      <c r="AG24" s="136" t="str">
        <f t="shared" si="1"/>
        <v>152SF00000</v>
      </c>
      <c r="AH24" s="132" t="s">
        <v>282</v>
      </c>
      <c r="AI24" s="132" t="s">
        <v>277</v>
      </c>
      <c r="AJ24" s="141">
        <f>$T$42</f>
        <v>9000000003</v>
      </c>
      <c r="AK24" s="391"/>
      <c r="AN24" s="241" t="s">
        <v>525</v>
      </c>
      <c r="AO24" s="246" t="s">
        <v>537</v>
      </c>
      <c r="AP24" s="247"/>
      <c r="AQ24" s="247"/>
      <c r="AR24"/>
      <c r="AS24" s="241" t="s">
        <v>523</v>
      </c>
      <c r="AT24" s="248" t="s">
        <v>536</v>
      </c>
      <c r="AU24" s="247"/>
      <c r="AV24" s="247"/>
      <c r="AW24"/>
      <c r="AY24" s="37"/>
      <c r="AZ24" s="219" t="s">
        <v>513</v>
      </c>
      <c r="BA24" s="1" t="s">
        <v>521</v>
      </c>
    </row>
    <row r="25" spans="1:72" ht="21" customHeight="1" thickBot="1" x14ac:dyDescent="0.4">
      <c r="H25" s="94" t="s">
        <v>156</v>
      </c>
      <c r="I25" s="95"/>
      <c r="J25" s="95"/>
      <c r="K25" s="95"/>
      <c r="L25" s="95"/>
      <c r="M25" s="95"/>
      <c r="N25" s="96"/>
      <c r="P25" s="1" t="s">
        <v>157</v>
      </c>
      <c r="Q25" s="374"/>
      <c r="S25" s="376"/>
      <c r="T25" s="88" t="s">
        <v>273</v>
      </c>
      <c r="U25" s="32" t="s">
        <v>274</v>
      </c>
      <c r="V25" s="32" t="s">
        <v>201</v>
      </c>
      <c r="W25" s="32" t="s">
        <v>275</v>
      </c>
      <c r="Y25" s="142" t="s">
        <v>276</v>
      </c>
      <c r="Z25" s="143" t="str">
        <f t="shared" si="2"/>
        <v>152FG00000</v>
      </c>
      <c r="AA25" s="143" t="s">
        <v>280</v>
      </c>
      <c r="AB25" s="143" t="s">
        <v>277</v>
      </c>
      <c r="AC25" s="144">
        <f>$T$38</f>
        <v>9000000000</v>
      </c>
      <c r="AD25" s="378"/>
      <c r="AF25" s="142" t="s">
        <v>276</v>
      </c>
      <c r="AG25" s="161" t="str">
        <f t="shared" si="1"/>
        <v>152FG00000</v>
      </c>
      <c r="AH25" s="143" t="s">
        <v>282</v>
      </c>
      <c r="AI25" s="143" t="s">
        <v>277</v>
      </c>
      <c r="AJ25" s="144">
        <f>$T$42</f>
        <v>9000000003</v>
      </c>
      <c r="AK25" s="392"/>
      <c r="AM25" s="1" t="s">
        <v>542</v>
      </c>
      <c r="BA25" s="244"/>
      <c r="BB25" s="244"/>
      <c r="BC25" s="244"/>
      <c r="BD25" s="244"/>
      <c r="BE25" s="244"/>
      <c r="BF25" s="244"/>
      <c r="BG25" s="244"/>
      <c r="BH25" s="244"/>
      <c r="BI25" s="244"/>
      <c r="BJ25" s="244"/>
      <c r="BK25" s="244"/>
    </row>
    <row r="26" spans="1:72" ht="25" customHeight="1" thickBot="1" x14ac:dyDescent="0.4">
      <c r="S26" s="383" t="s">
        <v>155</v>
      </c>
      <c r="T26" s="81" t="s">
        <v>249</v>
      </c>
      <c r="U26" s="82" t="s">
        <v>250</v>
      </c>
      <c r="V26" s="82" t="s">
        <v>202</v>
      </c>
      <c r="W26" s="82" t="s">
        <v>211</v>
      </c>
      <c r="Y26" s="145"/>
      <c r="Z26" s="146"/>
      <c r="AA26" s="146"/>
      <c r="AB26" s="146"/>
      <c r="AC26" s="147"/>
      <c r="AD26" s="378"/>
      <c r="AF26" s="162" t="s">
        <v>276</v>
      </c>
      <c r="AG26" s="163" t="str">
        <f t="shared" si="1"/>
        <v>705AW01000</v>
      </c>
      <c r="AH26" s="163" t="s">
        <v>280</v>
      </c>
      <c r="AI26" s="163" t="s">
        <v>277</v>
      </c>
      <c r="AJ26" s="164">
        <f>$T$38</f>
        <v>9000000000</v>
      </c>
      <c r="AK26" s="393" t="s">
        <v>493</v>
      </c>
      <c r="AN26" s="241" t="s">
        <v>523</v>
      </c>
      <c r="AO26" s="246" t="s">
        <v>529</v>
      </c>
      <c r="AP26" s="246"/>
      <c r="AQ26" s="246"/>
      <c r="AS26" s="241" t="s">
        <v>523</v>
      </c>
      <c r="AT26" s="246" t="s">
        <v>534</v>
      </c>
      <c r="AU26" s="246"/>
      <c r="AV26" s="246"/>
      <c r="BA26" s="84" t="s">
        <v>664</v>
      </c>
      <c r="BB26" s="469"/>
      <c r="BC26" s="469"/>
      <c r="BD26" s="469"/>
      <c r="BE26" s="469"/>
      <c r="BF26" s="469"/>
      <c r="BG26" s="469"/>
      <c r="BH26" s="469"/>
      <c r="BI26" s="469"/>
      <c r="BJ26" s="469"/>
      <c r="BK26" s="469"/>
      <c r="BL26" s="84"/>
      <c r="BM26" s="84"/>
      <c r="BN26" s="84"/>
      <c r="BO26" s="84"/>
      <c r="BP26" s="84"/>
      <c r="BQ26" s="84"/>
      <c r="BR26" s="84"/>
      <c r="BS26" s="84"/>
      <c r="BT26" s="84"/>
    </row>
    <row r="27" spans="1:72" ht="22.5" customHeight="1" x14ac:dyDescent="0.35">
      <c r="H27" s="85" t="s">
        <v>158</v>
      </c>
      <c r="I27" s="16"/>
      <c r="J27" s="16"/>
      <c r="K27" s="16"/>
      <c r="L27" s="16"/>
      <c r="M27" s="87" t="s">
        <v>143</v>
      </c>
      <c r="N27" s="17"/>
      <c r="P27" s="1" t="s">
        <v>159</v>
      </c>
      <c r="S27" s="385"/>
      <c r="T27" s="81" t="s">
        <v>259</v>
      </c>
      <c r="U27" s="82" t="s">
        <v>260</v>
      </c>
      <c r="V27" s="82" t="s">
        <v>202</v>
      </c>
      <c r="W27" s="82" t="s">
        <v>211</v>
      </c>
      <c r="Y27" s="121"/>
      <c r="Z27" s="122"/>
      <c r="AA27" s="122"/>
      <c r="AB27" s="122"/>
      <c r="AC27" s="148"/>
      <c r="AD27" s="378"/>
      <c r="AF27" s="151" t="s">
        <v>276</v>
      </c>
      <c r="AG27" s="135" t="str">
        <f t="shared" si="1"/>
        <v>735EX06000</v>
      </c>
      <c r="AH27" s="135" t="s">
        <v>280</v>
      </c>
      <c r="AI27" s="135" t="s">
        <v>277</v>
      </c>
      <c r="AJ27" s="152">
        <f>$T$38</f>
        <v>9000000000</v>
      </c>
      <c r="AK27" s="378"/>
      <c r="AN27" s="241" t="s">
        <v>523</v>
      </c>
      <c r="AO27" s="246" t="s">
        <v>527</v>
      </c>
      <c r="AP27" s="246"/>
      <c r="AQ27" s="246"/>
      <c r="AS27" s="241" t="s">
        <v>523</v>
      </c>
      <c r="AT27" s="1" t="s">
        <v>539</v>
      </c>
      <c r="BA27" s="469"/>
      <c r="BB27" s="470" t="s">
        <v>665</v>
      </c>
      <c r="BC27" s="84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84"/>
      <c r="BQ27" s="84"/>
      <c r="BR27" s="84"/>
      <c r="BS27" s="84"/>
      <c r="BT27" s="84"/>
    </row>
    <row r="28" spans="1:72" ht="25" customHeight="1" x14ac:dyDescent="0.35">
      <c r="H28" s="48" t="s">
        <v>160</v>
      </c>
      <c r="M28" s="90" t="s">
        <v>150</v>
      </c>
      <c r="N28" s="19"/>
      <c r="S28" s="385"/>
      <c r="T28" s="81" t="s">
        <v>251</v>
      </c>
      <c r="U28" s="82" t="s">
        <v>252</v>
      </c>
      <c r="V28" s="82" t="s">
        <v>202</v>
      </c>
      <c r="W28" s="82" t="s">
        <v>211</v>
      </c>
      <c r="Y28" s="121"/>
      <c r="Z28" s="122"/>
      <c r="AA28" s="122"/>
      <c r="AB28" s="122"/>
      <c r="AC28" s="148"/>
      <c r="AD28" s="378"/>
      <c r="AF28" s="151" t="s">
        <v>276</v>
      </c>
      <c r="AG28" s="135" t="str">
        <f t="shared" si="1"/>
        <v>610SC02000</v>
      </c>
      <c r="AH28" s="135" t="s">
        <v>280</v>
      </c>
      <c r="AI28" s="135" t="s">
        <v>277</v>
      </c>
      <c r="AJ28" s="152">
        <f>$T$38</f>
        <v>9000000000</v>
      </c>
      <c r="AK28" s="378"/>
      <c r="AN28" s="241" t="s">
        <v>523</v>
      </c>
      <c r="AO28" s="1" t="s">
        <v>540</v>
      </c>
      <c r="AS28" s="241" t="s">
        <v>523</v>
      </c>
      <c r="AT28" s="246" t="s">
        <v>530</v>
      </c>
      <c r="AU28" s="246"/>
      <c r="AV28" s="246"/>
      <c r="BA28" s="469"/>
      <c r="BB28" s="84" t="s">
        <v>651</v>
      </c>
      <c r="BC28" s="84"/>
      <c r="BD28" s="84"/>
      <c r="BE28" s="84"/>
      <c r="BF28" s="84" t="s">
        <v>669</v>
      </c>
      <c r="BG28" s="469"/>
      <c r="BH28" s="469"/>
      <c r="BI28" s="84" t="s">
        <v>654</v>
      </c>
      <c r="BJ28" s="84" t="s">
        <v>655</v>
      </c>
      <c r="BK28" s="84"/>
      <c r="BL28" s="84"/>
      <c r="BM28" s="84"/>
      <c r="BN28" s="84"/>
      <c r="BO28" s="84"/>
      <c r="BP28" s="84"/>
      <c r="BQ28" s="84"/>
      <c r="BR28" s="84"/>
      <c r="BS28" s="84"/>
      <c r="BT28" s="84"/>
    </row>
    <row r="29" spans="1:72" ht="25" customHeight="1" x14ac:dyDescent="0.35">
      <c r="H29" s="48" t="s">
        <v>160</v>
      </c>
      <c r="M29" s="90" t="s">
        <v>152</v>
      </c>
      <c r="N29" s="19"/>
      <c r="S29" s="385"/>
      <c r="T29" s="81" t="s">
        <v>253</v>
      </c>
      <c r="U29" s="82" t="s">
        <v>254</v>
      </c>
      <c r="V29" s="82" t="s">
        <v>202</v>
      </c>
      <c r="W29" s="82" t="s">
        <v>211</v>
      </c>
      <c r="Y29" s="121"/>
      <c r="Z29" s="122"/>
      <c r="AA29" s="122"/>
      <c r="AB29" s="122"/>
      <c r="AC29" s="148"/>
      <c r="AD29" s="378"/>
      <c r="AF29" s="151" t="s">
        <v>276</v>
      </c>
      <c r="AG29" s="135" t="str">
        <f t="shared" si="1"/>
        <v>610OH01000</v>
      </c>
      <c r="AH29" s="135" t="s">
        <v>280</v>
      </c>
      <c r="AI29" s="135" t="s">
        <v>277</v>
      </c>
      <c r="AJ29" s="152">
        <f>$T$38</f>
        <v>9000000000</v>
      </c>
      <c r="AK29" s="378"/>
      <c r="AN29" s="249" t="s">
        <v>543</v>
      </c>
      <c r="BA29" s="469"/>
      <c r="BB29" s="469" t="s">
        <v>652</v>
      </c>
      <c r="BC29" s="469"/>
      <c r="BD29" s="469"/>
      <c r="BE29" s="84"/>
      <c r="BF29" s="84" t="s">
        <v>661</v>
      </c>
      <c r="BG29" s="469"/>
      <c r="BH29" s="469"/>
      <c r="BI29" s="469" t="s">
        <v>654</v>
      </c>
      <c r="BJ29" s="84" t="s">
        <v>656</v>
      </c>
      <c r="BK29" s="84"/>
      <c r="BL29" s="84"/>
      <c r="BM29" s="84"/>
      <c r="BN29" s="84"/>
      <c r="BO29" s="84"/>
      <c r="BP29" s="84"/>
      <c r="BQ29" s="84"/>
      <c r="BR29" s="84"/>
      <c r="BS29" s="84"/>
      <c r="BT29" s="84"/>
    </row>
    <row r="30" spans="1:72" ht="25" customHeight="1" x14ac:dyDescent="0.35">
      <c r="H30" s="48"/>
      <c r="M30" s="90"/>
      <c r="N30" s="19"/>
      <c r="S30" s="385"/>
      <c r="T30" s="81"/>
      <c r="U30" s="82"/>
      <c r="V30" s="82"/>
      <c r="W30" s="82"/>
      <c r="Y30" s="121"/>
      <c r="Z30" s="122"/>
      <c r="AA30" s="122"/>
      <c r="AB30" s="122"/>
      <c r="AC30" s="148"/>
      <c r="AD30" s="378"/>
      <c r="AF30" s="151"/>
      <c r="AG30" s="135"/>
      <c r="AH30" s="135"/>
      <c r="AI30" s="135"/>
      <c r="AJ30" s="152"/>
      <c r="AK30" s="378"/>
      <c r="AN30" s="249"/>
      <c r="BA30" s="469"/>
      <c r="BB30" s="84" t="s">
        <v>659</v>
      </c>
      <c r="BC30" s="84"/>
      <c r="BD30" s="84"/>
      <c r="BE30" s="84"/>
      <c r="BF30" s="84" t="s">
        <v>660</v>
      </c>
      <c r="BG30" s="84"/>
      <c r="BH30" s="84"/>
      <c r="BI30" s="469" t="s">
        <v>654</v>
      </c>
      <c r="BJ30" s="84" t="s">
        <v>662</v>
      </c>
      <c r="BK30" s="84"/>
      <c r="BL30" s="84"/>
      <c r="BM30" s="84"/>
      <c r="BN30" s="84"/>
      <c r="BO30" s="84"/>
      <c r="BP30" s="84"/>
      <c r="BQ30" s="84"/>
      <c r="BR30" s="84"/>
      <c r="BS30" s="84"/>
      <c r="BT30" s="84"/>
    </row>
    <row r="31" spans="1:72" ht="25" customHeight="1" x14ac:dyDescent="0.35">
      <c r="H31" s="48"/>
      <c r="M31" s="90"/>
      <c r="N31" s="19"/>
      <c r="S31" s="385"/>
      <c r="T31" s="81"/>
      <c r="U31" s="82"/>
      <c r="V31" s="82"/>
      <c r="W31" s="82"/>
      <c r="Y31" s="121"/>
      <c r="Z31" s="122"/>
      <c r="AA31" s="122"/>
      <c r="AB31" s="122"/>
      <c r="AC31" s="148"/>
      <c r="AD31" s="378"/>
      <c r="AF31" s="151"/>
      <c r="AG31" s="135"/>
      <c r="AH31" s="135"/>
      <c r="AI31" s="135"/>
      <c r="AJ31" s="152"/>
      <c r="AK31" s="378"/>
      <c r="AN31" s="249" t="s">
        <v>646</v>
      </c>
      <c r="BA31" s="469"/>
      <c r="BB31" s="470" t="s">
        <v>663</v>
      </c>
      <c r="BC31" s="84"/>
      <c r="BD31" s="84"/>
      <c r="BE31" s="84"/>
      <c r="BF31" s="84"/>
      <c r="BG31" s="84"/>
      <c r="BH31" s="84"/>
      <c r="BI31" s="84"/>
      <c r="BJ31" s="84"/>
      <c r="BK31" s="84"/>
      <c r="BL31" s="84"/>
      <c r="BM31" s="84"/>
      <c r="BN31" s="84"/>
      <c r="BO31" s="84"/>
      <c r="BP31" s="84"/>
      <c r="BQ31" s="84"/>
      <c r="BR31" s="84"/>
      <c r="BS31" s="84"/>
      <c r="BT31" s="84"/>
    </row>
    <row r="32" spans="1:72" ht="25" customHeight="1" x14ac:dyDescent="0.35">
      <c r="H32" s="48"/>
      <c r="M32" s="90"/>
      <c r="N32" s="19"/>
      <c r="S32" s="385"/>
      <c r="T32" s="81"/>
      <c r="U32" s="82"/>
      <c r="V32" s="82"/>
      <c r="W32" s="82"/>
      <c r="Y32" s="121"/>
      <c r="Z32" s="122"/>
      <c r="AA32" s="122"/>
      <c r="AB32" s="122"/>
      <c r="AC32" s="148"/>
      <c r="AD32" s="378"/>
      <c r="AF32" s="151"/>
      <c r="AG32" s="135"/>
      <c r="AH32" s="135"/>
      <c r="AI32" s="135"/>
      <c r="AJ32" s="152"/>
      <c r="AK32" s="378"/>
      <c r="AN32" s="249"/>
      <c r="BA32" s="469"/>
      <c r="BB32" s="84" t="s">
        <v>547</v>
      </c>
      <c r="BC32" s="84"/>
      <c r="BD32" s="84"/>
      <c r="BE32" s="84"/>
      <c r="BF32" s="84" t="s">
        <v>667</v>
      </c>
      <c r="BG32" s="84"/>
      <c r="BH32" s="84"/>
      <c r="BI32" s="84"/>
      <c r="BJ32" s="84"/>
      <c r="BK32" s="84"/>
      <c r="BL32" s="84"/>
      <c r="BM32" s="84"/>
      <c r="BN32" s="84"/>
      <c r="BO32" s="84"/>
      <c r="BP32" s="84"/>
      <c r="BQ32" s="84"/>
      <c r="BR32" s="84"/>
      <c r="BS32" s="84"/>
      <c r="BT32" s="84"/>
    </row>
    <row r="33" spans="1:72" ht="25" customHeight="1" x14ac:dyDescent="0.35">
      <c r="H33" s="48"/>
      <c r="M33" s="90"/>
      <c r="N33" s="19"/>
      <c r="S33" s="385"/>
      <c r="T33" s="81"/>
      <c r="U33" s="82"/>
      <c r="V33" s="82"/>
      <c r="W33" s="82"/>
      <c r="Y33" s="121"/>
      <c r="Z33" s="122"/>
      <c r="AA33" s="122"/>
      <c r="AB33" s="122"/>
      <c r="AC33" s="148"/>
      <c r="AD33" s="378"/>
      <c r="AF33" s="151"/>
      <c r="AG33" s="135"/>
      <c r="AH33" s="135"/>
      <c r="AI33" s="135"/>
      <c r="AJ33" s="152"/>
      <c r="AK33" s="378"/>
      <c r="AN33" s="249"/>
      <c r="BA33" s="469"/>
      <c r="BB33" s="84" t="s">
        <v>674</v>
      </c>
      <c r="BC33" s="469"/>
      <c r="BD33" s="469"/>
      <c r="BE33" s="84"/>
      <c r="BF33" s="84" t="s">
        <v>657</v>
      </c>
      <c r="BG33" s="469"/>
      <c r="BH33" s="469"/>
      <c r="BI33" s="84"/>
      <c r="BJ33" s="84"/>
      <c r="BK33" s="84"/>
      <c r="BL33" s="84"/>
      <c r="BM33" s="84"/>
      <c r="BN33" s="84"/>
      <c r="BO33" s="84"/>
      <c r="BP33" s="84"/>
      <c r="BQ33" s="84"/>
      <c r="BR33" s="84"/>
      <c r="BS33" s="84"/>
      <c r="BT33" s="84"/>
    </row>
    <row r="34" spans="1:72" ht="25" customHeight="1" x14ac:dyDescent="0.35">
      <c r="H34" s="48" t="s">
        <v>160</v>
      </c>
      <c r="M34" s="90" t="s">
        <v>153</v>
      </c>
      <c r="N34" s="19"/>
      <c r="S34" s="385"/>
      <c r="T34" s="81" t="s">
        <v>257</v>
      </c>
      <c r="U34" s="82" t="s">
        <v>258</v>
      </c>
      <c r="V34" s="82" t="s">
        <v>202</v>
      </c>
      <c r="W34" s="82" t="s">
        <v>203</v>
      </c>
      <c r="Y34" s="121"/>
      <c r="Z34" s="122"/>
      <c r="AA34" s="122"/>
      <c r="AB34" s="122"/>
      <c r="AC34" s="148"/>
      <c r="AD34" s="378"/>
      <c r="AF34" s="151" t="s">
        <v>277</v>
      </c>
      <c r="AG34" s="135" t="str">
        <f t="shared" si="1"/>
        <v>500SD01000</v>
      </c>
      <c r="AH34" s="135" t="s">
        <v>280</v>
      </c>
      <c r="AI34" s="135" t="s">
        <v>276</v>
      </c>
      <c r="AJ34" s="152">
        <f>$T$38</f>
        <v>9000000000</v>
      </c>
      <c r="AK34" s="378"/>
      <c r="AM34" s="234" t="s">
        <v>501</v>
      </c>
      <c r="AO34"/>
      <c r="AP34"/>
      <c r="AQ34"/>
      <c r="AR34"/>
      <c r="AS34"/>
      <c r="AT34"/>
      <c r="AU34"/>
      <c r="AV34"/>
      <c r="AW34"/>
      <c r="AX34"/>
      <c r="AY34"/>
      <c r="AZ34"/>
      <c r="BA34" s="469"/>
      <c r="BB34" s="471" t="s">
        <v>653</v>
      </c>
      <c r="BC34" s="84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469"/>
      <c r="BP34" s="84"/>
      <c r="BQ34" s="84"/>
      <c r="BR34" s="84"/>
      <c r="BS34" s="84"/>
      <c r="BT34" s="84"/>
    </row>
    <row r="35" spans="1:72" ht="25" customHeight="1" thickBot="1" x14ac:dyDescent="0.4">
      <c r="H35" s="48" t="s">
        <v>161</v>
      </c>
      <c r="L35" s="1" t="s">
        <v>162</v>
      </c>
      <c r="M35" s="90" t="s">
        <v>150</v>
      </c>
      <c r="N35" s="19"/>
      <c r="S35" s="384"/>
      <c r="T35" s="81" t="s">
        <v>255</v>
      </c>
      <c r="U35" s="82" t="s">
        <v>256</v>
      </c>
      <c r="V35" s="82" t="s">
        <v>202</v>
      </c>
      <c r="W35" s="82" t="s">
        <v>203</v>
      </c>
      <c r="Y35" s="124"/>
      <c r="Z35" s="125"/>
      <c r="AA35" s="125"/>
      <c r="AB35" s="125"/>
      <c r="AC35" s="149"/>
      <c r="AD35" s="379"/>
      <c r="AF35" s="153" t="s">
        <v>277</v>
      </c>
      <c r="AG35" s="155" t="str">
        <f t="shared" si="1"/>
        <v>810DQ00000</v>
      </c>
      <c r="AH35" s="155" t="s">
        <v>280</v>
      </c>
      <c r="AI35" s="155" t="s">
        <v>276</v>
      </c>
      <c r="AJ35" s="156">
        <f>$T$38</f>
        <v>9000000000</v>
      </c>
      <c r="AK35" s="379"/>
      <c r="AM35" s="79" t="s">
        <v>505</v>
      </c>
      <c r="AN35" s="79"/>
      <c r="AO35"/>
      <c r="AP35"/>
      <c r="AQ35"/>
      <c r="AR35"/>
      <c r="AS35"/>
      <c r="AT35"/>
      <c r="AU35"/>
      <c r="AV35"/>
      <c r="AW35"/>
      <c r="AX35"/>
      <c r="AY35"/>
      <c r="AZ35"/>
      <c r="BA35" s="469"/>
      <c r="BB35" s="84" t="s">
        <v>668</v>
      </c>
      <c r="BC35" s="476" t="s">
        <v>677</v>
      </c>
      <c r="BD35" s="477"/>
      <c r="BE35" s="84"/>
      <c r="BF35" s="84" t="s">
        <v>670</v>
      </c>
      <c r="BG35" s="84"/>
      <c r="BH35" s="84"/>
      <c r="BI35" s="84"/>
      <c r="BJ35" s="84"/>
      <c r="BK35" s="84"/>
      <c r="BL35" s="472" t="s">
        <v>675</v>
      </c>
      <c r="BM35" s="84"/>
      <c r="BN35" s="84"/>
      <c r="BO35" s="84"/>
      <c r="BP35" s="84"/>
      <c r="BQ35" s="84"/>
      <c r="BR35" s="84"/>
      <c r="BS35" s="84"/>
      <c r="BT35" s="84"/>
    </row>
    <row r="36" spans="1:72" ht="25" customHeight="1" thickBot="1" x14ac:dyDescent="0.4">
      <c r="H36" s="91" t="s">
        <v>161</v>
      </c>
      <c r="I36" s="92"/>
      <c r="J36" s="92"/>
      <c r="K36" s="92"/>
      <c r="L36" s="92" t="s">
        <v>163</v>
      </c>
      <c r="M36" s="97" t="s">
        <v>150</v>
      </c>
      <c r="N36" s="93"/>
      <c r="AM36" s="79"/>
      <c r="AN36" s="79" t="s">
        <v>506</v>
      </c>
      <c r="BA36" s="473"/>
      <c r="BB36" s="84"/>
      <c r="BC36" s="478"/>
      <c r="BD36" s="479"/>
      <c r="BE36" s="84"/>
      <c r="BF36" s="84" t="s">
        <v>671</v>
      </c>
      <c r="BG36" s="84"/>
      <c r="BH36" s="84"/>
      <c r="BI36" s="84"/>
      <c r="BJ36" s="84"/>
      <c r="BK36" s="84"/>
      <c r="BL36" s="472" t="s">
        <v>672</v>
      </c>
      <c r="BM36" s="84"/>
      <c r="BN36" s="84"/>
      <c r="BO36" s="469"/>
      <c r="BP36" s="84"/>
      <c r="BQ36" s="84"/>
      <c r="BR36" s="84"/>
      <c r="BS36" s="84"/>
      <c r="BT36" s="84"/>
    </row>
    <row r="37" spans="1:72" ht="25" customHeight="1" x14ac:dyDescent="0.35">
      <c r="Y37" s="370" t="s">
        <v>324</v>
      </c>
      <c r="Z37" s="371"/>
      <c r="AA37" s="371"/>
      <c r="AB37" s="371"/>
      <c r="AC37" s="371"/>
      <c r="AD37" s="371"/>
      <c r="AF37" s="1" t="s">
        <v>286</v>
      </c>
      <c r="AH37" s="79" t="s">
        <v>287</v>
      </c>
      <c r="AK37" s="106" t="s">
        <v>94</v>
      </c>
      <c r="AM37" s="79"/>
      <c r="AN37" s="79" t="s">
        <v>507</v>
      </c>
      <c r="BA37" s="84"/>
      <c r="BB37" s="84"/>
      <c r="BC37" s="84" t="s">
        <v>676</v>
      </c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84"/>
      <c r="BQ37" s="84"/>
      <c r="BR37" s="84"/>
      <c r="BS37" s="84"/>
      <c r="BT37" s="84"/>
    </row>
    <row r="38" spans="1:72" ht="25" customHeight="1" x14ac:dyDescent="0.35">
      <c r="A38" s="36">
        <v>7</v>
      </c>
      <c r="B38" s="37" t="s">
        <v>164</v>
      </c>
      <c r="C38" s="37"/>
      <c r="D38" s="37" t="s">
        <v>165</v>
      </c>
      <c r="E38" s="37"/>
      <c r="F38" s="37"/>
      <c r="S38" s="386" t="s">
        <v>217</v>
      </c>
      <c r="T38" s="98">
        <v>9000000000</v>
      </c>
      <c r="U38" s="99" t="s">
        <v>170</v>
      </c>
      <c r="V38" s="99" t="s">
        <v>201</v>
      </c>
      <c r="W38" s="99" t="s">
        <v>217</v>
      </c>
      <c r="Y38" s="165"/>
      <c r="AF38" s="1" t="s">
        <v>288</v>
      </c>
      <c r="AH38" s="79" t="s">
        <v>289</v>
      </c>
      <c r="AK38" s="106" t="s">
        <v>93</v>
      </c>
      <c r="AM38" s="79"/>
      <c r="AN38" s="79" t="s">
        <v>508</v>
      </c>
      <c r="BA38" s="84"/>
      <c r="BB38" s="470" t="s">
        <v>666</v>
      </c>
      <c r="BC38" s="469"/>
      <c r="BD38" s="469"/>
      <c r="BE38" s="84"/>
      <c r="BF38" s="84"/>
      <c r="BG38" s="84"/>
      <c r="BH38" s="84"/>
      <c r="BI38" s="469"/>
      <c r="BJ38" s="469"/>
      <c r="BK38" s="84"/>
      <c r="BL38" s="84"/>
      <c r="BM38" s="84"/>
      <c r="BN38" s="84"/>
      <c r="BO38" s="84"/>
      <c r="BP38" s="84"/>
      <c r="BQ38" s="84"/>
      <c r="BR38" s="84"/>
      <c r="BS38" s="84"/>
      <c r="BT38" s="84"/>
    </row>
    <row r="39" spans="1:72" ht="25" customHeight="1" x14ac:dyDescent="0.35">
      <c r="S39" s="387"/>
      <c r="T39" s="98">
        <v>9000000001</v>
      </c>
      <c r="U39" s="99" t="s">
        <v>171</v>
      </c>
      <c r="V39" s="99" t="s">
        <v>201</v>
      </c>
      <c r="W39" s="99" t="s">
        <v>217</v>
      </c>
      <c r="AF39" s="1" t="s">
        <v>290</v>
      </c>
      <c r="AH39" s="79" t="s">
        <v>291</v>
      </c>
      <c r="AK39" s="106" t="s">
        <v>275</v>
      </c>
      <c r="BA39" s="474"/>
      <c r="BB39" s="475" t="s">
        <v>673</v>
      </c>
      <c r="BC39" s="469"/>
      <c r="BD39" s="469"/>
      <c r="BE39" s="469"/>
      <c r="BF39" s="469"/>
      <c r="BG39" s="469"/>
      <c r="BH39" s="469"/>
      <c r="BI39" s="469"/>
      <c r="BJ39" s="469"/>
      <c r="BK39" s="469"/>
      <c r="BL39" s="84"/>
      <c r="BM39" s="84"/>
      <c r="BN39" s="84"/>
      <c r="BO39" s="84"/>
      <c r="BP39" s="84"/>
      <c r="BQ39" s="84"/>
      <c r="BR39" s="84"/>
      <c r="BS39" s="84"/>
      <c r="BT39" s="84"/>
    </row>
    <row r="40" spans="1:72" ht="25" customHeight="1" x14ac:dyDescent="0.35">
      <c r="S40" s="387"/>
      <c r="T40" s="98"/>
      <c r="U40" s="99"/>
      <c r="V40" s="99"/>
      <c r="W40" s="99"/>
      <c r="AH40" s="79"/>
      <c r="AK40" s="106"/>
      <c r="BA40" s="84"/>
      <c r="BB40" s="84" t="s">
        <v>658</v>
      </c>
      <c r="BC40" s="469"/>
      <c r="BD40" s="469"/>
      <c r="BE40" s="469"/>
      <c r="BF40" s="469"/>
      <c r="BG40" s="469"/>
      <c r="BH40" s="469"/>
      <c r="BI40" s="469"/>
      <c r="BJ40" s="469"/>
      <c r="BK40" s="469"/>
      <c r="BL40" s="84"/>
      <c r="BM40" s="84"/>
      <c r="BN40" s="84"/>
      <c r="BO40" s="84"/>
      <c r="BP40" s="84"/>
      <c r="BQ40" s="84"/>
      <c r="BR40" s="84"/>
      <c r="BS40" s="84"/>
      <c r="BT40" s="84"/>
    </row>
    <row r="41" spans="1:72" ht="25" customHeight="1" x14ac:dyDescent="0.35">
      <c r="S41" s="387"/>
      <c r="T41" s="98">
        <v>9000000002</v>
      </c>
      <c r="U41" s="99" t="s">
        <v>174</v>
      </c>
      <c r="V41" s="99" t="s">
        <v>201</v>
      </c>
      <c r="W41" s="99" t="s">
        <v>217</v>
      </c>
      <c r="AF41" s="1" t="s">
        <v>292</v>
      </c>
      <c r="AH41" s="79" t="s">
        <v>293</v>
      </c>
      <c r="AK41" s="106" t="s">
        <v>294</v>
      </c>
    </row>
    <row r="42" spans="1:72" ht="25" customHeight="1" x14ac:dyDescent="0.35">
      <c r="B42" s="100" t="s">
        <v>166</v>
      </c>
      <c r="C42" s="101"/>
      <c r="D42" s="101"/>
      <c r="E42" s="101"/>
      <c r="F42" s="102"/>
      <c r="H42" s="100" t="s">
        <v>167</v>
      </c>
      <c r="I42" s="101"/>
      <c r="J42" s="101"/>
      <c r="K42" s="101"/>
      <c r="L42" s="101"/>
      <c r="M42" s="102"/>
      <c r="S42" s="387"/>
      <c r="T42" s="98">
        <v>9000000003</v>
      </c>
      <c r="U42" s="99" t="s">
        <v>215</v>
      </c>
      <c r="V42" s="99" t="s">
        <v>201</v>
      </c>
      <c r="W42" s="99" t="s">
        <v>217</v>
      </c>
      <c r="AF42" s="1" t="s">
        <v>295</v>
      </c>
      <c r="AH42" s="79" t="s">
        <v>296</v>
      </c>
      <c r="AK42" s="106" t="s">
        <v>297</v>
      </c>
    </row>
    <row r="43" spans="1:72" ht="25" customHeight="1" x14ac:dyDescent="0.35">
      <c r="B43" s="76">
        <v>1</v>
      </c>
      <c r="C43" s="1" t="s">
        <v>193</v>
      </c>
      <c r="F43" s="103"/>
      <c r="H43" s="76">
        <v>1</v>
      </c>
      <c r="I43" s="1" t="s">
        <v>179</v>
      </c>
      <c r="M43" s="103"/>
      <c r="S43" s="387"/>
      <c r="T43" s="98">
        <v>9000000004</v>
      </c>
      <c r="U43" s="99" t="s">
        <v>216</v>
      </c>
      <c r="V43" s="99" t="s">
        <v>201</v>
      </c>
      <c r="W43" s="99" t="s">
        <v>217</v>
      </c>
      <c r="AF43" s="1" t="s">
        <v>298</v>
      </c>
      <c r="AH43" s="79" t="s">
        <v>299</v>
      </c>
      <c r="AK43" s="106" t="s">
        <v>300</v>
      </c>
    </row>
    <row r="44" spans="1:72" ht="25" customHeight="1" x14ac:dyDescent="0.35">
      <c r="B44" s="76"/>
      <c r="D44" s="83" t="s">
        <v>195</v>
      </c>
      <c r="E44" s="83"/>
      <c r="F44" s="104" t="s">
        <v>170</v>
      </c>
      <c r="H44" s="76"/>
      <c r="J44" s="84" t="s">
        <v>148</v>
      </c>
      <c r="K44" s="84"/>
      <c r="L44" s="84"/>
      <c r="M44" s="105" t="s">
        <v>170</v>
      </c>
      <c r="S44" s="387"/>
      <c r="T44" s="98">
        <v>9000000005</v>
      </c>
      <c r="U44" s="99" t="s">
        <v>218</v>
      </c>
      <c r="V44" s="99" t="s">
        <v>201</v>
      </c>
      <c r="W44" s="99" t="s">
        <v>217</v>
      </c>
    </row>
    <row r="45" spans="1:72" ht="25" customHeight="1" x14ac:dyDescent="0.35">
      <c r="B45" s="76">
        <v>2</v>
      </c>
      <c r="C45" s="1" t="s">
        <v>172</v>
      </c>
      <c r="F45" s="103"/>
      <c r="H45" s="76">
        <v>2</v>
      </c>
      <c r="I45" s="1" t="s">
        <v>181</v>
      </c>
      <c r="M45" s="103"/>
      <c r="S45" s="388"/>
      <c r="T45" s="98">
        <v>9000000006</v>
      </c>
      <c r="U45" s="99" t="s">
        <v>219</v>
      </c>
      <c r="V45" s="99" t="s">
        <v>201</v>
      </c>
      <c r="W45" s="99" t="s">
        <v>217</v>
      </c>
    </row>
    <row r="46" spans="1:72" ht="25" customHeight="1" x14ac:dyDescent="0.35">
      <c r="B46" s="76"/>
      <c r="D46" s="83" t="s">
        <v>171</v>
      </c>
      <c r="E46" s="83"/>
      <c r="F46" s="104" t="s">
        <v>170</v>
      </c>
      <c r="H46" s="76"/>
      <c r="J46" s="84" t="s">
        <v>187</v>
      </c>
      <c r="K46" s="84"/>
      <c r="L46" s="84"/>
      <c r="M46" s="105" t="s">
        <v>171</v>
      </c>
    </row>
    <row r="47" spans="1:72" ht="25" customHeight="1" x14ac:dyDescent="0.35">
      <c r="B47" s="76">
        <v>3</v>
      </c>
      <c r="C47" s="1" t="s">
        <v>173</v>
      </c>
      <c r="F47" s="103"/>
      <c r="H47" s="76">
        <v>3</v>
      </c>
      <c r="I47" s="1" t="s">
        <v>180</v>
      </c>
      <c r="M47" s="103"/>
    </row>
    <row r="48" spans="1:72" ht="25" customHeight="1" x14ac:dyDescent="0.35">
      <c r="B48" s="76"/>
      <c r="D48" s="83" t="s">
        <v>197</v>
      </c>
      <c r="E48" s="83"/>
      <c r="F48" s="104" t="s">
        <v>170</v>
      </c>
      <c r="H48" s="76"/>
      <c r="J48" s="84" t="s">
        <v>188</v>
      </c>
      <c r="K48" s="84"/>
      <c r="L48" s="84"/>
      <c r="M48" s="105" t="s">
        <v>174</v>
      </c>
    </row>
    <row r="49" spans="2:13" ht="25" customHeight="1" x14ac:dyDescent="0.35">
      <c r="B49" s="76">
        <v>4</v>
      </c>
      <c r="C49" s="1" t="s">
        <v>175</v>
      </c>
      <c r="F49" s="103"/>
      <c r="H49" s="76">
        <v>4</v>
      </c>
      <c r="I49" s="1" t="s">
        <v>182</v>
      </c>
      <c r="M49" s="103"/>
    </row>
    <row r="50" spans="2:13" ht="25" customHeight="1" x14ac:dyDescent="0.35">
      <c r="B50" s="76"/>
      <c r="D50" s="83" t="s">
        <v>174</v>
      </c>
      <c r="E50" s="83"/>
      <c r="F50" s="104" t="s">
        <v>170</v>
      </c>
      <c r="H50" s="76"/>
      <c r="J50" s="1" t="s">
        <v>178</v>
      </c>
      <c r="M50" s="103"/>
    </row>
    <row r="51" spans="2:13" ht="25" customHeight="1" x14ac:dyDescent="0.35">
      <c r="B51" s="76">
        <v>5</v>
      </c>
      <c r="C51" s="1" t="s">
        <v>176</v>
      </c>
      <c r="F51" s="103"/>
      <c r="H51" s="76">
        <v>5</v>
      </c>
      <c r="I51" s="1" t="s">
        <v>183</v>
      </c>
      <c r="M51" s="103"/>
    </row>
    <row r="52" spans="2:13" ht="25" customHeight="1" x14ac:dyDescent="0.35">
      <c r="B52" s="76"/>
      <c r="D52" s="83" t="s">
        <v>198</v>
      </c>
      <c r="E52" s="83"/>
      <c r="F52" s="104" t="s">
        <v>170</v>
      </c>
      <c r="H52" s="76"/>
      <c r="J52" s="84" t="s">
        <v>189</v>
      </c>
      <c r="K52" s="84"/>
      <c r="L52" s="84"/>
      <c r="M52" s="105" t="s">
        <v>190</v>
      </c>
    </row>
    <row r="53" spans="2:13" x14ac:dyDescent="0.35">
      <c r="B53" s="76">
        <v>6</v>
      </c>
      <c r="C53" s="1" t="s">
        <v>194</v>
      </c>
      <c r="F53" s="103"/>
      <c r="H53" s="76">
        <v>6</v>
      </c>
      <c r="I53" s="1" t="s">
        <v>185</v>
      </c>
      <c r="M53" s="103"/>
    </row>
    <row r="54" spans="2:13" x14ac:dyDescent="0.35">
      <c r="B54" s="76"/>
      <c r="D54" s="83" t="s">
        <v>169</v>
      </c>
      <c r="E54" s="83"/>
      <c r="F54" s="104" t="s">
        <v>170</v>
      </c>
      <c r="H54" s="76"/>
      <c r="J54" s="84" t="s">
        <v>154</v>
      </c>
      <c r="K54" s="84"/>
      <c r="L54" s="84"/>
      <c r="M54" s="105" t="s">
        <v>170</v>
      </c>
    </row>
    <row r="55" spans="2:13" x14ac:dyDescent="0.35">
      <c r="B55" s="76">
        <v>7</v>
      </c>
      <c r="C55" s="1" t="s">
        <v>184</v>
      </c>
      <c r="F55" s="103"/>
      <c r="H55" s="76">
        <v>7</v>
      </c>
      <c r="I55" s="1" t="s">
        <v>177</v>
      </c>
      <c r="M55" s="103"/>
    </row>
    <row r="56" spans="2:13" x14ac:dyDescent="0.35">
      <c r="B56" s="76"/>
      <c r="D56" s="84" t="s">
        <v>196</v>
      </c>
      <c r="E56" s="84"/>
      <c r="F56" s="105" t="s">
        <v>170</v>
      </c>
      <c r="H56" s="107"/>
      <c r="J56" s="84" t="s">
        <v>191</v>
      </c>
      <c r="K56" s="84"/>
      <c r="L56" s="84"/>
      <c r="M56" s="105" t="s">
        <v>170</v>
      </c>
    </row>
    <row r="57" spans="2:13" x14ac:dyDescent="0.35">
      <c r="B57" s="76">
        <v>8</v>
      </c>
      <c r="C57" s="1" t="s">
        <v>177</v>
      </c>
      <c r="F57" s="103"/>
      <c r="H57" s="107"/>
      <c r="M57" s="103"/>
    </row>
    <row r="58" spans="2:13" x14ac:dyDescent="0.35">
      <c r="B58" s="108"/>
      <c r="C58" s="109"/>
      <c r="D58" s="109" t="s">
        <v>168</v>
      </c>
      <c r="E58" s="109"/>
      <c r="F58" s="110"/>
      <c r="H58" s="111" t="s">
        <v>192</v>
      </c>
      <c r="I58" s="109"/>
      <c r="J58" s="109"/>
      <c r="K58" s="109"/>
      <c r="L58" s="109"/>
      <c r="M58" s="110"/>
    </row>
    <row r="60" spans="2:13" x14ac:dyDescent="0.35">
      <c r="B60" s="375" t="s">
        <v>186</v>
      </c>
      <c r="C60" s="375"/>
      <c r="D60" s="375"/>
      <c r="E60" s="375"/>
      <c r="F60" s="375"/>
      <c r="G60" s="375"/>
      <c r="H60" s="375"/>
      <c r="I60" s="375"/>
      <c r="J60" s="375"/>
      <c r="K60" s="375"/>
      <c r="L60" s="375"/>
      <c r="M60" s="375"/>
    </row>
  </sheetData>
  <mergeCells count="23">
    <mergeCell ref="AK10:AK11"/>
    <mergeCell ref="AK12:AK13"/>
    <mergeCell ref="AK18:AK25"/>
    <mergeCell ref="AK26:AK35"/>
    <mergeCell ref="AK4:AK7"/>
    <mergeCell ref="AK8:AK9"/>
    <mergeCell ref="AK14:AK15"/>
    <mergeCell ref="AK16:AK17"/>
    <mergeCell ref="BB15:BM15"/>
    <mergeCell ref="BA6:BJ6"/>
    <mergeCell ref="BC35:BD36"/>
    <mergeCell ref="Y37:AD37"/>
    <mergeCell ref="Q18:Q25"/>
    <mergeCell ref="B60:M60"/>
    <mergeCell ref="S10:S11"/>
    <mergeCell ref="S12:S13"/>
    <mergeCell ref="S14:S15"/>
    <mergeCell ref="AD4:AD35"/>
    <mergeCell ref="S4:S7"/>
    <mergeCell ref="S8:S9"/>
    <mergeCell ref="S16:S25"/>
    <mergeCell ref="S26:S35"/>
    <mergeCell ref="S38:S4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71045-A738-4572-89B8-9B0088A7251A}">
  <dimension ref="A2:W31"/>
  <sheetViews>
    <sheetView zoomScale="80" zoomScaleNormal="80" workbookViewId="0"/>
  </sheetViews>
  <sheetFormatPr defaultColWidth="8.7265625" defaultRowHeight="14.5" x14ac:dyDescent="0.35"/>
  <cols>
    <col min="1" max="1" width="8.7265625" style="166"/>
    <col min="2" max="2" width="11" style="1" bestFit="1" customWidth="1"/>
    <col min="3" max="3" width="38.54296875" style="1" bestFit="1" customWidth="1"/>
    <col min="4" max="4" width="10.54296875" style="1" customWidth="1"/>
    <col min="5" max="5" width="9.26953125" style="2" bestFit="1" customWidth="1"/>
    <col min="6" max="6" width="11.7265625" style="2" bestFit="1" customWidth="1"/>
    <col min="7" max="7" width="12.7265625" style="62" bestFit="1" customWidth="1"/>
    <col min="8" max="8" width="8.7265625" style="1"/>
    <col min="9" max="9" width="8.7265625" style="166"/>
    <col min="10" max="10" width="11" style="1" bestFit="1" customWidth="1"/>
    <col min="11" max="11" width="22.7265625" style="1" bestFit="1" customWidth="1"/>
    <col min="12" max="12" width="8.7265625" style="1"/>
    <col min="13" max="13" width="9" style="2" bestFit="1" customWidth="1"/>
    <col min="14" max="14" width="9.7265625" style="2" customWidth="1"/>
    <col min="15" max="15" width="12.7265625" style="1" bestFit="1" customWidth="1"/>
    <col min="16" max="17" width="8.7265625" style="1"/>
    <col min="18" max="18" width="10" style="1" bestFit="1" customWidth="1"/>
    <col min="19" max="19" width="17.1796875" style="1" bestFit="1" customWidth="1"/>
    <col min="20" max="20" width="8.7265625" style="1"/>
    <col min="21" max="21" width="9" style="2" bestFit="1" customWidth="1"/>
    <col min="22" max="22" width="8.7265625" style="2"/>
    <col min="23" max="16384" width="8.7265625" style="1"/>
  </cols>
  <sheetData>
    <row r="2" spans="1:23" ht="15" thickBot="1" x14ac:dyDescent="0.4">
      <c r="A2" s="2" t="s">
        <v>81</v>
      </c>
      <c r="B2" s="1" t="s">
        <v>316</v>
      </c>
      <c r="D2" s="1" t="s">
        <v>315</v>
      </c>
      <c r="E2" s="2" t="s">
        <v>334</v>
      </c>
      <c r="F2" s="2" t="s">
        <v>314</v>
      </c>
      <c r="I2" s="2" t="s">
        <v>81</v>
      </c>
      <c r="J2" s="1" t="s">
        <v>316</v>
      </c>
      <c r="L2" s="1" t="s">
        <v>315</v>
      </c>
      <c r="M2" s="2" t="s">
        <v>334</v>
      </c>
      <c r="N2" s="2" t="s">
        <v>314</v>
      </c>
      <c r="Q2" s="2" t="s">
        <v>81</v>
      </c>
      <c r="R2" s="1" t="s">
        <v>316</v>
      </c>
      <c r="T2" s="1" t="s">
        <v>315</v>
      </c>
      <c r="U2" s="2" t="s">
        <v>334</v>
      </c>
      <c r="V2" s="2" t="s">
        <v>314</v>
      </c>
    </row>
    <row r="3" spans="1:23" ht="29" x14ac:dyDescent="0.35">
      <c r="A3" s="179" t="s">
        <v>310</v>
      </c>
      <c r="B3" s="173" t="s">
        <v>309</v>
      </c>
      <c r="C3" s="172" t="s">
        <v>329</v>
      </c>
      <c r="D3" s="172">
        <v>2000</v>
      </c>
      <c r="E3" s="191" t="s">
        <v>333</v>
      </c>
      <c r="F3" s="202">
        <v>2025</v>
      </c>
      <c r="G3" s="200" t="s">
        <v>338</v>
      </c>
      <c r="I3" s="179" t="s">
        <v>310</v>
      </c>
      <c r="J3" s="173" t="s">
        <v>309</v>
      </c>
      <c r="K3" s="172" t="s">
        <v>330</v>
      </c>
      <c r="L3" s="172">
        <v>2000</v>
      </c>
      <c r="M3" s="191" t="s">
        <v>333</v>
      </c>
      <c r="N3" s="202">
        <v>2025</v>
      </c>
      <c r="O3" s="201" t="s">
        <v>339</v>
      </c>
      <c r="Q3" s="166"/>
      <c r="R3" s="85"/>
      <c r="S3" s="189" t="s">
        <v>325</v>
      </c>
      <c r="T3" s="189">
        <v>0</v>
      </c>
      <c r="U3" s="199"/>
      <c r="V3" s="210">
        <v>2025</v>
      </c>
      <c r="W3" s="190" t="s">
        <v>108</v>
      </c>
    </row>
    <row r="4" spans="1:23" x14ac:dyDescent="0.35">
      <c r="B4" s="48"/>
      <c r="C4" s="188" t="s">
        <v>307</v>
      </c>
      <c r="F4" s="187"/>
      <c r="J4" s="48"/>
      <c r="K4" s="188" t="s">
        <v>307</v>
      </c>
      <c r="N4" s="187"/>
      <c r="Q4" s="166"/>
      <c r="R4" s="48"/>
      <c r="S4" s="188" t="s">
        <v>307</v>
      </c>
      <c r="V4" s="187"/>
    </row>
    <row r="5" spans="1:23" x14ac:dyDescent="0.35">
      <c r="B5" s="48"/>
      <c r="C5" s="174" t="s">
        <v>308</v>
      </c>
      <c r="D5" s="168">
        <v>-200</v>
      </c>
      <c r="E5" s="192"/>
      <c r="F5" s="203">
        <v>2026</v>
      </c>
      <c r="I5" s="179" t="s">
        <v>310</v>
      </c>
      <c r="J5" s="171" t="s">
        <v>305</v>
      </c>
      <c r="K5" s="175" t="s">
        <v>312</v>
      </c>
      <c r="L5" s="84">
        <v>-200</v>
      </c>
      <c r="M5" s="197" t="s">
        <v>333</v>
      </c>
      <c r="N5" s="208">
        <v>2026</v>
      </c>
      <c r="Q5" s="179" t="s">
        <v>310</v>
      </c>
      <c r="R5" s="171" t="s">
        <v>305</v>
      </c>
      <c r="S5" s="175" t="s">
        <v>328</v>
      </c>
      <c r="T5" s="84">
        <v>-200</v>
      </c>
      <c r="U5" s="197" t="s">
        <v>333</v>
      </c>
      <c r="V5" s="208">
        <v>2026</v>
      </c>
    </row>
    <row r="6" spans="1:23" x14ac:dyDescent="0.35">
      <c r="B6" s="48"/>
      <c r="C6" s="174" t="s">
        <v>306</v>
      </c>
      <c r="D6" s="168">
        <v>-300</v>
      </c>
      <c r="E6" s="192"/>
      <c r="F6" s="203">
        <v>2026</v>
      </c>
      <c r="I6" s="179" t="s">
        <v>310</v>
      </c>
      <c r="J6" s="171" t="s">
        <v>305</v>
      </c>
      <c r="K6" s="175" t="s">
        <v>311</v>
      </c>
      <c r="L6" s="84">
        <v>-300</v>
      </c>
      <c r="M6" s="197" t="s">
        <v>333</v>
      </c>
      <c r="N6" s="208">
        <v>2026</v>
      </c>
      <c r="Q6" s="179" t="s">
        <v>310</v>
      </c>
      <c r="R6" s="171" t="s">
        <v>305</v>
      </c>
      <c r="S6" s="175" t="s">
        <v>327</v>
      </c>
      <c r="T6" s="84">
        <v>-300</v>
      </c>
      <c r="U6" s="197" t="s">
        <v>333</v>
      </c>
      <c r="V6" s="208">
        <v>2026</v>
      </c>
    </row>
    <row r="7" spans="1:23" x14ac:dyDescent="0.35">
      <c r="B7" s="48"/>
      <c r="C7" s="174" t="s">
        <v>317</v>
      </c>
      <c r="D7" s="168">
        <v>400</v>
      </c>
      <c r="E7" s="192"/>
      <c r="F7" s="203">
        <v>2026</v>
      </c>
      <c r="I7" s="179" t="s">
        <v>310</v>
      </c>
      <c r="J7" s="171" t="s">
        <v>305</v>
      </c>
      <c r="K7" s="175" t="s">
        <v>318</v>
      </c>
      <c r="L7" s="84">
        <v>400</v>
      </c>
      <c r="M7" s="197" t="s">
        <v>333</v>
      </c>
      <c r="N7" s="208">
        <v>2026</v>
      </c>
      <c r="Q7" s="179" t="s">
        <v>310</v>
      </c>
      <c r="R7" s="171" t="s">
        <v>305</v>
      </c>
      <c r="S7" s="175" t="s">
        <v>326</v>
      </c>
      <c r="T7" s="84">
        <v>400</v>
      </c>
      <c r="U7" s="197" t="s">
        <v>333</v>
      </c>
      <c r="V7" s="208">
        <v>2026</v>
      </c>
    </row>
    <row r="8" spans="1:23" x14ac:dyDescent="0.35">
      <c r="B8" s="48"/>
      <c r="F8" s="187"/>
      <c r="J8" s="48"/>
      <c r="N8" s="187"/>
      <c r="Q8" s="166"/>
      <c r="R8" s="48"/>
      <c r="V8" s="187"/>
    </row>
    <row r="9" spans="1:23" ht="15" thickBot="1" x14ac:dyDescent="0.4">
      <c r="A9" s="179" t="s">
        <v>310</v>
      </c>
      <c r="B9" s="176" t="s">
        <v>305</v>
      </c>
      <c r="C9" s="177" t="s">
        <v>329</v>
      </c>
      <c r="D9" s="177">
        <f>D3+D5+D6+D7</f>
        <v>1900</v>
      </c>
      <c r="E9" s="193" t="s">
        <v>333</v>
      </c>
      <c r="F9" s="204">
        <v>2026</v>
      </c>
      <c r="J9" s="91"/>
      <c r="K9" s="170" t="s">
        <v>330</v>
      </c>
      <c r="L9" s="170">
        <f>L3+L5+L6+L7</f>
        <v>1900</v>
      </c>
      <c r="M9" s="198"/>
      <c r="N9" s="209">
        <v>2026</v>
      </c>
      <c r="Q9" s="166"/>
      <c r="R9" s="91"/>
      <c r="S9" s="170" t="s">
        <v>325</v>
      </c>
      <c r="T9" s="170">
        <f>T3+T5+T6+T7</f>
        <v>-100</v>
      </c>
      <c r="U9" s="198"/>
      <c r="V9" s="209">
        <v>2026</v>
      </c>
    </row>
    <row r="10" spans="1:23" ht="15" thickBot="1" x14ac:dyDescent="0.4"/>
    <row r="11" spans="1:23" ht="29" x14ac:dyDescent="0.35">
      <c r="A11" s="179" t="s">
        <v>310</v>
      </c>
      <c r="B11" s="173" t="s">
        <v>309</v>
      </c>
      <c r="C11" s="178" t="s">
        <v>319</v>
      </c>
      <c r="D11" s="172">
        <v>2000</v>
      </c>
      <c r="E11" s="191" t="s">
        <v>333</v>
      </c>
      <c r="F11" s="202">
        <v>2025</v>
      </c>
      <c r="G11" s="200" t="s">
        <v>338</v>
      </c>
    </row>
    <row r="12" spans="1:23" x14ac:dyDescent="0.35">
      <c r="B12" s="48"/>
      <c r="C12" s="188" t="s">
        <v>307</v>
      </c>
      <c r="F12" s="187"/>
    </row>
    <row r="13" spans="1:23" x14ac:dyDescent="0.35">
      <c r="B13" s="48"/>
      <c r="C13" s="174" t="s">
        <v>308</v>
      </c>
      <c r="D13" s="168">
        <v>-200</v>
      </c>
      <c r="E13" s="192"/>
      <c r="F13" s="203">
        <v>2026</v>
      </c>
    </row>
    <row r="14" spans="1:23" x14ac:dyDescent="0.35">
      <c r="B14" s="48"/>
      <c r="C14" s="174" t="s">
        <v>306</v>
      </c>
      <c r="D14" s="168">
        <v>-300</v>
      </c>
      <c r="E14" s="192"/>
      <c r="F14" s="203">
        <v>2026</v>
      </c>
    </row>
    <row r="15" spans="1:23" x14ac:dyDescent="0.35">
      <c r="B15" s="48"/>
      <c r="C15" s="174" t="s">
        <v>317</v>
      </c>
      <c r="D15" s="168">
        <v>400</v>
      </c>
      <c r="E15" s="192"/>
      <c r="F15" s="203">
        <v>2026</v>
      </c>
    </row>
    <row r="16" spans="1:23" x14ac:dyDescent="0.35">
      <c r="B16" s="48"/>
      <c r="F16" s="187"/>
    </row>
    <row r="17" spans="1:7" ht="29.5" thickBot="1" x14ac:dyDescent="0.4">
      <c r="A17" s="180" t="s">
        <v>313</v>
      </c>
      <c r="B17" s="167" t="s">
        <v>305</v>
      </c>
      <c r="C17" s="169" t="s">
        <v>320</v>
      </c>
      <c r="D17" s="28">
        <f>D11+D13+D14+D15</f>
        <v>1900</v>
      </c>
      <c r="E17" s="196" t="s">
        <v>335</v>
      </c>
      <c r="F17" s="205">
        <v>2026</v>
      </c>
    </row>
    <row r="18" spans="1:7" ht="15" thickBot="1" x14ac:dyDescent="0.4"/>
    <row r="19" spans="1:7" ht="29" x14ac:dyDescent="0.35">
      <c r="A19" s="179" t="s">
        <v>310</v>
      </c>
      <c r="B19" s="173" t="s">
        <v>309</v>
      </c>
      <c r="C19" s="178" t="s">
        <v>331</v>
      </c>
      <c r="D19" s="172">
        <v>2000</v>
      </c>
      <c r="E19" s="191" t="s">
        <v>333</v>
      </c>
      <c r="F19" s="202">
        <v>2025</v>
      </c>
      <c r="G19" s="200" t="s">
        <v>338</v>
      </c>
    </row>
    <row r="20" spans="1:7" x14ac:dyDescent="0.35">
      <c r="B20" s="48"/>
      <c r="C20" s="188" t="s">
        <v>307</v>
      </c>
      <c r="F20" s="187"/>
    </row>
    <row r="21" spans="1:7" x14ac:dyDescent="0.35">
      <c r="B21" s="48"/>
      <c r="C21" s="168" t="s">
        <v>312</v>
      </c>
      <c r="D21" s="168">
        <v>-200</v>
      </c>
      <c r="E21" s="192"/>
      <c r="F21" s="203">
        <v>2026</v>
      </c>
    </row>
    <row r="22" spans="1:7" x14ac:dyDescent="0.35">
      <c r="B22" s="48"/>
      <c r="C22" s="168" t="s">
        <v>311</v>
      </c>
      <c r="D22" s="168">
        <v>-300</v>
      </c>
      <c r="E22" s="192"/>
      <c r="F22" s="203">
        <v>2026</v>
      </c>
    </row>
    <row r="23" spans="1:7" x14ac:dyDescent="0.35">
      <c r="B23" s="48"/>
      <c r="F23" s="187"/>
    </row>
    <row r="24" spans="1:7" ht="15" thickBot="1" x14ac:dyDescent="0.4">
      <c r="A24" s="183" t="s">
        <v>282</v>
      </c>
      <c r="B24" s="181" t="s">
        <v>305</v>
      </c>
      <c r="C24" s="182" t="s">
        <v>321</v>
      </c>
      <c r="D24" s="182">
        <f>D19+D21+D22</f>
        <v>1500</v>
      </c>
      <c r="E24" s="194" t="s">
        <v>336</v>
      </c>
      <c r="F24" s="206">
        <v>2026</v>
      </c>
    </row>
    <row r="25" spans="1:7" ht="15" thickBot="1" x14ac:dyDescent="0.4"/>
    <row r="26" spans="1:7" ht="29" x14ac:dyDescent="0.35">
      <c r="A26" s="179" t="s">
        <v>310</v>
      </c>
      <c r="B26" s="173" t="s">
        <v>309</v>
      </c>
      <c r="C26" s="178" t="s">
        <v>332</v>
      </c>
      <c r="D26" s="172">
        <v>2000</v>
      </c>
      <c r="E26" s="191" t="s">
        <v>333</v>
      </c>
      <c r="F26" s="202">
        <v>2025</v>
      </c>
      <c r="G26" s="200" t="s">
        <v>338</v>
      </c>
    </row>
    <row r="27" spans="1:7" x14ac:dyDescent="0.35">
      <c r="B27" s="48"/>
      <c r="C27" s="188" t="s">
        <v>307</v>
      </c>
      <c r="F27" s="187"/>
    </row>
    <row r="28" spans="1:7" x14ac:dyDescent="0.35">
      <c r="B28" s="48"/>
      <c r="C28" s="174" t="s">
        <v>312</v>
      </c>
      <c r="D28" s="168">
        <v>-200</v>
      </c>
      <c r="E28" s="192"/>
      <c r="F28" s="203">
        <v>2026</v>
      </c>
    </row>
    <row r="29" spans="1:7" x14ac:dyDescent="0.35">
      <c r="B29" s="48"/>
      <c r="C29" s="174" t="s">
        <v>311</v>
      </c>
      <c r="D29" s="168">
        <v>-300</v>
      </c>
      <c r="E29" s="192"/>
      <c r="F29" s="203">
        <v>2026</v>
      </c>
    </row>
    <row r="30" spans="1:7" x14ac:dyDescent="0.35">
      <c r="B30" s="48"/>
      <c r="F30" s="187"/>
    </row>
    <row r="31" spans="1:7" ht="15" thickBot="1" x14ac:dyDescent="0.4">
      <c r="A31" s="184" t="s">
        <v>86</v>
      </c>
      <c r="B31" s="185" t="s">
        <v>305</v>
      </c>
      <c r="C31" s="186" t="s">
        <v>322</v>
      </c>
      <c r="D31" s="186">
        <f>D26+D28+D29</f>
        <v>1500</v>
      </c>
      <c r="E31" s="195" t="s">
        <v>337</v>
      </c>
      <c r="F31" s="207">
        <v>2026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BFDC-3E36-40B6-9F0D-F52B4B11C898}">
  <dimension ref="A1:AF145"/>
  <sheetViews>
    <sheetView showGridLines="0" topLeftCell="A93" zoomScale="80" zoomScaleNormal="80" workbookViewId="0">
      <selection activeCell="Y92" sqref="Y92"/>
    </sheetView>
  </sheetViews>
  <sheetFormatPr defaultColWidth="9.1796875" defaultRowHeight="12.5" x14ac:dyDescent="0.25"/>
  <cols>
    <col min="1" max="1" width="14.81640625" style="281" bestFit="1" customWidth="1"/>
    <col min="2" max="2" width="12.7265625" style="281" customWidth="1"/>
    <col min="3" max="3" width="18.453125" style="281" bestFit="1" customWidth="1"/>
    <col min="4" max="4" width="35.453125" style="281" customWidth="1"/>
    <col min="5" max="5" width="11.54296875" style="281" bestFit="1" customWidth="1"/>
    <col min="6" max="6" width="17.54296875" style="281" customWidth="1"/>
    <col min="7" max="7" width="16.54296875" style="281" customWidth="1"/>
    <col min="8" max="8" width="18.1796875" style="281" customWidth="1"/>
    <col min="9" max="9" width="12.1796875" style="281" bestFit="1" customWidth="1"/>
    <col min="10" max="10" width="10.7265625" style="281" bestFit="1" customWidth="1"/>
    <col min="11" max="11" width="10" style="281" hidden="1" customWidth="1"/>
    <col min="12" max="12" width="10.26953125" style="281" hidden="1" customWidth="1"/>
    <col min="13" max="13" width="9.81640625" style="281" hidden="1" customWidth="1"/>
    <col min="14" max="14" width="10" style="281" hidden="1" customWidth="1"/>
    <col min="15" max="16" width="10.26953125" style="281" hidden="1" customWidth="1"/>
    <col min="17" max="17" width="11" style="281" bestFit="1" customWidth="1"/>
    <col min="18" max="18" width="9.7265625" style="281" hidden="1" customWidth="1"/>
    <col min="19" max="19" width="10" style="281" hidden="1" customWidth="1"/>
    <col min="20" max="20" width="9.81640625" style="281" hidden="1" customWidth="1"/>
    <col min="21" max="21" width="10" style="281" hidden="1" customWidth="1"/>
    <col min="22" max="23" width="10.26953125" style="281" hidden="1" customWidth="1"/>
    <col min="24" max="24" width="11.81640625" style="281" bestFit="1" customWidth="1"/>
    <col min="25" max="25" width="15" style="281" customWidth="1"/>
    <col min="26" max="26" width="10.54296875" style="281" bestFit="1" customWidth="1"/>
    <col min="27" max="27" width="17.81640625" style="281" customWidth="1"/>
    <col min="28" max="28" width="17.26953125" style="281" customWidth="1"/>
    <col min="29" max="29" width="12.26953125" style="281" customWidth="1"/>
    <col min="30" max="30" width="16.26953125" style="281" bestFit="1" customWidth="1"/>
    <col min="31" max="31" width="10" style="281" bestFit="1" customWidth="1"/>
    <col min="32" max="32" width="13.453125" style="281" bestFit="1" customWidth="1"/>
    <col min="33" max="16384" width="9.1796875" style="281"/>
  </cols>
  <sheetData>
    <row r="1" spans="1:28" s="265" customFormat="1" ht="13" x14ac:dyDescent="0.3">
      <c r="A1" s="250" t="s">
        <v>544</v>
      </c>
      <c r="B1" s="251"/>
      <c r="C1" s="252" t="s">
        <v>545</v>
      </c>
      <c r="D1" s="253" t="s">
        <v>203</v>
      </c>
      <c r="E1" s="254"/>
      <c r="F1" s="253"/>
      <c r="G1" s="255"/>
      <c r="H1" s="256"/>
      <c r="I1" s="256"/>
      <c r="J1" s="257" t="s">
        <v>546</v>
      </c>
      <c r="K1" s="258"/>
      <c r="L1" s="258"/>
      <c r="M1" s="258"/>
      <c r="N1" s="258"/>
      <c r="O1" s="258"/>
      <c r="P1" s="258"/>
      <c r="Q1" s="259" t="s">
        <v>547</v>
      </c>
      <c r="R1" s="260"/>
      <c r="S1" s="260"/>
      <c r="T1" s="260"/>
      <c r="U1" s="260"/>
      <c r="V1" s="260"/>
      <c r="W1" s="260"/>
      <c r="X1" s="261" t="s">
        <v>548</v>
      </c>
      <c r="Y1" s="262"/>
      <c r="Z1" s="263"/>
      <c r="AA1" s="263"/>
      <c r="AB1" s="264"/>
    </row>
    <row r="2" spans="1:28" s="273" customFormat="1" ht="26" x14ac:dyDescent="0.3">
      <c r="A2" s="266" t="s">
        <v>549</v>
      </c>
      <c r="B2" s="266"/>
      <c r="C2" s="267"/>
      <c r="D2" s="268" t="s">
        <v>550</v>
      </c>
      <c r="E2" s="268" t="s">
        <v>551</v>
      </c>
      <c r="F2" s="268" t="s">
        <v>552</v>
      </c>
      <c r="G2" s="269" t="s">
        <v>552</v>
      </c>
      <c r="H2" s="268" t="s">
        <v>203</v>
      </c>
      <c r="I2" s="269" t="s">
        <v>203</v>
      </c>
      <c r="J2" s="270" t="s">
        <v>553</v>
      </c>
      <c r="K2" s="270" t="s">
        <v>554</v>
      </c>
      <c r="L2" s="270" t="s">
        <v>555</v>
      </c>
      <c r="M2" s="270" t="s">
        <v>556</v>
      </c>
      <c r="N2" s="270" t="s">
        <v>557</v>
      </c>
      <c r="O2" s="270" t="s">
        <v>558</v>
      </c>
      <c r="P2" s="270" t="s">
        <v>559</v>
      </c>
      <c r="Q2" s="271" t="s">
        <v>553</v>
      </c>
      <c r="R2" s="271" t="s">
        <v>554</v>
      </c>
      <c r="S2" s="271" t="s">
        <v>555</v>
      </c>
      <c r="T2" s="271" t="s">
        <v>556</v>
      </c>
      <c r="U2" s="271" t="s">
        <v>557</v>
      </c>
      <c r="V2" s="271" t="s">
        <v>560</v>
      </c>
      <c r="W2" s="271" t="s">
        <v>559</v>
      </c>
      <c r="X2" s="272" t="s">
        <v>552</v>
      </c>
      <c r="Y2" s="272" t="s">
        <v>561</v>
      </c>
      <c r="Z2" s="272" t="s">
        <v>203</v>
      </c>
      <c r="AA2" s="272" t="s">
        <v>546</v>
      </c>
      <c r="AB2" s="272" t="s">
        <v>547</v>
      </c>
    </row>
    <row r="3" spans="1:28" ht="13" x14ac:dyDescent="0.3">
      <c r="A3" s="274" t="s">
        <v>562</v>
      </c>
      <c r="B3" s="274" t="s">
        <v>563</v>
      </c>
      <c r="C3" s="275" t="s">
        <v>564</v>
      </c>
      <c r="D3" s="276" t="s">
        <v>565</v>
      </c>
      <c r="E3" s="276"/>
      <c r="F3" s="276" t="s">
        <v>566</v>
      </c>
      <c r="G3" s="277" t="s">
        <v>567</v>
      </c>
      <c r="H3" s="276" t="s">
        <v>566</v>
      </c>
      <c r="I3" s="277" t="s">
        <v>567</v>
      </c>
      <c r="J3" s="278" t="s">
        <v>568</v>
      </c>
      <c r="K3" s="278" t="s">
        <v>569</v>
      </c>
      <c r="L3" s="278" t="s">
        <v>570</v>
      </c>
      <c r="M3" s="278" t="s">
        <v>571</v>
      </c>
      <c r="N3" s="278" t="s">
        <v>572</v>
      </c>
      <c r="O3" s="278" t="s">
        <v>573</v>
      </c>
      <c r="P3" s="278" t="s">
        <v>574</v>
      </c>
      <c r="Q3" s="279" t="s">
        <v>575</v>
      </c>
      <c r="R3" s="279" t="s">
        <v>576</v>
      </c>
      <c r="S3" s="279" t="s">
        <v>251</v>
      </c>
      <c r="T3" s="279" t="s">
        <v>577</v>
      </c>
      <c r="U3" s="279" t="s">
        <v>578</v>
      </c>
      <c r="V3" s="279" t="s">
        <v>253</v>
      </c>
      <c r="W3" s="279" t="s">
        <v>579</v>
      </c>
      <c r="X3" s="280"/>
      <c r="Y3" s="280"/>
      <c r="Z3" s="280"/>
      <c r="AA3" s="280"/>
      <c r="AB3" s="280"/>
    </row>
    <row r="4" spans="1:28" x14ac:dyDescent="0.25">
      <c r="A4" s="282">
        <v>1100</v>
      </c>
      <c r="B4" s="283">
        <v>46022</v>
      </c>
      <c r="C4" s="284" t="s">
        <v>580</v>
      </c>
      <c r="D4" s="282" t="s">
        <v>581</v>
      </c>
      <c r="E4" s="282" t="s">
        <v>582</v>
      </c>
      <c r="F4" s="285"/>
      <c r="G4" s="286">
        <v>436000</v>
      </c>
      <c r="H4" s="286"/>
      <c r="I4" s="286">
        <v>396222.66</v>
      </c>
      <c r="J4" s="285"/>
      <c r="K4" s="285"/>
      <c r="L4" s="285"/>
      <c r="M4" s="285"/>
      <c r="N4" s="285"/>
      <c r="O4" s="285"/>
      <c r="P4" s="285"/>
      <c r="Q4" s="285">
        <f t="shared" ref="Q4:W4" si="0">SUM(J4:J5)</f>
        <v>396222.66000000003</v>
      </c>
      <c r="R4" s="287">
        <f t="shared" si="0"/>
        <v>0</v>
      </c>
      <c r="S4" s="287">
        <f t="shared" si="0"/>
        <v>0</v>
      </c>
      <c r="T4" s="287">
        <f t="shared" si="0"/>
        <v>0</v>
      </c>
      <c r="U4" s="287">
        <f t="shared" si="0"/>
        <v>0</v>
      </c>
      <c r="V4" s="287">
        <f t="shared" si="0"/>
        <v>0</v>
      </c>
      <c r="W4" s="287">
        <f t="shared" si="0"/>
        <v>0</v>
      </c>
      <c r="X4" s="288">
        <f t="shared" ref="X4:X7" si="1">G4</f>
        <v>436000</v>
      </c>
      <c r="Y4" s="288">
        <f>IF(Z4&gt;X4,Z4-X4,0)</f>
        <v>0</v>
      </c>
      <c r="Z4" s="288">
        <f>I4</f>
        <v>396222.66</v>
      </c>
      <c r="AA4" s="288">
        <f t="shared" ref="AA4:AA7" si="2">SUM(J4:P4)</f>
        <v>0</v>
      </c>
      <c r="AB4" s="288">
        <f t="shared" ref="AB4:AB7" si="3">SUM(Q4:W4)</f>
        <v>396222.66000000003</v>
      </c>
    </row>
    <row r="5" spans="1:28" ht="12" customHeight="1" x14ac:dyDescent="0.25">
      <c r="A5" s="282">
        <v>1100</v>
      </c>
      <c r="B5" s="283">
        <v>46022</v>
      </c>
      <c r="C5" s="284" t="s">
        <v>583</v>
      </c>
      <c r="D5" s="282" t="s">
        <v>581</v>
      </c>
      <c r="E5" s="282" t="s">
        <v>582</v>
      </c>
      <c r="F5" s="285"/>
      <c r="G5" s="286"/>
      <c r="H5" s="286"/>
      <c r="I5" s="286"/>
      <c r="J5" s="285">
        <v>396222.66000000003</v>
      </c>
      <c r="K5" s="285" t="s">
        <v>584</v>
      </c>
      <c r="L5" s="285" t="s">
        <v>584</v>
      </c>
      <c r="M5" s="285" t="s">
        <v>584</v>
      </c>
      <c r="N5" s="285" t="s">
        <v>584</v>
      </c>
      <c r="O5" s="285" t="s">
        <v>584</v>
      </c>
      <c r="P5" s="285" t="s">
        <v>584</v>
      </c>
      <c r="Q5" s="285"/>
      <c r="R5" s="285"/>
      <c r="S5" s="285"/>
      <c r="T5" s="285"/>
      <c r="U5" s="285"/>
      <c r="V5" s="285"/>
      <c r="W5" s="285"/>
      <c r="X5" s="288">
        <f t="shared" si="1"/>
        <v>0</v>
      </c>
      <c r="Y5" s="288">
        <f t="shared" ref="Y5" si="4">IF(Z5&gt;X5,Z5-X5,0)</f>
        <v>0</v>
      </c>
      <c r="Z5" s="288">
        <f t="shared" ref="Z5" si="5">I5</f>
        <v>0</v>
      </c>
      <c r="AA5" s="288">
        <f t="shared" si="2"/>
        <v>396222.66000000003</v>
      </c>
      <c r="AB5" s="288">
        <f t="shared" si="3"/>
        <v>0</v>
      </c>
    </row>
    <row r="6" spans="1:28" x14ac:dyDescent="0.25">
      <c r="A6" s="282">
        <v>1100</v>
      </c>
      <c r="B6" s="283">
        <v>46053</v>
      </c>
      <c r="C6" s="284" t="s">
        <v>580</v>
      </c>
      <c r="D6" s="282" t="s">
        <v>581</v>
      </c>
      <c r="E6" s="282" t="s">
        <v>582</v>
      </c>
      <c r="F6" s="285"/>
      <c r="G6" s="286">
        <v>436000</v>
      </c>
      <c r="H6" s="286"/>
      <c r="I6" s="286">
        <v>401650.56</v>
      </c>
      <c r="J6" s="285"/>
      <c r="K6" s="285"/>
      <c r="L6" s="285"/>
      <c r="M6" s="285"/>
      <c r="N6" s="285"/>
      <c r="O6" s="285"/>
      <c r="P6" s="285"/>
      <c r="Q6" s="285">
        <f t="shared" ref="Q6:W6" si="6">SUM(J6:J8)</f>
        <v>401650.56000000006</v>
      </c>
      <c r="R6" s="287">
        <f t="shared" si="6"/>
        <v>0</v>
      </c>
      <c r="S6" s="287">
        <f t="shared" si="6"/>
        <v>0</v>
      </c>
      <c r="T6" s="287">
        <f t="shared" si="6"/>
        <v>0</v>
      </c>
      <c r="U6" s="287">
        <f t="shared" si="6"/>
        <v>0</v>
      </c>
      <c r="V6" s="287">
        <f t="shared" si="6"/>
        <v>0</v>
      </c>
      <c r="W6" s="287">
        <f t="shared" si="6"/>
        <v>0</v>
      </c>
      <c r="X6" s="288">
        <f t="shared" si="1"/>
        <v>436000</v>
      </c>
      <c r="Y6" s="288">
        <f>IF(Z6&gt;X6,Z6-X6,0)</f>
        <v>0</v>
      </c>
      <c r="Z6" s="288">
        <f>I6</f>
        <v>401650.56</v>
      </c>
      <c r="AA6" s="288">
        <f t="shared" si="2"/>
        <v>0</v>
      </c>
      <c r="AB6" s="288">
        <f t="shared" si="3"/>
        <v>401650.56000000006</v>
      </c>
    </row>
    <row r="7" spans="1:28" ht="12" customHeight="1" x14ac:dyDescent="0.25">
      <c r="A7" s="282">
        <v>1100</v>
      </c>
      <c r="B7" s="283">
        <v>46053</v>
      </c>
      <c r="C7" s="284" t="s">
        <v>583</v>
      </c>
      <c r="D7" s="282" t="s">
        <v>581</v>
      </c>
      <c r="E7" s="282" t="s">
        <v>582</v>
      </c>
      <c r="F7" s="285"/>
      <c r="G7" s="286"/>
      <c r="H7" s="286"/>
      <c r="I7" s="286"/>
      <c r="J7" s="285">
        <v>401650.56000000006</v>
      </c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8">
        <f t="shared" si="1"/>
        <v>0</v>
      </c>
      <c r="Y7" s="288">
        <f t="shared" ref="Y7" si="7">IF(Z7&gt;X7,Z7-X7,0)</f>
        <v>0</v>
      </c>
      <c r="Z7" s="288">
        <f t="shared" ref="Z7" si="8">I7</f>
        <v>0</v>
      </c>
      <c r="AA7" s="288">
        <f t="shared" si="2"/>
        <v>401650.56000000006</v>
      </c>
      <c r="AB7" s="288">
        <f t="shared" si="3"/>
        <v>0</v>
      </c>
    </row>
    <row r="10" spans="1:28" s="293" customFormat="1" ht="17.649999999999999" customHeight="1" x14ac:dyDescent="0.35">
      <c r="A10" s="289">
        <v>1</v>
      </c>
      <c r="B10" s="290" t="s">
        <v>585</v>
      </c>
      <c r="C10" s="291"/>
      <c r="D10" s="291"/>
      <c r="E10" s="291"/>
      <c r="F10" s="291"/>
      <c r="G10" s="291"/>
      <c r="H10" s="291"/>
      <c r="I10" s="291"/>
      <c r="J10" s="292"/>
    </row>
    <row r="12" spans="1:28" ht="13" x14ac:dyDescent="0.3">
      <c r="B12" s="294" t="s">
        <v>316</v>
      </c>
      <c r="C12" s="294" t="s">
        <v>586</v>
      </c>
      <c r="D12" s="294" t="s">
        <v>214</v>
      </c>
      <c r="E12" s="294" t="s">
        <v>315</v>
      </c>
      <c r="F12" s="294" t="s">
        <v>587</v>
      </c>
      <c r="G12" s="294" t="s">
        <v>588</v>
      </c>
    </row>
    <row r="13" spans="1:28" ht="14.5" x14ac:dyDescent="0.25">
      <c r="B13" s="295">
        <v>46022</v>
      </c>
      <c r="C13" s="296" t="s">
        <v>589</v>
      </c>
      <c r="D13" s="296" t="s">
        <v>590</v>
      </c>
      <c r="E13" s="297">
        <v>396222.66</v>
      </c>
      <c r="F13" s="296" t="s">
        <v>587</v>
      </c>
      <c r="G13" s="298"/>
    </row>
    <row r="14" spans="1:28" ht="14.5" x14ac:dyDescent="0.25">
      <c r="B14" s="295">
        <v>46022</v>
      </c>
      <c r="C14" s="296" t="s">
        <v>568</v>
      </c>
      <c r="D14" s="296" t="s">
        <v>591</v>
      </c>
      <c r="E14" s="297">
        <v>396222.66</v>
      </c>
      <c r="F14" s="296" t="s">
        <v>587</v>
      </c>
      <c r="G14" s="298"/>
    </row>
    <row r="15" spans="1:28" ht="14.5" x14ac:dyDescent="0.25">
      <c r="B15" s="295">
        <v>46022</v>
      </c>
      <c r="C15" s="296" t="s">
        <v>592</v>
      </c>
      <c r="D15" s="296" t="s">
        <v>593</v>
      </c>
      <c r="E15" s="297">
        <v>39777.339999999997</v>
      </c>
      <c r="F15" s="296" t="s">
        <v>587</v>
      </c>
      <c r="G15" s="298"/>
    </row>
    <row r="16" spans="1:28" ht="14.5" x14ac:dyDescent="0.25">
      <c r="B16" s="295">
        <v>46022</v>
      </c>
      <c r="C16" s="296" t="s">
        <v>594</v>
      </c>
      <c r="D16" s="296" t="s">
        <v>595</v>
      </c>
      <c r="E16" s="299">
        <v>-436000</v>
      </c>
      <c r="F16" s="296" t="s">
        <v>587</v>
      </c>
      <c r="G16" s="298"/>
    </row>
    <row r="17" spans="1:10" ht="14.5" x14ac:dyDescent="0.25">
      <c r="B17" s="295">
        <v>46022</v>
      </c>
      <c r="C17" s="296" t="s">
        <v>589</v>
      </c>
      <c r="D17" s="296" t="s">
        <v>590</v>
      </c>
      <c r="E17" s="299">
        <v>-396222.66</v>
      </c>
      <c r="F17" s="296" t="s">
        <v>596</v>
      </c>
      <c r="G17" s="298"/>
    </row>
    <row r="18" spans="1:10" ht="14.5" x14ac:dyDescent="0.25">
      <c r="B18" s="295">
        <v>46022</v>
      </c>
      <c r="C18" s="296" t="s">
        <v>568</v>
      </c>
      <c r="D18" s="296" t="s">
        <v>591</v>
      </c>
      <c r="E18" s="299">
        <v>-396222.66</v>
      </c>
      <c r="F18" s="296" t="s">
        <v>596</v>
      </c>
      <c r="G18" s="298"/>
    </row>
    <row r="19" spans="1:10" ht="14.5" x14ac:dyDescent="0.25">
      <c r="B19" s="295">
        <v>46022</v>
      </c>
      <c r="C19" s="296" t="s">
        <v>592</v>
      </c>
      <c r="D19" s="296" t="s">
        <v>593</v>
      </c>
      <c r="E19" s="299">
        <v>-39777.339999999997</v>
      </c>
      <c r="F19" s="296" t="s">
        <v>596</v>
      </c>
      <c r="G19" s="298"/>
    </row>
    <row r="20" spans="1:10" ht="14.5" x14ac:dyDescent="0.25">
      <c r="B20" s="295">
        <v>46022</v>
      </c>
      <c r="C20" s="296" t="s">
        <v>594</v>
      </c>
      <c r="D20" s="296" t="s">
        <v>595</v>
      </c>
      <c r="E20" s="297">
        <v>436000</v>
      </c>
      <c r="F20" s="296" t="s">
        <v>596</v>
      </c>
      <c r="G20" s="298"/>
    </row>
    <row r="23" spans="1:10" s="293" customFormat="1" ht="17.649999999999999" customHeight="1" x14ac:dyDescent="0.35">
      <c r="A23" s="289">
        <v>2</v>
      </c>
      <c r="B23" s="290" t="s">
        <v>597</v>
      </c>
      <c r="C23" s="291"/>
      <c r="D23" s="291"/>
      <c r="E23" s="291"/>
      <c r="F23" s="291"/>
      <c r="G23" s="291"/>
      <c r="H23" s="291"/>
      <c r="I23" s="291"/>
      <c r="J23" s="292"/>
    </row>
    <row r="25" spans="1:10" ht="13" x14ac:dyDescent="0.3">
      <c r="B25" s="294" t="s">
        <v>316</v>
      </c>
      <c r="C25" s="294" t="s">
        <v>586</v>
      </c>
      <c r="D25" s="294" t="s">
        <v>214</v>
      </c>
      <c r="E25" s="294" t="s">
        <v>315</v>
      </c>
      <c r="F25" s="294" t="s">
        <v>587</v>
      </c>
      <c r="G25" s="294" t="s">
        <v>588</v>
      </c>
    </row>
    <row r="26" spans="1:10" ht="14.5" x14ac:dyDescent="0.25">
      <c r="B26" s="295">
        <v>46022</v>
      </c>
      <c r="C26" s="296" t="s">
        <v>589</v>
      </c>
      <c r="D26" s="296" t="s">
        <v>590</v>
      </c>
      <c r="E26" s="297">
        <v>396222.66</v>
      </c>
      <c r="F26" s="296"/>
      <c r="G26" s="298" t="s">
        <v>587</v>
      </c>
    </row>
    <row r="27" spans="1:10" ht="14.5" x14ac:dyDescent="0.25">
      <c r="B27" s="295">
        <v>46022</v>
      </c>
      <c r="C27" s="296" t="s">
        <v>594</v>
      </c>
      <c r="D27" s="296" t="s">
        <v>595</v>
      </c>
      <c r="E27" s="297">
        <v>-436000</v>
      </c>
      <c r="F27" s="296"/>
      <c r="G27" s="298" t="s">
        <v>587</v>
      </c>
    </row>
    <row r="28" spans="1:10" ht="14.5" x14ac:dyDescent="0.25">
      <c r="B28" s="295">
        <v>46022</v>
      </c>
      <c r="C28" s="296" t="s">
        <v>592</v>
      </c>
      <c r="D28" s="296" t="s">
        <v>593</v>
      </c>
      <c r="E28" s="297">
        <v>39777.339999999997</v>
      </c>
      <c r="F28" s="296"/>
      <c r="G28" s="298" t="s">
        <v>587</v>
      </c>
    </row>
    <row r="29" spans="1:10" ht="14.5" x14ac:dyDescent="0.25">
      <c r="B29" s="295">
        <v>46022</v>
      </c>
      <c r="C29" s="296" t="s">
        <v>589</v>
      </c>
      <c r="D29" s="296" t="s">
        <v>590</v>
      </c>
      <c r="E29" s="299">
        <v>-396222.66</v>
      </c>
      <c r="F29" s="296"/>
      <c r="G29" s="298" t="s">
        <v>596</v>
      </c>
    </row>
    <row r="30" spans="1:10" ht="14.5" x14ac:dyDescent="0.25">
      <c r="B30" s="295">
        <v>46022</v>
      </c>
      <c r="C30" s="296" t="s">
        <v>594</v>
      </c>
      <c r="D30" s="296" t="s">
        <v>595</v>
      </c>
      <c r="E30" s="299">
        <v>436000</v>
      </c>
      <c r="F30" s="296"/>
      <c r="G30" s="298" t="s">
        <v>596</v>
      </c>
    </row>
    <row r="31" spans="1:10" ht="14.5" x14ac:dyDescent="0.25">
      <c r="B31" s="295">
        <v>46022</v>
      </c>
      <c r="C31" s="296" t="s">
        <v>592</v>
      </c>
      <c r="D31" s="296" t="s">
        <v>593</v>
      </c>
      <c r="E31" s="299">
        <v>-39777.339999999997</v>
      </c>
      <c r="F31" s="296"/>
      <c r="G31" s="298" t="s">
        <v>596</v>
      </c>
    </row>
    <row r="34" spans="1:10" s="293" customFormat="1" ht="17.649999999999999" customHeight="1" x14ac:dyDescent="0.35">
      <c r="A34" s="289">
        <v>3</v>
      </c>
      <c r="B34" s="290" t="s">
        <v>598</v>
      </c>
      <c r="C34" s="291"/>
      <c r="D34" s="291"/>
      <c r="E34" s="291"/>
      <c r="F34" s="291"/>
      <c r="G34" s="291"/>
      <c r="H34" s="291"/>
      <c r="I34" s="291"/>
      <c r="J34" s="292"/>
    </row>
    <row r="36" spans="1:10" ht="13" x14ac:dyDescent="0.3">
      <c r="B36" s="294" t="s">
        <v>316</v>
      </c>
      <c r="C36" s="294" t="s">
        <v>586</v>
      </c>
      <c r="D36" s="294" t="s">
        <v>214</v>
      </c>
      <c r="E36" s="294" t="s">
        <v>315</v>
      </c>
      <c r="F36" s="294" t="s">
        <v>587</v>
      </c>
      <c r="G36" s="294" t="s">
        <v>588</v>
      </c>
    </row>
    <row r="37" spans="1:10" ht="14.5" x14ac:dyDescent="0.25">
      <c r="B37" s="295">
        <v>46023</v>
      </c>
      <c r="C37" s="296" t="s">
        <v>589</v>
      </c>
      <c r="D37" s="296" t="s">
        <v>590</v>
      </c>
      <c r="E37" s="297">
        <v>-396222.66</v>
      </c>
      <c r="F37" s="296" t="s">
        <v>587</v>
      </c>
      <c r="G37" s="298"/>
    </row>
    <row r="38" spans="1:10" ht="14.5" x14ac:dyDescent="0.25">
      <c r="B38" s="295">
        <v>46023</v>
      </c>
      <c r="C38" s="296" t="s">
        <v>568</v>
      </c>
      <c r="D38" s="296" t="s">
        <v>591</v>
      </c>
      <c r="E38" s="297">
        <v>-396222.66</v>
      </c>
      <c r="F38" s="296" t="s">
        <v>587</v>
      </c>
      <c r="G38" s="298"/>
    </row>
    <row r="39" spans="1:10" ht="14.5" x14ac:dyDescent="0.25">
      <c r="B39" s="295">
        <v>46023</v>
      </c>
      <c r="C39" s="296" t="s">
        <v>592</v>
      </c>
      <c r="D39" s="296" t="s">
        <v>593</v>
      </c>
      <c r="E39" s="297">
        <v>-39777.339999999997</v>
      </c>
      <c r="F39" s="296" t="s">
        <v>587</v>
      </c>
      <c r="G39" s="298"/>
    </row>
    <row r="40" spans="1:10" ht="14.5" x14ac:dyDescent="0.25">
      <c r="B40" s="295">
        <v>46023</v>
      </c>
      <c r="C40" s="296" t="s">
        <v>594</v>
      </c>
      <c r="D40" s="296" t="s">
        <v>595</v>
      </c>
      <c r="E40" s="299">
        <v>436000</v>
      </c>
      <c r="F40" s="296" t="s">
        <v>587</v>
      </c>
      <c r="G40" s="298"/>
    </row>
    <row r="41" spans="1:10" ht="14.5" x14ac:dyDescent="0.25">
      <c r="B41" s="295">
        <v>46023</v>
      </c>
      <c r="C41" s="296" t="s">
        <v>589</v>
      </c>
      <c r="D41" s="296" t="s">
        <v>590</v>
      </c>
      <c r="E41" s="299">
        <v>396222.66</v>
      </c>
      <c r="F41" s="296" t="s">
        <v>596</v>
      </c>
      <c r="G41" s="298"/>
    </row>
    <row r="42" spans="1:10" ht="14.5" x14ac:dyDescent="0.25">
      <c r="B42" s="295">
        <v>46023</v>
      </c>
      <c r="C42" s="296" t="s">
        <v>568</v>
      </c>
      <c r="D42" s="296" t="s">
        <v>591</v>
      </c>
      <c r="E42" s="299">
        <v>396222.66</v>
      </c>
      <c r="F42" s="296" t="s">
        <v>596</v>
      </c>
      <c r="G42" s="298"/>
    </row>
    <row r="43" spans="1:10" ht="14.5" x14ac:dyDescent="0.25">
      <c r="B43" s="295">
        <v>46023</v>
      </c>
      <c r="C43" s="296" t="s">
        <v>592</v>
      </c>
      <c r="D43" s="296" t="s">
        <v>593</v>
      </c>
      <c r="E43" s="299">
        <v>39777.339999999997</v>
      </c>
      <c r="F43" s="296" t="s">
        <v>596</v>
      </c>
      <c r="G43" s="298"/>
    </row>
    <row r="44" spans="1:10" ht="14.5" x14ac:dyDescent="0.25">
      <c r="B44" s="295">
        <v>46023</v>
      </c>
      <c r="C44" s="296" t="s">
        <v>594</v>
      </c>
      <c r="D44" s="296" t="s">
        <v>595</v>
      </c>
      <c r="E44" s="297">
        <v>-436000</v>
      </c>
      <c r="F44" s="296" t="s">
        <v>596</v>
      </c>
      <c r="G44" s="298"/>
    </row>
    <row r="47" spans="1:10" s="293" customFormat="1" ht="17.649999999999999" customHeight="1" x14ac:dyDescent="0.35">
      <c r="A47" s="289">
        <v>4</v>
      </c>
      <c r="B47" s="290" t="s">
        <v>599</v>
      </c>
      <c r="C47" s="291"/>
      <c r="D47" s="291"/>
      <c r="E47" s="291"/>
      <c r="F47" s="291"/>
      <c r="G47" s="291"/>
      <c r="H47" s="291"/>
      <c r="I47" s="291"/>
      <c r="J47" s="292"/>
    </row>
    <row r="49" spans="1:17" ht="13" x14ac:dyDescent="0.3">
      <c r="B49" s="294" t="s">
        <v>316</v>
      </c>
      <c r="C49" s="294" t="s">
        <v>586</v>
      </c>
      <c r="D49" s="294" t="s">
        <v>214</v>
      </c>
      <c r="E49" s="294" t="s">
        <v>315</v>
      </c>
      <c r="F49" s="294" t="s">
        <v>587</v>
      </c>
      <c r="G49" s="294" t="s">
        <v>588</v>
      </c>
    </row>
    <row r="50" spans="1:17" ht="14.5" x14ac:dyDescent="0.25">
      <c r="B50" s="295">
        <v>46023</v>
      </c>
      <c r="C50" s="296" t="s">
        <v>589</v>
      </c>
      <c r="D50" s="296" t="s">
        <v>590</v>
      </c>
      <c r="E50" s="297">
        <v>-396222.66</v>
      </c>
      <c r="F50" s="296"/>
      <c r="G50" s="298" t="s">
        <v>587</v>
      </c>
    </row>
    <row r="51" spans="1:17" ht="14.5" x14ac:dyDescent="0.25">
      <c r="B51" s="295">
        <v>46023</v>
      </c>
      <c r="C51" s="296" t="s">
        <v>594</v>
      </c>
      <c r="D51" s="296" t="s">
        <v>595</v>
      </c>
      <c r="E51" s="297">
        <v>436000</v>
      </c>
      <c r="F51" s="296"/>
      <c r="G51" s="298" t="s">
        <v>587</v>
      </c>
    </row>
    <row r="52" spans="1:17" ht="14.5" x14ac:dyDescent="0.25">
      <c r="B52" s="295">
        <v>46023</v>
      </c>
      <c r="C52" s="296" t="s">
        <v>592</v>
      </c>
      <c r="D52" s="296" t="s">
        <v>593</v>
      </c>
      <c r="E52" s="297">
        <v>-39777.339999999997</v>
      </c>
      <c r="F52" s="296"/>
      <c r="G52" s="298" t="s">
        <v>587</v>
      </c>
    </row>
    <row r="53" spans="1:17" ht="14.5" x14ac:dyDescent="0.25">
      <c r="B53" s="295">
        <v>46023</v>
      </c>
      <c r="C53" s="296" t="s">
        <v>589</v>
      </c>
      <c r="D53" s="296" t="s">
        <v>590</v>
      </c>
      <c r="E53" s="299">
        <v>396222.66</v>
      </c>
      <c r="F53" s="296"/>
      <c r="G53" s="298" t="s">
        <v>596</v>
      </c>
    </row>
    <row r="54" spans="1:17" ht="14.5" x14ac:dyDescent="0.25">
      <c r="B54" s="295">
        <v>46023</v>
      </c>
      <c r="C54" s="296" t="s">
        <v>594</v>
      </c>
      <c r="D54" s="296" t="s">
        <v>595</v>
      </c>
      <c r="E54" s="299">
        <v>-436000</v>
      </c>
      <c r="F54" s="296"/>
      <c r="G54" s="298" t="s">
        <v>596</v>
      </c>
    </row>
    <row r="55" spans="1:17" ht="14.5" x14ac:dyDescent="0.25">
      <c r="B55" s="295">
        <v>46023</v>
      </c>
      <c r="C55" s="296" t="s">
        <v>592</v>
      </c>
      <c r="D55" s="296" t="s">
        <v>593</v>
      </c>
      <c r="E55" s="299">
        <v>39777.339999999997</v>
      </c>
      <c r="F55" s="296"/>
      <c r="G55" s="298" t="s">
        <v>596</v>
      </c>
    </row>
    <row r="56" spans="1:17" x14ac:dyDescent="0.25">
      <c r="Q56" s="281" t="s">
        <v>600</v>
      </c>
    </row>
    <row r="58" spans="1:17" s="293" customFormat="1" ht="17.649999999999999" customHeight="1" x14ac:dyDescent="0.35">
      <c r="A58" s="289">
        <v>5</v>
      </c>
      <c r="B58" s="290" t="s">
        <v>601</v>
      </c>
      <c r="C58" s="291"/>
      <c r="D58" s="291"/>
      <c r="E58" s="291"/>
      <c r="F58" s="291"/>
      <c r="G58" s="291"/>
      <c r="H58" s="291"/>
      <c r="I58" s="291"/>
      <c r="J58" s="292"/>
    </row>
    <row r="60" spans="1:17" ht="13" x14ac:dyDescent="0.3">
      <c r="B60" s="294" t="s">
        <v>316</v>
      </c>
      <c r="C60" s="294" t="s">
        <v>586</v>
      </c>
      <c r="D60" s="294" t="s">
        <v>214</v>
      </c>
      <c r="E60" s="294" t="s">
        <v>315</v>
      </c>
      <c r="F60" s="294" t="s">
        <v>587</v>
      </c>
      <c r="G60" s="294" t="s">
        <v>588</v>
      </c>
    </row>
    <row r="61" spans="1:17" ht="14.5" x14ac:dyDescent="0.25">
      <c r="B61" s="295">
        <v>46053</v>
      </c>
      <c r="C61" s="296" t="s">
        <v>589</v>
      </c>
      <c r="D61" s="296" t="s">
        <v>590</v>
      </c>
      <c r="E61" s="297">
        <v>401650.56</v>
      </c>
      <c r="F61" s="296" t="s">
        <v>587</v>
      </c>
      <c r="G61" s="298"/>
    </row>
    <row r="62" spans="1:17" ht="14.5" x14ac:dyDescent="0.25">
      <c r="B62" s="295">
        <v>46053</v>
      </c>
      <c r="C62" s="296" t="s">
        <v>568</v>
      </c>
      <c r="D62" s="296" t="s">
        <v>591</v>
      </c>
      <c r="E62" s="297">
        <v>401650.56</v>
      </c>
      <c r="F62" s="296" t="s">
        <v>587</v>
      </c>
      <c r="G62" s="298"/>
    </row>
    <row r="63" spans="1:17" ht="14.5" x14ac:dyDescent="0.25">
      <c r="B63" s="295">
        <v>46053</v>
      </c>
      <c r="C63" s="296" t="s">
        <v>592</v>
      </c>
      <c r="D63" s="296" t="s">
        <v>593</v>
      </c>
      <c r="E63" s="297">
        <v>34349.440000000002</v>
      </c>
      <c r="F63" s="296" t="s">
        <v>587</v>
      </c>
      <c r="G63" s="298"/>
    </row>
    <row r="64" spans="1:17" ht="14.5" x14ac:dyDescent="0.25">
      <c r="B64" s="295">
        <v>46053</v>
      </c>
      <c r="C64" s="296" t="s">
        <v>594</v>
      </c>
      <c r="D64" s="296" t="s">
        <v>595</v>
      </c>
      <c r="E64" s="299">
        <v>-436000</v>
      </c>
      <c r="F64" s="296" t="s">
        <v>587</v>
      </c>
      <c r="G64" s="298"/>
    </row>
    <row r="65" spans="1:10" ht="14.5" x14ac:dyDescent="0.25">
      <c r="B65" s="295">
        <v>46053</v>
      </c>
      <c r="C65" s="296" t="s">
        <v>589</v>
      </c>
      <c r="D65" s="296" t="s">
        <v>590</v>
      </c>
      <c r="E65" s="299">
        <v>-401650.56</v>
      </c>
      <c r="F65" s="296" t="s">
        <v>596</v>
      </c>
      <c r="G65" s="298"/>
    </row>
    <row r="66" spans="1:10" ht="14.5" x14ac:dyDescent="0.25">
      <c r="B66" s="295">
        <v>46053</v>
      </c>
      <c r="C66" s="296" t="s">
        <v>568</v>
      </c>
      <c r="D66" s="296" t="s">
        <v>591</v>
      </c>
      <c r="E66" s="299">
        <v>-401650.56</v>
      </c>
      <c r="F66" s="296" t="s">
        <v>596</v>
      </c>
      <c r="G66" s="298"/>
    </row>
    <row r="67" spans="1:10" ht="14.5" x14ac:dyDescent="0.25">
      <c r="B67" s="295">
        <v>46053</v>
      </c>
      <c r="C67" s="296" t="s">
        <v>592</v>
      </c>
      <c r="D67" s="296" t="s">
        <v>593</v>
      </c>
      <c r="E67" s="299">
        <v>-34349.440000000002</v>
      </c>
      <c r="F67" s="296" t="s">
        <v>596</v>
      </c>
      <c r="G67" s="298"/>
    </row>
    <row r="68" spans="1:10" ht="14.5" x14ac:dyDescent="0.25">
      <c r="B68" s="295">
        <v>46053</v>
      </c>
      <c r="C68" s="296" t="s">
        <v>594</v>
      </c>
      <c r="D68" s="296" t="s">
        <v>595</v>
      </c>
      <c r="E68" s="297">
        <v>436000</v>
      </c>
      <c r="F68" s="296" t="s">
        <v>596</v>
      </c>
      <c r="G68" s="298"/>
    </row>
    <row r="71" spans="1:10" s="293" customFormat="1" ht="17.649999999999999" customHeight="1" x14ac:dyDescent="0.35">
      <c r="A71" s="289">
        <v>6</v>
      </c>
      <c r="B71" s="290" t="s">
        <v>602</v>
      </c>
      <c r="C71" s="291"/>
      <c r="D71" s="291"/>
      <c r="E71" s="291"/>
      <c r="F71" s="291"/>
      <c r="G71" s="291"/>
      <c r="H71" s="291"/>
      <c r="I71" s="291"/>
      <c r="J71" s="292"/>
    </row>
    <row r="73" spans="1:10" ht="13" x14ac:dyDescent="0.3">
      <c r="B73" s="294" t="s">
        <v>316</v>
      </c>
      <c r="C73" s="294" t="s">
        <v>586</v>
      </c>
      <c r="D73" s="294" t="s">
        <v>214</v>
      </c>
      <c r="E73" s="294" t="s">
        <v>315</v>
      </c>
      <c r="F73" s="294" t="s">
        <v>587</v>
      </c>
      <c r="G73" s="294" t="s">
        <v>588</v>
      </c>
    </row>
    <row r="74" spans="1:10" ht="14.5" x14ac:dyDescent="0.25">
      <c r="B74" s="295">
        <v>46053</v>
      </c>
      <c r="C74" s="296" t="s">
        <v>589</v>
      </c>
      <c r="D74" s="296" t="s">
        <v>590</v>
      </c>
      <c r="E74" s="297">
        <v>401650.56</v>
      </c>
      <c r="F74" s="296"/>
      <c r="G74" s="298" t="s">
        <v>587</v>
      </c>
    </row>
    <row r="75" spans="1:10" ht="14.5" x14ac:dyDescent="0.25">
      <c r="B75" s="295">
        <v>46053</v>
      </c>
      <c r="C75" s="296" t="s">
        <v>594</v>
      </c>
      <c r="D75" s="296" t="s">
        <v>595</v>
      </c>
      <c r="E75" s="297">
        <v>-436000</v>
      </c>
      <c r="F75" s="296"/>
      <c r="G75" s="298" t="s">
        <v>587</v>
      </c>
    </row>
    <row r="76" spans="1:10" ht="14.5" x14ac:dyDescent="0.25">
      <c r="B76" s="295">
        <v>46053</v>
      </c>
      <c r="C76" s="296" t="s">
        <v>592</v>
      </c>
      <c r="D76" s="296" t="s">
        <v>593</v>
      </c>
      <c r="E76" s="297">
        <v>34349.440000000002</v>
      </c>
      <c r="F76" s="296"/>
      <c r="G76" s="298" t="s">
        <v>587</v>
      </c>
    </row>
    <row r="77" spans="1:10" ht="14.5" x14ac:dyDescent="0.25">
      <c r="B77" s="295">
        <v>46053</v>
      </c>
      <c r="C77" s="296" t="s">
        <v>589</v>
      </c>
      <c r="D77" s="296" t="s">
        <v>590</v>
      </c>
      <c r="E77" s="299">
        <v>-401650.56</v>
      </c>
      <c r="F77" s="296"/>
      <c r="G77" s="298" t="s">
        <v>596</v>
      </c>
    </row>
    <row r="78" spans="1:10" ht="14.5" x14ac:dyDescent="0.25">
      <c r="B78" s="295">
        <v>46053</v>
      </c>
      <c r="C78" s="296" t="s">
        <v>594</v>
      </c>
      <c r="D78" s="296" t="s">
        <v>595</v>
      </c>
      <c r="E78" s="299">
        <v>436000</v>
      </c>
      <c r="F78" s="296"/>
      <c r="G78" s="298" t="s">
        <v>596</v>
      </c>
    </row>
    <row r="79" spans="1:10" ht="14.5" x14ac:dyDescent="0.25">
      <c r="B79" s="295">
        <v>46053</v>
      </c>
      <c r="C79" s="296" t="s">
        <v>592</v>
      </c>
      <c r="D79" s="296" t="s">
        <v>593</v>
      </c>
      <c r="E79" s="299">
        <v>-34349.440000000002</v>
      </c>
      <c r="F79" s="296"/>
      <c r="G79" s="298" t="s">
        <v>596</v>
      </c>
    </row>
    <row r="82" spans="1:32" s="293" customFormat="1" ht="17.649999999999999" customHeight="1" x14ac:dyDescent="0.35">
      <c r="A82" s="289">
        <v>7</v>
      </c>
      <c r="B82" s="290" t="s">
        <v>603</v>
      </c>
      <c r="C82" s="291"/>
      <c r="D82" s="291"/>
      <c r="E82" s="291"/>
      <c r="F82" s="291"/>
      <c r="G82" s="291"/>
      <c r="H82" s="291"/>
      <c r="I82" s="291"/>
      <c r="J82" s="292"/>
    </row>
    <row r="84" spans="1:32" ht="13" x14ac:dyDescent="0.3">
      <c r="B84" s="294" t="s">
        <v>316</v>
      </c>
      <c r="C84" s="294" t="s">
        <v>586</v>
      </c>
      <c r="D84" s="294" t="s">
        <v>214</v>
      </c>
      <c r="E84" s="294" t="s">
        <v>315</v>
      </c>
      <c r="F84" s="294" t="s">
        <v>587</v>
      </c>
      <c r="G84" s="294" t="s">
        <v>588</v>
      </c>
    </row>
    <row r="85" spans="1:32" ht="14.5" x14ac:dyDescent="0.25">
      <c r="B85" s="295">
        <v>46054</v>
      </c>
      <c r="C85" s="296" t="s">
        <v>592</v>
      </c>
      <c r="D85" s="296" t="s">
        <v>593</v>
      </c>
      <c r="E85" s="299">
        <v>-34349.440000000002</v>
      </c>
      <c r="F85" s="296" t="s">
        <v>587</v>
      </c>
      <c r="G85" s="298"/>
      <c r="H85" s="300" t="s">
        <v>604</v>
      </c>
    </row>
    <row r="86" spans="1:32" ht="14.5" x14ac:dyDescent="0.25">
      <c r="B86" s="295">
        <v>46054</v>
      </c>
      <c r="C86" s="296" t="s">
        <v>589</v>
      </c>
      <c r="D86" s="296" t="s">
        <v>590</v>
      </c>
      <c r="E86" s="299">
        <v>-401650.56</v>
      </c>
      <c r="F86" s="296" t="s">
        <v>587</v>
      </c>
      <c r="G86" s="298"/>
    </row>
    <row r="87" spans="1:32" ht="14.5" x14ac:dyDescent="0.25">
      <c r="B87" s="295">
        <v>46054</v>
      </c>
      <c r="C87" s="296" t="s">
        <v>605</v>
      </c>
      <c r="D87" s="296" t="s">
        <v>606</v>
      </c>
      <c r="E87" s="299">
        <v>34349.440000000002</v>
      </c>
      <c r="F87" s="296" t="s">
        <v>596</v>
      </c>
      <c r="G87" s="298"/>
    </row>
    <row r="88" spans="1:32" ht="14.5" x14ac:dyDescent="0.25">
      <c r="B88" s="295">
        <v>46054</v>
      </c>
      <c r="C88" s="296" t="s">
        <v>568</v>
      </c>
      <c r="D88" s="296" t="s">
        <v>591</v>
      </c>
      <c r="E88" s="299">
        <v>401650.56</v>
      </c>
      <c r="F88" s="296" t="s">
        <v>596</v>
      </c>
      <c r="G88" s="298"/>
    </row>
    <row r="92" spans="1:32" s="293" customFormat="1" ht="17.649999999999999" customHeight="1" x14ac:dyDescent="0.25">
      <c r="A92" s="301">
        <v>8</v>
      </c>
      <c r="B92" s="302" t="s">
        <v>607</v>
      </c>
      <c r="C92" s="303"/>
      <c r="D92" s="303"/>
      <c r="E92" s="303"/>
      <c r="F92" s="303"/>
      <c r="G92" s="303"/>
      <c r="H92" s="303"/>
      <c r="I92" s="303"/>
      <c r="J92" s="304"/>
      <c r="Y92" s="305" t="s">
        <v>95</v>
      </c>
      <c r="Z92" s="293" t="s">
        <v>608</v>
      </c>
      <c r="AA92" s="281"/>
      <c r="AB92" s="281"/>
      <c r="AC92" s="281"/>
      <c r="AD92" s="281"/>
      <c r="AE92" s="281"/>
      <c r="AF92" s="265"/>
    </row>
    <row r="93" spans="1:32" ht="13" thickBot="1" x14ac:dyDescent="0.3">
      <c r="AF93" s="265"/>
    </row>
    <row r="94" spans="1:32" ht="13" x14ac:dyDescent="0.25">
      <c r="E94" s="265"/>
      <c r="F94" s="265"/>
      <c r="G94" s="265"/>
      <c r="H94" s="265"/>
      <c r="AA94" s="306" t="s">
        <v>609</v>
      </c>
      <c r="AB94" s="307" t="s">
        <v>610</v>
      </c>
      <c r="AF94" s="265"/>
    </row>
    <row r="95" spans="1:32" s="308" customFormat="1" ht="13" x14ac:dyDescent="0.25">
      <c r="B95" s="309" t="s">
        <v>586</v>
      </c>
      <c r="C95" s="310" t="s">
        <v>214</v>
      </c>
      <c r="D95" s="311"/>
      <c r="E95" s="309" t="s">
        <v>587</v>
      </c>
      <c r="F95" s="309" t="s">
        <v>596</v>
      </c>
      <c r="G95" s="309" t="s">
        <v>588</v>
      </c>
      <c r="H95" s="309" t="s">
        <v>611</v>
      </c>
      <c r="I95" s="309" t="s">
        <v>612</v>
      </c>
      <c r="Y95" s="281"/>
      <c r="Z95" s="281"/>
      <c r="AA95" s="312" t="s">
        <v>582</v>
      </c>
      <c r="AB95" s="313"/>
      <c r="AC95" s="281"/>
      <c r="AD95" s="281"/>
      <c r="AE95" s="281"/>
      <c r="AF95" s="265"/>
    </row>
    <row r="96" spans="1:32" ht="13" x14ac:dyDescent="0.3">
      <c r="A96" s="265"/>
      <c r="B96" s="314" t="s">
        <v>605</v>
      </c>
      <c r="C96" s="315" t="s">
        <v>606</v>
      </c>
      <c r="D96" s="316"/>
      <c r="E96" s="285"/>
      <c r="F96" s="285">
        <v>34349.440000000002</v>
      </c>
      <c r="G96" s="285"/>
      <c r="H96" s="285"/>
      <c r="I96" s="285">
        <f>SUM(E96:H96)</f>
        <v>34349.440000000002</v>
      </c>
      <c r="AA96" s="312" t="s">
        <v>613</v>
      </c>
      <c r="AB96" s="313"/>
      <c r="AF96" s="265"/>
    </row>
    <row r="97" spans="1:32" ht="13.5" thickBot="1" x14ac:dyDescent="0.35">
      <c r="A97" s="265"/>
      <c r="B97" s="314" t="s">
        <v>594</v>
      </c>
      <c r="C97" s="315" t="s">
        <v>595</v>
      </c>
      <c r="D97" s="316"/>
      <c r="E97" s="285">
        <v>-436000</v>
      </c>
      <c r="F97" s="285">
        <v>436000</v>
      </c>
      <c r="G97" s="285">
        <v>-436000</v>
      </c>
      <c r="H97" s="285">
        <v>436000</v>
      </c>
      <c r="I97" s="285">
        <f t="shared" ref="I97:I100" si="9">SUM(E97:H97)</f>
        <v>0</v>
      </c>
      <c r="AA97" s="317" t="s">
        <v>614</v>
      </c>
      <c r="AB97" s="318"/>
      <c r="AF97" s="265"/>
    </row>
    <row r="98" spans="1:32" ht="13" x14ac:dyDescent="0.3">
      <c r="A98" s="265"/>
      <c r="B98" s="314" t="s">
        <v>592</v>
      </c>
      <c r="C98" s="315" t="s">
        <v>593</v>
      </c>
      <c r="D98" s="316"/>
      <c r="E98" s="285">
        <v>0</v>
      </c>
      <c r="F98" s="285">
        <v>-34349.440000000002</v>
      </c>
      <c r="G98" s="285">
        <v>34349.440000000002</v>
      </c>
      <c r="H98" s="285">
        <v>-34349.440000000002</v>
      </c>
      <c r="I98" s="285">
        <f t="shared" si="9"/>
        <v>-34349.440000000002</v>
      </c>
    </row>
    <row r="99" spans="1:32" ht="13" x14ac:dyDescent="0.3">
      <c r="A99" s="265"/>
      <c r="B99" s="314" t="s">
        <v>589</v>
      </c>
      <c r="C99" s="315" t="s">
        <v>590</v>
      </c>
      <c r="D99" s="316"/>
      <c r="E99" s="285">
        <v>0</v>
      </c>
      <c r="F99" s="285">
        <v>-401650.56</v>
      </c>
      <c r="G99" s="285">
        <v>401650.56</v>
      </c>
      <c r="H99" s="285">
        <v>-401650.56</v>
      </c>
      <c r="I99" s="285">
        <f t="shared" si="9"/>
        <v>-401650.56</v>
      </c>
      <c r="Z99" s="281" t="s">
        <v>615</v>
      </c>
      <c r="AA99" s="293"/>
      <c r="AB99" s="293"/>
      <c r="AC99" s="293"/>
      <c r="AD99" s="293"/>
    </row>
    <row r="100" spans="1:32" ht="13.5" thickBot="1" x14ac:dyDescent="0.35">
      <c r="A100" s="265"/>
      <c r="B100" s="314" t="s">
        <v>568</v>
      </c>
      <c r="C100" s="315" t="s">
        <v>591</v>
      </c>
      <c r="D100" s="316"/>
      <c r="E100" s="285">
        <v>401650.56</v>
      </c>
      <c r="F100" s="285">
        <v>0</v>
      </c>
      <c r="G100" s="285"/>
      <c r="H100" s="285"/>
      <c r="I100" s="285">
        <f t="shared" si="9"/>
        <v>401650.56</v>
      </c>
    </row>
    <row r="101" spans="1:32" ht="13.5" thickBot="1" x14ac:dyDescent="0.3">
      <c r="AA101" s="307" t="s">
        <v>609</v>
      </c>
      <c r="AB101" s="319" t="s">
        <v>610</v>
      </c>
      <c r="AD101" s="265"/>
    </row>
    <row r="102" spans="1:32" ht="13" x14ac:dyDescent="0.25">
      <c r="AA102" s="320" t="s">
        <v>616</v>
      </c>
      <c r="AB102" s="321" t="s">
        <v>613</v>
      </c>
      <c r="AC102" s="322"/>
      <c r="AD102" s="323" t="s">
        <v>617</v>
      </c>
    </row>
    <row r="103" spans="1:32" s="293" customFormat="1" ht="17.649999999999999" customHeight="1" x14ac:dyDescent="0.25">
      <c r="A103" s="324">
        <v>9</v>
      </c>
      <c r="B103" s="325" t="s">
        <v>618</v>
      </c>
      <c r="C103" s="326"/>
      <c r="D103" s="326"/>
      <c r="E103" s="326"/>
      <c r="F103" s="326"/>
      <c r="G103" s="326"/>
      <c r="H103" s="326"/>
      <c r="I103" s="326"/>
      <c r="J103" s="327"/>
      <c r="Y103" s="281"/>
      <c r="Z103" s="281"/>
      <c r="AA103" s="328" t="s">
        <v>619</v>
      </c>
      <c r="AB103" s="329" t="s">
        <v>620</v>
      </c>
      <c r="AC103" s="330" t="s">
        <v>621</v>
      </c>
      <c r="AD103" s="331"/>
    </row>
    <row r="104" spans="1:32" ht="13" x14ac:dyDescent="0.3">
      <c r="B104" s="332"/>
      <c r="E104" s="265"/>
      <c r="F104" s="265"/>
      <c r="G104" s="265"/>
      <c r="H104" s="265"/>
      <c r="AA104" s="333" t="s">
        <v>622</v>
      </c>
      <c r="AB104" s="334" t="s">
        <v>614</v>
      </c>
      <c r="AC104" s="335"/>
      <c r="AD104" s="331"/>
    </row>
    <row r="105" spans="1:32" ht="13" x14ac:dyDescent="0.3">
      <c r="B105" s="336" t="s">
        <v>586</v>
      </c>
      <c r="C105" s="337" t="s">
        <v>214</v>
      </c>
      <c r="D105" s="338"/>
      <c r="E105" s="309" t="s">
        <v>587</v>
      </c>
      <c r="F105" s="309" t="s">
        <v>596</v>
      </c>
      <c r="G105" s="309" t="s">
        <v>588</v>
      </c>
      <c r="H105" s="309" t="s">
        <v>611</v>
      </c>
      <c r="I105" s="309" t="s">
        <v>612</v>
      </c>
      <c r="AA105" s="328" t="s">
        <v>623</v>
      </c>
      <c r="AB105" s="339" t="s">
        <v>624</v>
      </c>
      <c r="AC105" s="330" t="s">
        <v>621</v>
      </c>
      <c r="AD105" s="331"/>
    </row>
    <row r="106" spans="1:32" ht="13" x14ac:dyDescent="0.3">
      <c r="A106" s="265"/>
      <c r="B106" s="314" t="s">
        <v>605</v>
      </c>
      <c r="C106" s="315" t="s">
        <v>606</v>
      </c>
      <c r="D106" s="316"/>
      <c r="E106" s="285"/>
      <c r="F106" s="285">
        <v>-34349.440000000002</v>
      </c>
      <c r="G106" s="285"/>
      <c r="H106" s="285"/>
      <c r="I106" s="285">
        <f>SUM(E106:H106)</f>
        <v>-34349.440000000002</v>
      </c>
      <c r="AA106" s="328" t="s">
        <v>625</v>
      </c>
      <c r="AB106" s="339" t="s">
        <v>626</v>
      </c>
      <c r="AC106" s="330" t="s">
        <v>621</v>
      </c>
      <c r="AD106" s="331"/>
    </row>
    <row r="107" spans="1:32" ht="13" x14ac:dyDescent="0.3">
      <c r="A107" s="265"/>
      <c r="B107" s="314" t="s">
        <v>594</v>
      </c>
      <c r="C107" s="315" t="s">
        <v>595</v>
      </c>
      <c r="D107" s="316"/>
      <c r="E107" s="285"/>
      <c r="F107" s="285"/>
      <c r="G107" s="285"/>
      <c r="H107" s="285">
        <v>-401650.56</v>
      </c>
      <c r="I107" s="285">
        <f t="shared" ref="I107:I108" si="10">SUM(E107:H107)</f>
        <v>-401650.56</v>
      </c>
      <c r="AA107" s="328" t="s">
        <v>627</v>
      </c>
      <c r="AB107" s="339" t="s">
        <v>628</v>
      </c>
      <c r="AC107" s="330" t="s">
        <v>621</v>
      </c>
      <c r="AD107" s="331"/>
    </row>
    <row r="108" spans="1:32" ht="13.5" thickBot="1" x14ac:dyDescent="0.35">
      <c r="A108" s="265"/>
      <c r="B108" s="314" t="s">
        <v>589</v>
      </c>
      <c r="C108" s="315" t="s">
        <v>590</v>
      </c>
      <c r="D108" s="316"/>
      <c r="E108" s="285"/>
      <c r="F108" s="285"/>
      <c r="G108" s="285"/>
      <c r="H108" s="285">
        <v>401650.56</v>
      </c>
      <c r="I108" s="285">
        <f t="shared" si="10"/>
        <v>401650.56</v>
      </c>
      <c r="AA108" s="340" t="s">
        <v>629</v>
      </c>
      <c r="AB108" s="341" t="s">
        <v>546</v>
      </c>
      <c r="AC108" s="342" t="s">
        <v>621</v>
      </c>
      <c r="AD108" s="343"/>
      <c r="AF108" s="265"/>
    </row>
    <row r="109" spans="1:32" x14ac:dyDescent="0.25">
      <c r="AA109" s="320" t="s">
        <v>630</v>
      </c>
      <c r="AB109" s="344" t="s">
        <v>625</v>
      </c>
      <c r="AC109" s="345" t="s">
        <v>621</v>
      </c>
      <c r="AD109" s="323" t="s">
        <v>631</v>
      </c>
      <c r="AF109" s="265"/>
    </row>
    <row r="110" spans="1:32" ht="13.5" thickBot="1" x14ac:dyDescent="0.35">
      <c r="B110" s="332" t="s">
        <v>632</v>
      </c>
      <c r="AA110" s="317" t="s">
        <v>546</v>
      </c>
      <c r="AB110" s="346" t="s">
        <v>623</v>
      </c>
      <c r="AC110" s="347" t="s">
        <v>621</v>
      </c>
      <c r="AD110" s="343"/>
      <c r="AF110" s="265"/>
    </row>
    <row r="111" spans="1:32" x14ac:dyDescent="0.25">
      <c r="AF111" s="265"/>
    </row>
    <row r="112" spans="1:32" s="348" customFormat="1" ht="13" x14ac:dyDescent="0.3">
      <c r="B112" s="349" t="s">
        <v>586</v>
      </c>
      <c r="C112" s="350" t="s">
        <v>214</v>
      </c>
      <c r="D112" s="351"/>
      <c r="E112" s="352" t="s">
        <v>587</v>
      </c>
      <c r="F112" s="352" t="s">
        <v>596</v>
      </c>
      <c r="G112" s="352" t="s">
        <v>588</v>
      </c>
      <c r="H112" s="352" t="s">
        <v>611</v>
      </c>
      <c r="I112" s="352" t="s">
        <v>612</v>
      </c>
      <c r="Y112" s="281"/>
      <c r="Z112" s="281" t="s">
        <v>633</v>
      </c>
      <c r="AA112" s="293"/>
      <c r="AB112" s="293"/>
      <c r="AC112" s="293"/>
      <c r="AD112" s="293"/>
      <c r="AE112" s="281"/>
      <c r="AF112" s="265"/>
    </row>
    <row r="113" spans="1:32" ht="13.5" thickBot="1" x14ac:dyDescent="0.35">
      <c r="B113" s="314" t="s">
        <v>605</v>
      </c>
      <c r="C113" s="315" t="s">
        <v>606</v>
      </c>
      <c r="D113" s="316"/>
      <c r="E113" s="285">
        <f>SUMIF($B$96:$B$108,$B113,E$96:E$108)</f>
        <v>0</v>
      </c>
      <c r="F113" s="285">
        <f t="shared" ref="F113:I117" si="11">SUMIF($B$96:$B$108,$B113,F$96:F$108)</f>
        <v>0</v>
      </c>
      <c r="G113" s="285">
        <f t="shared" si="11"/>
        <v>0</v>
      </c>
      <c r="H113" s="285">
        <f t="shared" si="11"/>
        <v>0</v>
      </c>
      <c r="I113" s="285">
        <f t="shared" si="11"/>
        <v>0</v>
      </c>
      <c r="AF113" s="265"/>
    </row>
    <row r="114" spans="1:32" ht="13" x14ac:dyDescent="0.3">
      <c r="B114" s="314" t="s">
        <v>594</v>
      </c>
      <c r="C114" s="315" t="s">
        <v>595</v>
      </c>
      <c r="D114" s="316"/>
      <c r="E114" s="285">
        <f t="shared" ref="E114:E117" si="12">SUMIF($B$96:$B$108,$B114,E$96:E$108)</f>
        <v>-436000</v>
      </c>
      <c r="F114" s="285">
        <f t="shared" si="11"/>
        <v>436000</v>
      </c>
      <c r="G114" s="285">
        <f t="shared" si="11"/>
        <v>-436000</v>
      </c>
      <c r="H114" s="285">
        <f t="shared" si="11"/>
        <v>34349.440000000002</v>
      </c>
      <c r="I114" s="285">
        <f t="shared" si="11"/>
        <v>-401650.56</v>
      </c>
      <c r="AA114" s="307" t="s">
        <v>609</v>
      </c>
      <c r="AB114" s="307" t="s">
        <v>610</v>
      </c>
      <c r="AF114" s="265"/>
    </row>
    <row r="115" spans="1:32" ht="13" x14ac:dyDescent="0.3">
      <c r="B115" s="314" t="s">
        <v>592</v>
      </c>
      <c r="C115" s="315" t="s">
        <v>593</v>
      </c>
      <c r="D115" s="316"/>
      <c r="E115" s="285">
        <f t="shared" si="12"/>
        <v>0</v>
      </c>
      <c r="F115" s="285">
        <f t="shared" si="11"/>
        <v>-34349.440000000002</v>
      </c>
      <c r="G115" s="285">
        <f t="shared" si="11"/>
        <v>34349.440000000002</v>
      </c>
      <c r="H115" s="285">
        <f t="shared" si="11"/>
        <v>-34349.440000000002</v>
      </c>
      <c r="I115" s="285">
        <f t="shared" si="11"/>
        <v>-34349.440000000002</v>
      </c>
      <c r="AA115" s="313"/>
      <c r="AB115" s="312" t="s">
        <v>626</v>
      </c>
      <c r="AF115" s="265"/>
    </row>
    <row r="116" spans="1:32" ht="13" x14ac:dyDescent="0.3">
      <c r="B116" s="314" t="s">
        <v>589</v>
      </c>
      <c r="C116" s="315" t="s">
        <v>590</v>
      </c>
      <c r="D116" s="316"/>
      <c r="E116" s="285">
        <f t="shared" si="12"/>
        <v>0</v>
      </c>
      <c r="F116" s="285">
        <f t="shared" si="11"/>
        <v>-401650.56</v>
      </c>
      <c r="G116" s="285">
        <f t="shared" si="11"/>
        <v>401650.56</v>
      </c>
      <c r="H116" s="285">
        <f t="shared" si="11"/>
        <v>0</v>
      </c>
      <c r="I116" s="285">
        <f t="shared" si="11"/>
        <v>0</v>
      </c>
      <c r="AA116" s="313"/>
      <c r="AB116" s="353" t="s">
        <v>582</v>
      </c>
      <c r="AF116" s="265"/>
    </row>
    <row r="117" spans="1:32" ht="13" x14ac:dyDescent="0.3">
      <c r="B117" s="314" t="s">
        <v>568</v>
      </c>
      <c r="C117" s="315" t="s">
        <v>591</v>
      </c>
      <c r="D117" s="316"/>
      <c r="E117" s="285">
        <f t="shared" si="12"/>
        <v>401650.56</v>
      </c>
      <c r="F117" s="285">
        <f t="shared" si="11"/>
        <v>0</v>
      </c>
      <c r="G117" s="285">
        <f t="shared" si="11"/>
        <v>0</v>
      </c>
      <c r="H117" s="285">
        <f t="shared" si="11"/>
        <v>0</v>
      </c>
      <c r="I117" s="285">
        <f t="shared" si="11"/>
        <v>401650.56</v>
      </c>
      <c r="AA117" s="313"/>
      <c r="AB117" s="312" t="s">
        <v>624</v>
      </c>
      <c r="AF117" s="265"/>
    </row>
    <row r="118" spans="1:32" ht="13" x14ac:dyDescent="0.25">
      <c r="AA118" s="313"/>
      <c r="AB118" s="354" t="s">
        <v>634</v>
      </c>
      <c r="AF118" s="265"/>
    </row>
    <row r="119" spans="1:32" ht="13" x14ac:dyDescent="0.25">
      <c r="AA119" s="313"/>
      <c r="AB119" s="354" t="s">
        <v>635</v>
      </c>
      <c r="AF119" s="265"/>
    </row>
    <row r="120" spans="1:32" s="293" customFormat="1" ht="17.649999999999999" customHeight="1" thickBot="1" x14ac:dyDescent="0.3">
      <c r="A120" s="289">
        <v>10</v>
      </c>
      <c r="B120" s="290" t="s">
        <v>636</v>
      </c>
      <c r="C120" s="291"/>
      <c r="D120" s="291"/>
      <c r="E120" s="291"/>
      <c r="F120" s="291"/>
      <c r="G120" s="291"/>
      <c r="H120" s="291"/>
      <c r="I120" s="291"/>
      <c r="J120" s="292"/>
      <c r="Y120" s="281"/>
      <c r="Z120" s="281"/>
      <c r="AA120" s="318"/>
      <c r="AB120" s="340" t="s">
        <v>629</v>
      </c>
      <c r="AC120" s="281"/>
      <c r="AD120" s="281"/>
      <c r="AE120" s="281"/>
      <c r="AF120" s="265"/>
    </row>
    <row r="121" spans="1:32" ht="13" x14ac:dyDescent="0.3">
      <c r="B121" s="332"/>
      <c r="E121" s="355"/>
      <c r="F121" s="355"/>
      <c r="G121" s="355"/>
      <c r="H121" s="355"/>
      <c r="AF121" s="265"/>
    </row>
    <row r="122" spans="1:32" ht="13" x14ac:dyDescent="0.3">
      <c r="B122" s="349" t="s">
        <v>586</v>
      </c>
      <c r="C122" s="350" t="s">
        <v>214</v>
      </c>
      <c r="D122" s="351"/>
      <c r="E122" s="352" t="s">
        <v>587</v>
      </c>
      <c r="F122" s="352" t="s">
        <v>596</v>
      </c>
      <c r="G122" s="352" t="s">
        <v>588</v>
      </c>
      <c r="H122" s="352" t="s">
        <v>611</v>
      </c>
      <c r="I122" s="352" t="s">
        <v>612</v>
      </c>
      <c r="Z122" s="281" t="s">
        <v>637</v>
      </c>
      <c r="AA122" s="293"/>
      <c r="AB122" s="293"/>
      <c r="AC122" s="293"/>
      <c r="AD122" s="293"/>
      <c r="AF122" s="265"/>
    </row>
    <row r="123" spans="1:32" ht="13.5" thickBot="1" x14ac:dyDescent="0.35">
      <c r="A123" s="265"/>
      <c r="B123" s="314" t="s">
        <v>638</v>
      </c>
      <c r="C123" s="315" t="s">
        <v>639</v>
      </c>
      <c r="D123" s="316"/>
      <c r="E123" s="285">
        <v>-401650.56</v>
      </c>
      <c r="F123" s="285"/>
      <c r="G123" s="285"/>
      <c r="H123" s="285"/>
      <c r="I123" s="285">
        <f>SUM(E123:H123)</f>
        <v>-401650.56</v>
      </c>
      <c r="AF123" s="265"/>
    </row>
    <row r="124" spans="1:32" ht="13" x14ac:dyDescent="0.3">
      <c r="A124" s="265"/>
      <c r="B124" s="314" t="s">
        <v>605</v>
      </c>
      <c r="C124" s="315" t="s">
        <v>606</v>
      </c>
      <c r="D124" s="316"/>
      <c r="E124" s="285">
        <v>-34349.440000000002</v>
      </c>
      <c r="F124" s="285"/>
      <c r="G124" s="285"/>
      <c r="H124" s="285"/>
      <c r="I124" s="285">
        <f t="shared" ref="I124:I126" si="13">SUM(E124:H124)</f>
        <v>-34349.440000000002</v>
      </c>
      <c r="AA124" s="307" t="s">
        <v>609</v>
      </c>
      <c r="AB124" s="356" t="s">
        <v>610</v>
      </c>
      <c r="AF124" s="265"/>
    </row>
    <row r="125" spans="1:32" ht="13" x14ac:dyDescent="0.3">
      <c r="A125" s="265"/>
      <c r="B125" s="314" t="s">
        <v>592</v>
      </c>
      <c r="C125" s="315" t="s">
        <v>593</v>
      </c>
      <c r="D125" s="316"/>
      <c r="E125" s="285">
        <v>34349.440000000002</v>
      </c>
      <c r="F125" s="285"/>
      <c r="G125" s="285"/>
      <c r="H125" s="285"/>
      <c r="I125" s="285">
        <f t="shared" si="13"/>
        <v>34349.440000000002</v>
      </c>
      <c r="AA125" s="357" t="s">
        <v>619</v>
      </c>
      <c r="AB125" s="358" t="s">
        <v>620</v>
      </c>
      <c r="AF125" s="265"/>
    </row>
    <row r="126" spans="1:32" ht="13" x14ac:dyDescent="0.3">
      <c r="A126" s="265"/>
      <c r="B126" s="314" t="s">
        <v>589</v>
      </c>
      <c r="C126" s="315" t="s">
        <v>590</v>
      </c>
      <c r="D126" s="316"/>
      <c r="E126" s="285">
        <v>401650.56</v>
      </c>
      <c r="F126" s="285"/>
      <c r="G126" s="285"/>
      <c r="H126" s="285"/>
      <c r="I126" s="285">
        <f t="shared" si="13"/>
        <v>401650.56</v>
      </c>
      <c r="AA126" s="357" t="s">
        <v>623</v>
      </c>
      <c r="AB126" s="359" t="s">
        <v>624</v>
      </c>
      <c r="AF126" s="265"/>
    </row>
    <row r="127" spans="1:32" x14ac:dyDescent="0.25">
      <c r="A127" s="265"/>
      <c r="AA127" s="357" t="s">
        <v>625</v>
      </c>
      <c r="AB127" s="359" t="s">
        <v>626</v>
      </c>
    </row>
    <row r="128" spans="1:32" x14ac:dyDescent="0.25">
      <c r="A128" s="265"/>
      <c r="AA128" s="357" t="s">
        <v>627</v>
      </c>
      <c r="AB128" s="359" t="s">
        <v>628</v>
      </c>
    </row>
    <row r="129" spans="1:28" ht="13" x14ac:dyDescent="0.3">
      <c r="A129" s="265"/>
      <c r="B129" s="332" t="s">
        <v>640</v>
      </c>
      <c r="AA129" s="360"/>
      <c r="AB129" s="334" t="s">
        <v>613</v>
      </c>
    </row>
    <row r="130" spans="1:28" ht="13" x14ac:dyDescent="0.3">
      <c r="A130" s="265"/>
      <c r="B130" s="349" t="s">
        <v>586</v>
      </c>
      <c r="C130" s="350" t="s">
        <v>214</v>
      </c>
      <c r="D130" s="351"/>
      <c r="E130" s="352" t="s">
        <v>587</v>
      </c>
      <c r="F130" s="352" t="s">
        <v>596</v>
      </c>
      <c r="G130" s="352" t="s">
        <v>588</v>
      </c>
      <c r="H130" s="352" t="s">
        <v>611</v>
      </c>
      <c r="I130" s="352" t="s">
        <v>612</v>
      </c>
      <c r="AA130" s="360"/>
      <c r="AB130" s="334" t="s">
        <v>614</v>
      </c>
    </row>
    <row r="131" spans="1:28" ht="13" x14ac:dyDescent="0.3">
      <c r="A131" s="265"/>
      <c r="B131" s="314" t="s">
        <v>641</v>
      </c>
      <c r="C131" s="315" t="s">
        <v>642</v>
      </c>
      <c r="D131" s="316"/>
      <c r="E131" s="285">
        <v>401650.56</v>
      </c>
      <c r="F131" s="285"/>
      <c r="G131" s="285"/>
      <c r="H131" s="285"/>
      <c r="I131" s="285">
        <f>SUM(E131:H131)</f>
        <v>401650.56</v>
      </c>
      <c r="AA131" s="360"/>
      <c r="AB131" s="334" t="s">
        <v>582</v>
      </c>
    </row>
    <row r="132" spans="1:28" ht="13" x14ac:dyDescent="0.3">
      <c r="A132" s="265"/>
      <c r="B132" s="314" t="s">
        <v>643</v>
      </c>
      <c r="C132" s="315" t="s">
        <v>644</v>
      </c>
      <c r="D132" s="316"/>
      <c r="E132" s="285">
        <v>-401650.56</v>
      </c>
      <c r="F132" s="285"/>
      <c r="G132" s="285"/>
      <c r="H132" s="285"/>
      <c r="I132" s="285">
        <f t="shared" ref="I132" si="14">SUM(E132:H132)</f>
        <v>-401650.56</v>
      </c>
      <c r="AA132" s="360"/>
      <c r="AB132" s="359" t="s">
        <v>634</v>
      </c>
    </row>
    <row r="133" spans="1:28" ht="13" thickBot="1" x14ac:dyDescent="0.3">
      <c r="AA133" s="361"/>
      <c r="AB133" s="362" t="s">
        <v>635</v>
      </c>
    </row>
    <row r="135" spans="1:28" ht="17.649999999999999" customHeight="1" x14ac:dyDescent="0.25">
      <c r="A135" s="363">
        <v>11</v>
      </c>
      <c r="B135" s="364" t="s">
        <v>645</v>
      </c>
      <c r="C135" s="365"/>
      <c r="D135" s="365"/>
      <c r="E135" s="365"/>
      <c r="F135" s="365"/>
      <c r="G135" s="365"/>
      <c r="H135" s="365"/>
      <c r="I135" s="365"/>
      <c r="J135" s="366"/>
    </row>
    <row r="136" spans="1:28" hidden="1" x14ac:dyDescent="0.25"/>
    <row r="137" spans="1:28" ht="13" x14ac:dyDescent="0.3">
      <c r="B137" s="349" t="s">
        <v>586</v>
      </c>
      <c r="C137" s="350" t="s">
        <v>214</v>
      </c>
      <c r="D137" s="351"/>
      <c r="E137" s="352" t="s">
        <v>587</v>
      </c>
      <c r="F137" s="352" t="s">
        <v>596</v>
      </c>
      <c r="G137" s="352" t="s">
        <v>588</v>
      </c>
      <c r="H137" s="352" t="s">
        <v>611</v>
      </c>
      <c r="I137" s="352" t="s">
        <v>612</v>
      </c>
      <c r="X137" s="293"/>
      <c r="Y137" s="293"/>
    </row>
    <row r="138" spans="1:28" ht="13" x14ac:dyDescent="0.3">
      <c r="B138" s="314" t="s">
        <v>641</v>
      </c>
      <c r="C138" s="315" t="s">
        <v>642</v>
      </c>
      <c r="D138" s="316"/>
      <c r="E138" s="285">
        <f t="shared" ref="E138:H145" si="15">SUMIF($B$113:$B$132,$B138,E$113:E$132)</f>
        <v>401650.56</v>
      </c>
      <c r="F138" s="285">
        <f t="shared" si="15"/>
        <v>0</v>
      </c>
      <c r="G138" s="285">
        <f t="shared" si="15"/>
        <v>0</v>
      </c>
      <c r="H138" s="285">
        <f t="shared" si="15"/>
        <v>0</v>
      </c>
      <c r="I138" s="285">
        <f>SUM(E138:H138)</f>
        <v>401650.56</v>
      </c>
    </row>
    <row r="139" spans="1:28" ht="13" x14ac:dyDescent="0.3">
      <c r="B139" s="314" t="s">
        <v>638</v>
      </c>
      <c r="C139" s="315" t="s">
        <v>639</v>
      </c>
      <c r="D139" s="316"/>
      <c r="E139" s="285">
        <f t="shared" si="15"/>
        <v>-401650.56</v>
      </c>
      <c r="F139" s="285">
        <f t="shared" si="15"/>
        <v>0</v>
      </c>
      <c r="G139" s="285">
        <f t="shared" si="15"/>
        <v>0</v>
      </c>
      <c r="H139" s="285">
        <f t="shared" si="15"/>
        <v>0</v>
      </c>
      <c r="I139" s="285">
        <f t="shared" ref="I139:I145" si="16">SUM(E139:H139)</f>
        <v>-401650.56</v>
      </c>
    </row>
    <row r="140" spans="1:28" ht="13" x14ac:dyDescent="0.3">
      <c r="B140" s="314" t="s">
        <v>605</v>
      </c>
      <c r="C140" s="315" t="s">
        <v>606</v>
      </c>
      <c r="D140" s="316"/>
      <c r="E140" s="285">
        <f t="shared" si="15"/>
        <v>-34349.440000000002</v>
      </c>
      <c r="F140" s="285">
        <f t="shared" si="15"/>
        <v>0</v>
      </c>
      <c r="G140" s="285">
        <f t="shared" si="15"/>
        <v>0</v>
      </c>
      <c r="H140" s="285">
        <f t="shared" si="15"/>
        <v>0</v>
      </c>
      <c r="I140" s="285">
        <f t="shared" si="16"/>
        <v>-34349.440000000002</v>
      </c>
    </row>
    <row r="141" spans="1:28" ht="13" x14ac:dyDescent="0.3">
      <c r="B141" s="314" t="s">
        <v>594</v>
      </c>
      <c r="C141" s="315" t="s">
        <v>595</v>
      </c>
      <c r="D141" s="316"/>
      <c r="E141" s="285">
        <f t="shared" si="15"/>
        <v>-436000</v>
      </c>
      <c r="F141" s="285">
        <f t="shared" si="15"/>
        <v>436000</v>
      </c>
      <c r="G141" s="285">
        <f t="shared" si="15"/>
        <v>-436000</v>
      </c>
      <c r="H141" s="285">
        <f t="shared" si="15"/>
        <v>34349.440000000002</v>
      </c>
      <c r="I141" s="285">
        <f t="shared" si="16"/>
        <v>-401650.56</v>
      </c>
    </row>
    <row r="142" spans="1:28" ht="13" x14ac:dyDescent="0.3">
      <c r="B142" s="314" t="s">
        <v>592</v>
      </c>
      <c r="C142" s="315" t="s">
        <v>593</v>
      </c>
      <c r="D142" s="316"/>
      <c r="E142" s="285">
        <f t="shared" si="15"/>
        <v>34349.440000000002</v>
      </c>
      <c r="F142" s="285">
        <f t="shared" si="15"/>
        <v>-34349.440000000002</v>
      </c>
      <c r="G142" s="285">
        <f t="shared" si="15"/>
        <v>34349.440000000002</v>
      </c>
      <c r="H142" s="285">
        <f t="shared" si="15"/>
        <v>-34349.440000000002</v>
      </c>
      <c r="I142" s="285">
        <f t="shared" si="16"/>
        <v>0</v>
      </c>
    </row>
    <row r="143" spans="1:28" ht="13" x14ac:dyDescent="0.3">
      <c r="B143" s="314" t="s">
        <v>589</v>
      </c>
      <c r="C143" s="315" t="s">
        <v>590</v>
      </c>
      <c r="D143" s="316"/>
      <c r="E143" s="285">
        <f t="shared" si="15"/>
        <v>401650.56</v>
      </c>
      <c r="F143" s="285">
        <f t="shared" si="15"/>
        <v>-401650.56</v>
      </c>
      <c r="G143" s="285">
        <f t="shared" si="15"/>
        <v>401650.56</v>
      </c>
      <c r="H143" s="285">
        <f t="shared" si="15"/>
        <v>0</v>
      </c>
      <c r="I143" s="285">
        <f t="shared" si="16"/>
        <v>401650.56</v>
      </c>
    </row>
    <row r="144" spans="1:28" ht="13" x14ac:dyDescent="0.3">
      <c r="B144" s="314" t="s">
        <v>568</v>
      </c>
      <c r="C144" s="315" t="s">
        <v>591</v>
      </c>
      <c r="D144" s="316"/>
      <c r="E144" s="285">
        <f t="shared" si="15"/>
        <v>401650.56</v>
      </c>
      <c r="F144" s="285">
        <f t="shared" si="15"/>
        <v>0</v>
      </c>
      <c r="G144" s="285">
        <f t="shared" si="15"/>
        <v>0</v>
      </c>
      <c r="H144" s="285">
        <f t="shared" si="15"/>
        <v>0</v>
      </c>
      <c r="I144" s="285">
        <f t="shared" si="16"/>
        <v>401650.56</v>
      </c>
    </row>
    <row r="145" spans="2:9" ht="13" x14ac:dyDescent="0.3">
      <c r="B145" s="314" t="s">
        <v>643</v>
      </c>
      <c r="C145" s="315" t="s">
        <v>644</v>
      </c>
      <c r="D145" s="316"/>
      <c r="E145" s="285">
        <f t="shared" si="15"/>
        <v>-401650.56</v>
      </c>
      <c r="F145" s="285">
        <f t="shared" si="15"/>
        <v>0</v>
      </c>
      <c r="G145" s="285">
        <f t="shared" si="15"/>
        <v>0</v>
      </c>
      <c r="H145" s="285">
        <f t="shared" si="15"/>
        <v>0</v>
      </c>
      <c r="I145" s="285">
        <f t="shared" si="16"/>
        <v>-401650.56</v>
      </c>
    </row>
  </sheetData>
  <dataValidations count="1">
    <dataValidation type="list" allowBlank="1" showInputMessage="1" showErrorMessage="1" sqref="E4:E7" xr:uid="{4142DD01-9503-484E-AC15-6222DB275731}">
      <formula1>"ADV, PBL, RTN, WTY"</formula1>
    </dataValidation>
  </dataValidation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7B9CC-5A3A-40CC-AF80-897C28F6CB19}">
  <sheetPr codeName="Sheet1"/>
  <dimension ref="B1:T42"/>
  <sheetViews>
    <sheetView zoomScale="90" zoomScaleNormal="90" workbookViewId="0">
      <selection activeCell="G2" sqref="G2"/>
    </sheetView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84.1796875" style="1" customWidth="1"/>
    <col min="4" max="4" width="20.54296875" style="2" customWidth="1"/>
    <col min="5" max="5" width="17.1796875" style="2" bestFit="1" customWidth="1"/>
    <col min="6" max="6" width="9.1796875" style="2" customWidth="1"/>
    <col min="7" max="7" width="27.26953125" style="1" customWidth="1"/>
    <col min="8" max="12" width="9.26953125" style="1"/>
    <col min="13" max="13" width="48.26953125" style="1" bestFit="1" customWidth="1"/>
    <col min="14" max="16384" width="9.26953125" style="1"/>
  </cols>
  <sheetData>
    <row r="1" spans="2:20" ht="15" thickBot="1" x14ac:dyDescent="0.4"/>
    <row r="2" spans="2:20" ht="14.65" customHeight="1" x14ac:dyDescent="0.35">
      <c r="B2" s="405" t="s">
        <v>8</v>
      </c>
      <c r="C2" s="406"/>
      <c r="D2" s="399" t="s">
        <v>121</v>
      </c>
      <c r="E2" s="401" t="s">
        <v>117</v>
      </c>
      <c r="F2" s="1"/>
      <c r="G2" s="1" t="s">
        <v>79</v>
      </c>
      <c r="I2" s="2"/>
      <c r="J2" s="2"/>
      <c r="K2" s="2"/>
      <c r="M2" s="8"/>
    </row>
    <row r="3" spans="2:20" ht="14.65" customHeight="1" thickBot="1" x14ac:dyDescent="0.4">
      <c r="B3" s="407"/>
      <c r="C3" s="408"/>
      <c r="D3" s="400"/>
      <c r="E3" s="402"/>
      <c r="F3" s="1"/>
      <c r="G3" s="10" t="s">
        <v>344</v>
      </c>
    </row>
    <row r="4" spans="2:20" x14ac:dyDescent="0.35">
      <c r="B4" s="396" t="s">
        <v>86</v>
      </c>
      <c r="C4" s="54" t="s">
        <v>89</v>
      </c>
      <c r="D4" s="75" t="s">
        <v>122</v>
      </c>
      <c r="E4" s="410" t="s">
        <v>81</v>
      </c>
      <c r="F4" s="1"/>
      <c r="G4" s="10" t="s">
        <v>341</v>
      </c>
    </row>
    <row r="5" spans="2:20" x14ac:dyDescent="0.35">
      <c r="B5" s="403"/>
      <c r="C5" s="40" t="s">
        <v>90</v>
      </c>
      <c r="D5" s="9"/>
      <c r="E5" s="411"/>
      <c r="F5"/>
      <c r="G5" s="10" t="s">
        <v>340</v>
      </c>
      <c r="H5" s="8"/>
      <c r="I5" s="2"/>
      <c r="J5" s="2"/>
      <c r="K5" s="2"/>
      <c r="N5" s="1" t="s">
        <v>347</v>
      </c>
    </row>
    <row r="6" spans="2:20" ht="15" thickBot="1" x14ac:dyDescent="0.4">
      <c r="B6" s="409"/>
      <c r="C6" s="55" t="s">
        <v>91</v>
      </c>
      <c r="D6" s="65"/>
      <c r="E6" s="412"/>
      <c r="F6"/>
      <c r="G6" s="10" t="s">
        <v>343</v>
      </c>
    </row>
    <row r="7" spans="2:20" x14ac:dyDescent="0.35">
      <c r="B7" s="396" t="s">
        <v>87</v>
      </c>
      <c r="C7" s="54" t="s">
        <v>92</v>
      </c>
      <c r="D7" s="422" t="s">
        <v>127</v>
      </c>
      <c r="E7" s="419" t="s">
        <v>81</v>
      </c>
      <c r="F7"/>
      <c r="G7" s="45" t="s">
        <v>19</v>
      </c>
      <c r="H7" s="14" t="s">
        <v>26</v>
      </c>
      <c r="I7" s="15"/>
      <c r="J7" s="16"/>
      <c r="K7" s="16"/>
      <c r="L7" s="16"/>
      <c r="M7" s="16"/>
      <c r="N7" s="16"/>
      <c r="O7" s="16"/>
      <c r="P7" s="16"/>
      <c r="Q7" s="16"/>
      <c r="R7" s="16"/>
      <c r="S7" s="16"/>
      <c r="T7" s="17"/>
    </row>
    <row r="8" spans="2:20" x14ac:dyDescent="0.35">
      <c r="B8" s="403"/>
      <c r="C8" s="40" t="s">
        <v>93</v>
      </c>
      <c r="D8" s="423"/>
      <c r="E8" s="420"/>
      <c r="F8"/>
      <c r="G8" s="48"/>
      <c r="H8" s="10" t="s">
        <v>132</v>
      </c>
      <c r="I8" s="2"/>
      <c r="T8" s="19"/>
    </row>
    <row r="9" spans="2:20" ht="15" thickBot="1" x14ac:dyDescent="0.4">
      <c r="B9" s="404"/>
      <c r="C9" s="50" t="s">
        <v>94</v>
      </c>
      <c r="D9" s="424"/>
      <c r="E9" s="421"/>
      <c r="F9"/>
      <c r="G9" s="48"/>
      <c r="H9" s="24" t="s">
        <v>29</v>
      </c>
      <c r="I9" s="27"/>
      <c r="J9" s="30"/>
      <c r="K9" s="30"/>
      <c r="L9" s="30"/>
      <c r="M9" s="30"/>
      <c r="N9" s="30"/>
      <c r="O9" s="30"/>
      <c r="P9" s="30"/>
      <c r="Q9" s="30"/>
      <c r="R9" s="30"/>
      <c r="S9" s="30"/>
      <c r="T9" s="31"/>
    </row>
    <row r="10" spans="2:20" x14ac:dyDescent="0.35">
      <c r="B10" s="396" t="s">
        <v>88</v>
      </c>
      <c r="C10" s="73" t="s">
        <v>92</v>
      </c>
      <c r="D10" s="66" t="s">
        <v>81</v>
      </c>
      <c r="E10" s="425" t="s">
        <v>81</v>
      </c>
      <c r="F10"/>
      <c r="G10" s="46" t="s">
        <v>18</v>
      </c>
      <c r="H10" s="20" t="s">
        <v>26</v>
      </c>
      <c r="I10" s="2"/>
      <c r="T10" s="19"/>
    </row>
    <row r="11" spans="2:20" x14ac:dyDescent="0.35">
      <c r="B11" s="397"/>
      <c r="C11" s="50" t="s">
        <v>77</v>
      </c>
      <c r="D11" s="416"/>
      <c r="E11" s="426"/>
      <c r="F11"/>
      <c r="G11" s="46"/>
      <c r="H11" s="20" t="s">
        <v>131</v>
      </c>
      <c r="I11" s="2"/>
      <c r="T11" s="19"/>
    </row>
    <row r="12" spans="2:20" ht="15" thickBot="1" x14ac:dyDescent="0.4">
      <c r="B12" s="397"/>
      <c r="C12" s="51" t="s">
        <v>75</v>
      </c>
      <c r="D12" s="417"/>
      <c r="E12" s="426"/>
      <c r="F12"/>
      <c r="G12" s="91"/>
      <c r="H12" s="211" t="s">
        <v>29</v>
      </c>
      <c r="I12" s="212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213"/>
    </row>
    <row r="13" spans="2:20" ht="15" thickBot="1" x14ac:dyDescent="0.4">
      <c r="B13" s="398"/>
      <c r="C13" s="53" t="s">
        <v>74</v>
      </c>
      <c r="D13" s="418"/>
      <c r="E13" s="427"/>
      <c r="F13" s="1"/>
      <c r="G13" s="10" t="s">
        <v>345</v>
      </c>
    </row>
    <row r="14" spans="2:20" x14ac:dyDescent="0.35">
      <c r="C14" s="74" t="s">
        <v>128</v>
      </c>
      <c r="F14" s="1"/>
      <c r="G14" s="45" t="s">
        <v>19</v>
      </c>
      <c r="H14" s="13" t="s">
        <v>133</v>
      </c>
      <c r="I14" s="15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7"/>
    </row>
    <row r="15" spans="2:20" x14ac:dyDescent="0.35">
      <c r="E15" s="1"/>
      <c r="F15" s="1"/>
      <c r="G15" s="48"/>
      <c r="H15" s="24" t="s">
        <v>29</v>
      </c>
      <c r="I15" s="27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1"/>
    </row>
    <row r="16" spans="2:20" x14ac:dyDescent="0.35">
      <c r="B16" s="1" t="s">
        <v>95</v>
      </c>
      <c r="C16" s="32" t="s">
        <v>126</v>
      </c>
      <c r="D16" s="428">
        <v>2025</v>
      </c>
      <c r="E16" s="43" t="s">
        <v>118</v>
      </c>
      <c r="F16" s="1"/>
      <c r="G16" s="46" t="s">
        <v>18</v>
      </c>
      <c r="H16" s="20" t="s">
        <v>134</v>
      </c>
      <c r="T16" s="19"/>
    </row>
    <row r="17" spans="3:20" x14ac:dyDescent="0.35">
      <c r="C17" s="32" t="s">
        <v>135</v>
      </c>
      <c r="D17" s="429"/>
      <c r="E17" s="415" t="s">
        <v>118</v>
      </c>
      <c r="F17" s="1"/>
      <c r="G17" s="48"/>
      <c r="H17" s="24" t="s">
        <v>29</v>
      </c>
      <c r="I17" s="27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1"/>
    </row>
    <row r="18" spans="3:20" x14ac:dyDescent="0.35">
      <c r="C18" s="40" t="s">
        <v>125</v>
      </c>
      <c r="D18" s="430"/>
      <c r="E18" s="415"/>
      <c r="F18" s="1"/>
      <c r="G18" s="46" t="s">
        <v>28</v>
      </c>
      <c r="H18" s="20" t="s">
        <v>130</v>
      </c>
      <c r="T18" s="19"/>
    </row>
    <row r="19" spans="3:20" ht="15" thickBot="1" x14ac:dyDescent="0.4">
      <c r="F19" s="1"/>
      <c r="G19" s="21"/>
      <c r="H19" s="25" t="s">
        <v>129</v>
      </c>
      <c r="I19" s="26"/>
      <c r="J19" s="28"/>
      <c r="K19" s="28"/>
      <c r="L19" s="28"/>
      <c r="M19" s="28"/>
      <c r="N19" s="92"/>
      <c r="O19" s="92"/>
      <c r="P19" s="92"/>
      <c r="Q19" s="92"/>
      <c r="R19" s="92"/>
      <c r="S19" s="92"/>
      <c r="T19" s="93"/>
    </row>
    <row r="20" spans="3:20" x14ac:dyDescent="0.35">
      <c r="C20" s="40" t="s">
        <v>124</v>
      </c>
      <c r="D20" s="413">
        <v>2026</v>
      </c>
      <c r="E20" s="43" t="s">
        <v>120</v>
      </c>
      <c r="F20" s="1"/>
      <c r="G20" s="10" t="s">
        <v>342</v>
      </c>
    </row>
    <row r="21" spans="3:20" ht="43.5" customHeight="1" x14ac:dyDescent="0.35">
      <c r="C21" s="40" t="s">
        <v>110</v>
      </c>
      <c r="D21" s="414"/>
      <c r="E21" s="67" t="s">
        <v>119</v>
      </c>
      <c r="F21" s="1"/>
      <c r="G21" s="395" t="s">
        <v>346</v>
      </c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</row>
    <row r="22" spans="3:20" x14ac:dyDescent="0.35">
      <c r="F22" s="1"/>
      <c r="G22" s="395"/>
      <c r="H22" s="395"/>
      <c r="I22" s="395"/>
      <c r="J22" s="395"/>
      <c r="K22" s="395"/>
      <c r="L22" s="395"/>
      <c r="M22" s="395"/>
    </row>
    <row r="23" spans="3:20" x14ac:dyDescent="0.35">
      <c r="F23" s="1"/>
    </row>
    <row r="24" spans="3:20" x14ac:dyDescent="0.35">
      <c r="F24" s="1"/>
    </row>
    <row r="25" spans="3:20" x14ac:dyDescent="0.35">
      <c r="F25" s="1"/>
    </row>
    <row r="26" spans="3:20" x14ac:dyDescent="0.35">
      <c r="F26" s="1"/>
    </row>
    <row r="27" spans="3:20" x14ac:dyDescent="0.35">
      <c r="F27" s="1"/>
    </row>
    <row r="28" spans="3:20" x14ac:dyDescent="0.35">
      <c r="F28" s="1"/>
    </row>
    <row r="29" spans="3:20" x14ac:dyDescent="0.35">
      <c r="F29" s="1"/>
    </row>
    <row r="30" spans="3:20" x14ac:dyDescent="0.35">
      <c r="F30" s="1"/>
    </row>
    <row r="31" spans="3:20" x14ac:dyDescent="0.35">
      <c r="F31" s="1"/>
    </row>
    <row r="32" spans="3:20" x14ac:dyDescent="0.35">
      <c r="F32" s="1"/>
    </row>
    <row r="33" spans="4:20" x14ac:dyDescent="0.35">
      <c r="E33" s="1"/>
      <c r="F33" s="1"/>
    </row>
    <row r="34" spans="4:20" x14ac:dyDescent="0.35">
      <c r="D34" s="1"/>
      <c r="E34" s="1"/>
      <c r="F34" s="1"/>
    </row>
    <row r="35" spans="4:20" x14ac:dyDescent="0.35">
      <c r="D35" s="1"/>
      <c r="E35" s="1"/>
      <c r="F35" s="1"/>
    </row>
    <row r="37" spans="4:20" x14ac:dyDescent="0.35">
      <c r="G37"/>
      <c r="H37"/>
      <c r="I37"/>
      <c r="J37"/>
      <c r="K37"/>
      <c r="L37"/>
      <c r="M37"/>
      <c r="N37"/>
      <c r="O37"/>
      <c r="P37"/>
      <c r="Q37"/>
      <c r="R37"/>
      <c r="S37"/>
      <c r="T37"/>
    </row>
    <row r="38" spans="4:20" x14ac:dyDescent="0.35">
      <c r="G38"/>
      <c r="H38"/>
      <c r="I38"/>
      <c r="J38"/>
      <c r="K38"/>
      <c r="L38"/>
      <c r="M38"/>
      <c r="N38"/>
      <c r="O38"/>
      <c r="P38"/>
      <c r="Q38"/>
      <c r="R38"/>
      <c r="S38"/>
      <c r="T38"/>
    </row>
    <row r="39" spans="4:20" x14ac:dyDescent="0.35">
      <c r="G39"/>
      <c r="H39"/>
      <c r="I39"/>
      <c r="J39"/>
      <c r="K39"/>
      <c r="L39"/>
      <c r="M39"/>
      <c r="N39"/>
      <c r="O39"/>
      <c r="P39"/>
      <c r="Q39"/>
      <c r="R39"/>
      <c r="S39"/>
      <c r="T39"/>
    </row>
    <row r="40" spans="4:20" x14ac:dyDescent="0.35">
      <c r="G40"/>
      <c r="H40"/>
      <c r="I40"/>
      <c r="J40"/>
      <c r="K40"/>
      <c r="L40"/>
      <c r="M40"/>
      <c r="N40"/>
      <c r="O40"/>
      <c r="P40"/>
      <c r="Q40"/>
      <c r="R40"/>
      <c r="S40"/>
      <c r="T40"/>
    </row>
    <row r="41" spans="4:20" x14ac:dyDescent="0.35">
      <c r="G41"/>
      <c r="H41"/>
      <c r="I41"/>
      <c r="J41"/>
      <c r="K41"/>
      <c r="L41"/>
      <c r="M41"/>
      <c r="N41"/>
      <c r="O41"/>
      <c r="P41"/>
      <c r="Q41"/>
      <c r="R41"/>
      <c r="S41"/>
      <c r="T41"/>
    </row>
    <row r="42" spans="4:20" x14ac:dyDescent="0.35">
      <c r="G42"/>
      <c r="H42"/>
      <c r="I42"/>
      <c r="J42"/>
      <c r="K42"/>
      <c r="L42"/>
      <c r="M42"/>
      <c r="N42"/>
      <c r="O42"/>
      <c r="P42"/>
      <c r="Q42"/>
      <c r="R42"/>
      <c r="S42"/>
      <c r="T42"/>
    </row>
  </sheetData>
  <mergeCells count="16">
    <mergeCell ref="G22:M22"/>
    <mergeCell ref="G21:T21"/>
    <mergeCell ref="B10:B13"/>
    <mergeCell ref="D2:D3"/>
    <mergeCell ref="E2:E3"/>
    <mergeCell ref="B7:B9"/>
    <mergeCell ref="B2:C3"/>
    <mergeCell ref="B4:B6"/>
    <mergeCell ref="E4:E6"/>
    <mergeCell ref="D20:D21"/>
    <mergeCell ref="E17:E18"/>
    <mergeCell ref="D11:D13"/>
    <mergeCell ref="E7:E9"/>
    <mergeCell ref="D7:D9"/>
    <mergeCell ref="E10:E13"/>
    <mergeCell ref="D16:D18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B1054-9445-434F-B8C4-4275AFE8E718}">
  <sheetPr codeName="Sheet2"/>
  <dimension ref="B2:X37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68.1796875" style="1" bestFit="1" customWidth="1"/>
    <col min="4" max="4" width="20.54296875" style="2" customWidth="1"/>
    <col min="5" max="5" width="22.81640625" style="2" customWidth="1"/>
    <col min="6" max="6" width="19.54296875" style="2" customWidth="1"/>
    <col min="7" max="7" width="26.54296875" style="2" customWidth="1"/>
    <col min="8" max="8" width="9.26953125" style="1"/>
    <col min="9" max="9" width="9.1796875" style="2" customWidth="1"/>
    <col min="10" max="10" width="27.26953125" style="1" customWidth="1"/>
    <col min="11" max="15" width="9.26953125" style="1"/>
    <col min="16" max="16" width="48.26953125" style="1" bestFit="1" customWidth="1"/>
    <col min="17" max="16384" width="9.26953125" style="1"/>
  </cols>
  <sheetData>
    <row r="2" spans="2:24" ht="14.65" customHeight="1" x14ac:dyDescent="0.35">
      <c r="B2" s="431" t="s">
        <v>8</v>
      </c>
      <c r="C2" s="431"/>
      <c r="D2" s="454" t="s">
        <v>7</v>
      </c>
      <c r="E2" s="455"/>
      <c r="F2" s="456" t="s">
        <v>80</v>
      </c>
      <c r="G2" s="457"/>
      <c r="I2" s="1"/>
      <c r="J2" s="1" t="s">
        <v>79</v>
      </c>
      <c r="L2" s="2"/>
      <c r="M2" s="2"/>
      <c r="N2" s="2"/>
      <c r="P2" s="8" t="s">
        <v>72</v>
      </c>
    </row>
    <row r="3" spans="2:24" ht="14.65" customHeight="1" thickBot="1" x14ac:dyDescent="0.4">
      <c r="B3" s="432"/>
      <c r="C3" s="432"/>
      <c r="D3" s="56" t="s">
        <v>22</v>
      </c>
      <c r="E3" s="57" t="s">
        <v>23</v>
      </c>
      <c r="F3" s="56" t="s">
        <v>22</v>
      </c>
      <c r="G3" s="57" t="s">
        <v>23</v>
      </c>
      <c r="I3" s="1"/>
      <c r="J3" s="10" t="s">
        <v>112</v>
      </c>
      <c r="K3" s="8"/>
      <c r="L3" s="2"/>
      <c r="M3" s="2"/>
      <c r="N3" s="2"/>
    </row>
    <row r="4" spans="2:24" ht="15" thickBot="1" x14ac:dyDescent="0.4">
      <c r="B4" s="433" t="s">
        <v>86</v>
      </c>
      <c r="C4" s="70" t="s">
        <v>89</v>
      </c>
      <c r="D4" s="58" t="s">
        <v>81</v>
      </c>
      <c r="E4" s="58" t="s">
        <v>82</v>
      </c>
      <c r="F4" s="71" t="s">
        <v>108</v>
      </c>
      <c r="G4" s="72" t="s">
        <v>81</v>
      </c>
      <c r="I4" s="1"/>
      <c r="L4" s="2"/>
      <c r="M4" s="2"/>
    </row>
    <row r="5" spans="2:24" x14ac:dyDescent="0.35">
      <c r="B5" s="434"/>
      <c r="C5" s="68" t="s">
        <v>90</v>
      </c>
      <c r="D5" s="453" t="s">
        <v>108</v>
      </c>
      <c r="E5" s="453"/>
      <c r="F5" s="43" t="s">
        <v>85</v>
      </c>
      <c r="G5" s="59" t="s">
        <v>82</v>
      </c>
      <c r="I5" s="1" t="s">
        <v>22</v>
      </c>
      <c r="J5" s="45" t="s">
        <v>19</v>
      </c>
      <c r="K5" s="14" t="s">
        <v>25</v>
      </c>
      <c r="L5" s="15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7"/>
    </row>
    <row r="6" spans="2:24" ht="15" thickBot="1" x14ac:dyDescent="0.4">
      <c r="B6" s="435"/>
      <c r="C6" s="69" t="s">
        <v>91</v>
      </c>
      <c r="D6" s="452" t="s">
        <v>108</v>
      </c>
      <c r="E6" s="452"/>
      <c r="F6" s="60" t="s">
        <v>83</v>
      </c>
      <c r="G6" s="61" t="s">
        <v>84</v>
      </c>
      <c r="I6" s="1"/>
      <c r="J6" s="46"/>
      <c r="K6" s="10" t="s">
        <v>27</v>
      </c>
      <c r="L6" s="2"/>
      <c r="X6" s="19"/>
    </row>
    <row r="7" spans="2:24" x14ac:dyDescent="0.35">
      <c r="B7" s="436" t="s">
        <v>87</v>
      </c>
      <c r="C7" s="64" t="s">
        <v>92</v>
      </c>
      <c r="D7" s="458" t="s">
        <v>81</v>
      </c>
      <c r="E7" s="459"/>
      <c r="F7" s="459"/>
      <c r="G7" s="460"/>
      <c r="I7" s="1"/>
      <c r="J7" s="46"/>
      <c r="K7" s="24" t="s">
        <v>29</v>
      </c>
      <c r="L7" s="27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1"/>
    </row>
    <row r="8" spans="2:24" x14ac:dyDescent="0.35">
      <c r="B8" s="403"/>
      <c r="C8" s="40" t="s">
        <v>93</v>
      </c>
      <c r="D8" s="461" t="s">
        <v>81</v>
      </c>
      <c r="E8" s="462"/>
      <c r="F8" s="462"/>
      <c r="G8" s="463"/>
      <c r="I8" s="1"/>
      <c r="J8" s="46" t="s">
        <v>18</v>
      </c>
      <c r="K8" s="20" t="s">
        <v>25</v>
      </c>
      <c r="L8" s="2"/>
      <c r="X8" s="19"/>
    </row>
    <row r="9" spans="2:24" ht="15" thickBot="1" x14ac:dyDescent="0.4">
      <c r="B9" s="409"/>
      <c r="C9" s="55" t="s">
        <v>94</v>
      </c>
      <c r="D9" s="464" t="s">
        <v>81</v>
      </c>
      <c r="E9" s="465"/>
      <c r="F9" s="465"/>
      <c r="G9" s="466"/>
      <c r="I9" s="1"/>
      <c r="J9" s="46"/>
      <c r="K9" s="20" t="s">
        <v>21</v>
      </c>
      <c r="L9" s="2"/>
      <c r="X9" s="19"/>
    </row>
    <row r="10" spans="2:24" x14ac:dyDescent="0.35">
      <c r="B10" s="396" t="s">
        <v>88</v>
      </c>
      <c r="C10" s="52" t="s">
        <v>92</v>
      </c>
      <c r="D10" s="437" t="s">
        <v>81</v>
      </c>
      <c r="E10" s="438"/>
      <c r="F10" s="438"/>
      <c r="G10" s="439"/>
      <c r="I10" s="1"/>
      <c r="J10" s="46"/>
      <c r="K10" s="35" t="s">
        <v>60</v>
      </c>
      <c r="L10" s="36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8"/>
    </row>
    <row r="11" spans="2:24" x14ac:dyDescent="0.35">
      <c r="B11" s="403"/>
      <c r="C11" s="49" t="s">
        <v>78</v>
      </c>
      <c r="D11" s="440"/>
      <c r="E11" s="441"/>
      <c r="F11" s="441"/>
      <c r="G11" s="442"/>
      <c r="I11" s="1"/>
      <c r="J11" s="46" t="s">
        <v>28</v>
      </c>
      <c r="K11" s="20" t="s">
        <v>30</v>
      </c>
      <c r="L11" s="2"/>
      <c r="X11" s="19"/>
    </row>
    <row r="12" spans="2:24" ht="15" thickBot="1" x14ac:dyDescent="0.4">
      <c r="B12" s="403"/>
      <c r="C12" s="50" t="s">
        <v>77</v>
      </c>
      <c r="D12" s="449" t="s">
        <v>15</v>
      </c>
      <c r="E12" s="416"/>
      <c r="F12" s="443" t="s">
        <v>81</v>
      </c>
      <c r="G12" s="444"/>
      <c r="I12" s="1"/>
      <c r="J12" s="47"/>
      <c r="K12" s="25" t="s">
        <v>57</v>
      </c>
      <c r="L12" s="26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9"/>
    </row>
    <row r="13" spans="2:24" x14ac:dyDescent="0.35">
      <c r="B13" s="403"/>
      <c r="C13" s="51" t="s">
        <v>76</v>
      </c>
      <c r="D13" s="450"/>
      <c r="E13" s="417"/>
      <c r="F13" s="445"/>
      <c r="G13" s="446"/>
      <c r="I13" s="1" t="s">
        <v>23</v>
      </c>
      <c r="J13" s="45" t="s">
        <v>19</v>
      </c>
      <c r="K13" s="14" t="s">
        <v>26</v>
      </c>
      <c r="L13" s="15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7"/>
    </row>
    <row r="14" spans="2:24" x14ac:dyDescent="0.35">
      <c r="B14" s="403"/>
      <c r="C14" s="51" t="s">
        <v>75</v>
      </c>
      <c r="D14" s="450"/>
      <c r="E14" s="417"/>
      <c r="F14" s="445"/>
      <c r="G14" s="446"/>
      <c r="I14" s="1"/>
      <c r="J14" s="48"/>
      <c r="K14" s="10" t="s">
        <v>132</v>
      </c>
      <c r="L14" s="2"/>
      <c r="X14" s="19"/>
    </row>
    <row r="15" spans="2:24" ht="15" thickBot="1" x14ac:dyDescent="0.4">
      <c r="B15" s="409"/>
      <c r="C15" s="53" t="s">
        <v>74</v>
      </c>
      <c r="D15" s="451"/>
      <c r="E15" s="418"/>
      <c r="F15" s="447"/>
      <c r="G15" s="448"/>
      <c r="I15" s="1"/>
      <c r="J15" s="48"/>
      <c r="K15" s="10" t="s">
        <v>133</v>
      </c>
      <c r="L15" s="2"/>
      <c r="X15" s="19"/>
    </row>
    <row r="16" spans="2:24" x14ac:dyDescent="0.35">
      <c r="C16" s="39" t="s">
        <v>123</v>
      </c>
      <c r="E16" s="1"/>
      <c r="F16" s="1"/>
      <c r="G16" s="1"/>
      <c r="I16" s="1"/>
      <c r="J16" s="48"/>
      <c r="K16" s="24" t="s">
        <v>29</v>
      </c>
      <c r="L16" s="27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1"/>
    </row>
    <row r="17" spans="2:24" x14ac:dyDescent="0.35">
      <c r="E17" s="1"/>
      <c r="F17" s="1"/>
      <c r="G17" s="1"/>
      <c r="I17" s="1"/>
      <c r="J17" s="46" t="s">
        <v>18</v>
      </c>
      <c r="K17" s="20" t="s">
        <v>26</v>
      </c>
      <c r="L17" s="2"/>
      <c r="X17" s="19"/>
    </row>
    <row r="18" spans="2:24" x14ac:dyDescent="0.35">
      <c r="B18" s="1" t="s">
        <v>95</v>
      </c>
      <c r="C18" s="62" t="s">
        <v>114</v>
      </c>
      <c r="E18" s="1"/>
      <c r="F18" s="1"/>
      <c r="I18" s="1"/>
      <c r="J18" s="46"/>
      <c r="K18" s="20" t="s">
        <v>136</v>
      </c>
      <c r="L18" s="2"/>
      <c r="X18" s="19"/>
    </row>
    <row r="19" spans="2:24" x14ac:dyDescent="0.35">
      <c r="C19" s="1" t="s">
        <v>101</v>
      </c>
      <c r="D19" s="63">
        <v>2025</v>
      </c>
      <c r="E19" s="1" t="s">
        <v>97</v>
      </c>
      <c r="F19" s="1"/>
      <c r="I19" s="1"/>
      <c r="J19" s="48"/>
      <c r="K19" s="20" t="s">
        <v>134</v>
      </c>
      <c r="L19" s="2"/>
      <c r="X19" s="19"/>
    </row>
    <row r="20" spans="2:24" x14ac:dyDescent="0.35">
      <c r="C20" s="1" t="s">
        <v>102</v>
      </c>
      <c r="D20" s="2">
        <v>2026</v>
      </c>
      <c r="E20" s="1" t="s">
        <v>96</v>
      </c>
      <c r="F20" s="1"/>
      <c r="I20" s="1"/>
      <c r="J20" s="48"/>
      <c r="K20" s="24" t="s">
        <v>29</v>
      </c>
      <c r="L20" s="27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1"/>
    </row>
    <row r="21" spans="2:24" x14ac:dyDescent="0.35">
      <c r="E21" s="1"/>
      <c r="F21" s="1"/>
      <c r="I21" s="1"/>
      <c r="J21" s="46" t="s">
        <v>28</v>
      </c>
      <c r="K21" s="20" t="s">
        <v>130</v>
      </c>
      <c r="L21" s="2"/>
      <c r="X21" s="19"/>
    </row>
    <row r="22" spans="2:24" ht="15" thickBot="1" x14ac:dyDescent="0.4">
      <c r="C22" s="62" t="s">
        <v>115</v>
      </c>
      <c r="E22" s="1"/>
      <c r="F22" s="1"/>
      <c r="G22" s="1"/>
      <c r="I22" s="1"/>
      <c r="J22" s="21"/>
      <c r="K22" s="25" t="s">
        <v>58</v>
      </c>
      <c r="L22" s="26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9"/>
    </row>
    <row r="23" spans="2:24" x14ac:dyDescent="0.35">
      <c r="C23" s="1" t="s">
        <v>116</v>
      </c>
      <c r="D23" s="63">
        <v>2025</v>
      </c>
      <c r="E23" s="1" t="s">
        <v>103</v>
      </c>
      <c r="F23" s="1"/>
      <c r="G23" s="1"/>
      <c r="I23" s="1"/>
    </row>
    <row r="24" spans="2:24" x14ac:dyDescent="0.35">
      <c r="C24" s="1" t="s">
        <v>109</v>
      </c>
      <c r="D24" s="2">
        <v>2026</v>
      </c>
      <c r="E24" s="1" t="s">
        <v>97</v>
      </c>
      <c r="F24" s="1"/>
      <c r="G24" s="1"/>
      <c r="I24" s="1"/>
    </row>
    <row r="25" spans="2:24" x14ac:dyDescent="0.35">
      <c r="C25" s="1" t="s">
        <v>106</v>
      </c>
      <c r="D25" s="2">
        <v>2026</v>
      </c>
      <c r="E25" s="1" t="s">
        <v>107</v>
      </c>
      <c r="F25" s="1"/>
      <c r="G25" s="1"/>
      <c r="I25" s="1"/>
    </row>
    <row r="26" spans="2:24" x14ac:dyDescent="0.35">
      <c r="C26" s="1" t="s">
        <v>102</v>
      </c>
      <c r="D26" s="2">
        <v>2026</v>
      </c>
      <c r="E26" s="1" t="s">
        <v>104</v>
      </c>
      <c r="F26" s="1"/>
      <c r="G26" s="1"/>
      <c r="I26" s="1"/>
    </row>
    <row r="27" spans="2:24" x14ac:dyDescent="0.35">
      <c r="E27" s="1"/>
      <c r="F27" s="1"/>
      <c r="G27" s="1"/>
      <c r="I27" s="1"/>
    </row>
    <row r="28" spans="2:24" x14ac:dyDescent="0.35">
      <c r="C28" s="62" t="s">
        <v>105</v>
      </c>
      <c r="E28" s="1"/>
      <c r="F28" s="1"/>
      <c r="G28" s="1"/>
      <c r="I28" s="1"/>
    </row>
    <row r="29" spans="2:24" x14ac:dyDescent="0.35">
      <c r="C29" s="1" t="s">
        <v>100</v>
      </c>
      <c r="D29" s="63">
        <v>2025</v>
      </c>
      <c r="E29" s="1" t="s">
        <v>99</v>
      </c>
      <c r="F29" s="1"/>
      <c r="G29" s="1"/>
      <c r="I29" s="1"/>
    </row>
    <row r="30" spans="2:24" x14ac:dyDescent="0.35">
      <c r="C30" s="1" t="s">
        <v>113</v>
      </c>
      <c r="D30" s="63">
        <v>2025</v>
      </c>
      <c r="E30" s="1" t="s">
        <v>97</v>
      </c>
      <c r="I30" s="1"/>
    </row>
    <row r="31" spans="2:24" x14ac:dyDescent="0.35">
      <c r="C31" s="37" t="s">
        <v>111</v>
      </c>
      <c r="D31" s="36">
        <v>2026</v>
      </c>
      <c r="E31" s="37" t="s">
        <v>99</v>
      </c>
      <c r="F31" s="37"/>
      <c r="G31" s="37"/>
      <c r="I31" s="1"/>
    </row>
    <row r="32" spans="2:24" x14ac:dyDescent="0.35">
      <c r="C32" s="1" t="s">
        <v>110</v>
      </c>
      <c r="D32" s="2">
        <v>2026</v>
      </c>
      <c r="E32" s="1" t="s">
        <v>98</v>
      </c>
      <c r="F32" s="1"/>
      <c r="G32" s="1"/>
      <c r="I32" s="1"/>
    </row>
    <row r="33" spans="4:9" x14ac:dyDescent="0.35">
      <c r="F33" s="1"/>
      <c r="G33" s="1"/>
      <c r="I33" s="1"/>
    </row>
    <row r="34" spans="4:9" x14ac:dyDescent="0.35">
      <c r="F34" s="1"/>
      <c r="G34" s="1"/>
      <c r="I34" s="1"/>
    </row>
    <row r="35" spans="4:9" x14ac:dyDescent="0.35">
      <c r="E35" s="1"/>
      <c r="F35" s="1"/>
      <c r="G35" s="1"/>
      <c r="I35" s="1"/>
    </row>
    <row r="36" spans="4:9" x14ac:dyDescent="0.35">
      <c r="D36" s="1"/>
      <c r="E36" s="1"/>
      <c r="F36" s="1"/>
      <c r="G36" s="1"/>
      <c r="I36" s="1"/>
    </row>
    <row r="37" spans="4:9" x14ac:dyDescent="0.35">
      <c r="D37" s="1"/>
      <c r="E37" s="1"/>
      <c r="F37" s="1"/>
      <c r="G37" s="1"/>
      <c r="I37" s="1"/>
    </row>
  </sheetData>
  <mergeCells count="14">
    <mergeCell ref="B2:C3"/>
    <mergeCell ref="B4:B6"/>
    <mergeCell ref="B10:B15"/>
    <mergeCell ref="B7:B9"/>
    <mergeCell ref="D10:G11"/>
    <mergeCell ref="F12:G15"/>
    <mergeCell ref="D12:E15"/>
    <mergeCell ref="D6:E6"/>
    <mergeCell ref="D5:E5"/>
    <mergeCell ref="D2:E2"/>
    <mergeCell ref="F2:G2"/>
    <mergeCell ref="D7:G7"/>
    <mergeCell ref="D8:G8"/>
    <mergeCell ref="D9:G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251E-9A23-4E00-B427-42544FA8AA6F}">
  <sheetPr codeName="Sheet3"/>
  <dimension ref="B2:R36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69.54296875" style="1" bestFit="1" customWidth="1"/>
    <col min="3" max="3" width="20" style="2" customWidth="1"/>
    <col min="4" max="4" width="26.7265625" style="2" bestFit="1" customWidth="1"/>
    <col min="5" max="6" width="19.7265625" style="2" customWidth="1"/>
    <col min="7" max="16384" width="9.26953125" style="1"/>
  </cols>
  <sheetData>
    <row r="2" spans="2:6" x14ac:dyDescent="0.35">
      <c r="B2" s="431" t="s">
        <v>8</v>
      </c>
      <c r="C2" s="468" t="s">
        <v>7</v>
      </c>
      <c r="D2" s="456">
        <v>46203</v>
      </c>
      <c r="E2" s="467"/>
      <c r="F2" s="457"/>
    </row>
    <row r="3" spans="2:6" x14ac:dyDescent="0.35">
      <c r="B3" s="431"/>
      <c r="C3" s="468"/>
      <c r="D3" s="7" t="s">
        <v>6</v>
      </c>
      <c r="E3" s="7" t="s">
        <v>5</v>
      </c>
      <c r="F3" s="7" t="s">
        <v>9</v>
      </c>
    </row>
    <row r="4" spans="2:6" ht="32.25" customHeight="1" x14ac:dyDescent="0.35">
      <c r="B4" s="40" t="s">
        <v>0</v>
      </c>
      <c r="C4" s="41" t="s">
        <v>73</v>
      </c>
      <c r="D4" s="43"/>
      <c r="E4" s="43"/>
      <c r="F4" s="42" t="s">
        <v>11</v>
      </c>
    </row>
    <row r="5" spans="2:6" ht="32.25" customHeight="1" x14ac:dyDescent="0.35">
      <c r="B5" s="40" t="s">
        <v>1</v>
      </c>
      <c r="C5" s="43"/>
      <c r="D5" s="43" t="s">
        <v>68</v>
      </c>
      <c r="E5" s="43" t="s">
        <v>67</v>
      </c>
      <c r="F5" s="41" t="s">
        <v>12</v>
      </c>
    </row>
    <row r="6" spans="2:6" ht="32.25" customHeight="1" x14ac:dyDescent="0.35">
      <c r="B6" s="40" t="s">
        <v>69</v>
      </c>
      <c r="C6" s="9" t="s">
        <v>15</v>
      </c>
      <c r="D6" s="42" t="s">
        <v>14</v>
      </c>
      <c r="E6" s="41" t="s">
        <v>12</v>
      </c>
      <c r="F6" s="42"/>
    </row>
    <row r="7" spans="2:6" ht="32.25" customHeight="1" x14ac:dyDescent="0.35">
      <c r="B7" s="3" t="s">
        <v>2</v>
      </c>
      <c r="C7" s="4" t="s">
        <v>13</v>
      </c>
      <c r="D7" s="6" t="s">
        <v>10</v>
      </c>
      <c r="E7" s="5"/>
      <c r="F7" s="5"/>
    </row>
    <row r="8" spans="2:6" ht="32.25" customHeight="1" x14ac:dyDescent="0.35">
      <c r="B8" s="3" t="s">
        <v>3</v>
      </c>
      <c r="C8" s="4" t="s">
        <v>13</v>
      </c>
      <c r="D8" s="6" t="s">
        <v>10</v>
      </c>
      <c r="E8" s="5"/>
      <c r="F8" s="5"/>
    </row>
    <row r="9" spans="2:6" ht="32.25" customHeight="1" x14ac:dyDescent="0.35">
      <c r="B9" s="3" t="s">
        <v>4</v>
      </c>
      <c r="C9" s="4" t="s">
        <v>13</v>
      </c>
      <c r="D9" s="6" t="s">
        <v>10</v>
      </c>
      <c r="E9" s="5"/>
      <c r="F9" s="5"/>
    </row>
    <row r="10" spans="2:6" ht="38.65" customHeight="1" x14ac:dyDescent="0.35">
      <c r="B10" s="44" t="s">
        <v>65</v>
      </c>
      <c r="C10" s="42" t="s">
        <v>13</v>
      </c>
      <c r="D10" s="42" t="s">
        <v>14</v>
      </c>
      <c r="E10" s="42" t="s">
        <v>12</v>
      </c>
      <c r="F10" s="42" t="s">
        <v>11</v>
      </c>
    </row>
    <row r="11" spans="2:6" ht="65.25" customHeight="1" x14ac:dyDescent="0.35">
      <c r="B11" s="44" t="s">
        <v>66</v>
      </c>
      <c r="C11" s="9" t="s">
        <v>15</v>
      </c>
      <c r="D11" s="43">
        <v>3</v>
      </c>
      <c r="E11" s="42" t="s">
        <v>12</v>
      </c>
      <c r="F11" s="42" t="s">
        <v>11</v>
      </c>
    </row>
    <row r="12" spans="2:6" x14ac:dyDescent="0.35">
      <c r="B12" s="39" t="s">
        <v>123</v>
      </c>
    </row>
    <row r="14" spans="2:6" x14ac:dyDescent="0.35">
      <c r="B14" s="1" t="s">
        <v>64</v>
      </c>
      <c r="C14" s="8" t="s">
        <v>70</v>
      </c>
    </row>
    <row r="15" spans="2:6" x14ac:dyDescent="0.35">
      <c r="B15" s="1" t="s">
        <v>61</v>
      </c>
      <c r="C15" s="8" t="s">
        <v>71</v>
      </c>
    </row>
    <row r="16" spans="2:6" x14ac:dyDescent="0.35">
      <c r="B16" s="10" t="s">
        <v>63</v>
      </c>
      <c r="C16" s="10" t="s">
        <v>17</v>
      </c>
    </row>
    <row r="17" spans="2:18" x14ac:dyDescent="0.35">
      <c r="B17" s="1" t="s">
        <v>62</v>
      </c>
      <c r="C17" s="8" t="s">
        <v>72</v>
      </c>
    </row>
    <row r="18" spans="2:18" ht="15" thickBot="1" x14ac:dyDescent="0.4">
      <c r="B18" s="10" t="s">
        <v>16</v>
      </c>
      <c r="C18" s="10" t="s">
        <v>17</v>
      </c>
      <c r="D18" s="11"/>
    </row>
    <row r="19" spans="2:18" x14ac:dyDescent="0.35">
      <c r="C19" s="12" t="s">
        <v>22</v>
      </c>
      <c r="D19" s="13" t="s">
        <v>19</v>
      </c>
      <c r="E19" s="14" t="s">
        <v>25</v>
      </c>
      <c r="F19" s="15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/>
    </row>
    <row r="20" spans="2:18" x14ac:dyDescent="0.35">
      <c r="C20" s="18"/>
      <c r="D20" s="10"/>
      <c r="E20" s="10" t="s">
        <v>27</v>
      </c>
      <c r="R20" s="19"/>
    </row>
    <row r="21" spans="2:18" x14ac:dyDescent="0.35">
      <c r="C21" s="18"/>
      <c r="D21" s="10"/>
      <c r="E21" s="24" t="s">
        <v>29</v>
      </c>
      <c r="F21" s="27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1"/>
    </row>
    <row r="22" spans="2:18" x14ac:dyDescent="0.35">
      <c r="C22" s="18"/>
      <c r="D22" s="10" t="s">
        <v>18</v>
      </c>
      <c r="E22" s="20" t="s">
        <v>20</v>
      </c>
      <c r="R22" s="19"/>
    </row>
    <row r="23" spans="2:18" x14ac:dyDescent="0.35">
      <c r="C23" s="18"/>
      <c r="D23" s="10"/>
      <c r="E23" s="20" t="s">
        <v>21</v>
      </c>
      <c r="R23" s="19"/>
    </row>
    <row r="24" spans="2:18" x14ac:dyDescent="0.35">
      <c r="C24" s="18"/>
      <c r="D24" s="10"/>
      <c r="E24" s="35" t="s">
        <v>60</v>
      </c>
      <c r="F24" s="36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8"/>
    </row>
    <row r="25" spans="2:18" x14ac:dyDescent="0.35">
      <c r="C25" s="18"/>
      <c r="D25" s="10" t="s">
        <v>28</v>
      </c>
      <c r="E25" s="20" t="s">
        <v>30</v>
      </c>
      <c r="R25" s="19"/>
    </row>
    <row r="26" spans="2:18" ht="15" thickBot="1" x14ac:dyDescent="0.4">
      <c r="C26" s="21"/>
      <c r="D26" s="22"/>
      <c r="E26" s="25" t="s">
        <v>57</v>
      </c>
      <c r="F26" s="26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9"/>
    </row>
    <row r="27" spans="2:18" x14ac:dyDescent="0.35">
      <c r="C27" s="12" t="s">
        <v>23</v>
      </c>
      <c r="D27" s="13" t="s">
        <v>19</v>
      </c>
      <c r="E27" s="14" t="s">
        <v>26</v>
      </c>
      <c r="F27" s="15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7"/>
    </row>
    <row r="28" spans="2:18" x14ac:dyDescent="0.35">
      <c r="C28" s="18"/>
      <c r="D28" s="1"/>
      <c r="E28" s="10" t="s">
        <v>132</v>
      </c>
      <c r="R28" s="19"/>
    </row>
    <row r="29" spans="2:18" x14ac:dyDescent="0.35">
      <c r="C29" s="18"/>
      <c r="D29" s="1"/>
      <c r="E29" s="10" t="s">
        <v>133</v>
      </c>
      <c r="R29" s="19"/>
    </row>
    <row r="30" spans="2:18" x14ac:dyDescent="0.35">
      <c r="C30" s="18"/>
      <c r="D30" s="1"/>
      <c r="E30" s="24" t="s">
        <v>29</v>
      </c>
      <c r="F30" s="27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1"/>
    </row>
    <row r="31" spans="2:18" x14ac:dyDescent="0.35">
      <c r="C31" s="18"/>
      <c r="D31" s="10" t="s">
        <v>18</v>
      </c>
      <c r="E31" s="20" t="s">
        <v>24</v>
      </c>
      <c r="R31" s="19"/>
    </row>
    <row r="32" spans="2:18" x14ac:dyDescent="0.35">
      <c r="C32" s="18"/>
      <c r="D32" s="10"/>
      <c r="E32" s="20" t="s">
        <v>136</v>
      </c>
      <c r="R32" s="19"/>
    </row>
    <row r="33" spans="3:18" x14ac:dyDescent="0.35">
      <c r="C33" s="18"/>
      <c r="D33" s="1"/>
      <c r="E33" s="20" t="s">
        <v>134</v>
      </c>
      <c r="R33" s="19"/>
    </row>
    <row r="34" spans="3:18" x14ac:dyDescent="0.35">
      <c r="C34" s="18"/>
      <c r="D34" s="1"/>
      <c r="E34" s="24" t="s">
        <v>29</v>
      </c>
      <c r="F34" s="27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1"/>
    </row>
    <row r="35" spans="3:18" x14ac:dyDescent="0.35">
      <c r="C35" s="18"/>
      <c r="D35" s="10" t="s">
        <v>28</v>
      </c>
      <c r="E35" s="20" t="s">
        <v>130</v>
      </c>
      <c r="R35" s="19"/>
    </row>
    <row r="36" spans="3:18" ht="15" thickBot="1" x14ac:dyDescent="0.4">
      <c r="C36" s="21"/>
      <c r="D36" s="23"/>
      <c r="E36" s="25" t="s">
        <v>58</v>
      </c>
      <c r="F36" s="26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9"/>
    </row>
  </sheetData>
  <mergeCells count="3">
    <mergeCell ref="D2:F2"/>
    <mergeCell ref="C2:C3"/>
    <mergeCell ref="B2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813E-53AE-4159-B6D6-1146B744B584}">
  <sheetPr codeName="Sheet4"/>
  <dimension ref="A1:E10"/>
  <sheetViews>
    <sheetView workbookViewId="0"/>
  </sheetViews>
  <sheetFormatPr defaultRowHeight="14.5" x14ac:dyDescent="0.35"/>
  <cols>
    <col min="1" max="1" width="6.7265625" bestFit="1" customWidth="1"/>
    <col min="2" max="2" width="2.1796875" bestFit="1" customWidth="1"/>
    <col min="3" max="3" width="2.81640625" bestFit="1" customWidth="1"/>
    <col min="4" max="4" width="24.81640625" bestFit="1" customWidth="1"/>
  </cols>
  <sheetData>
    <row r="1" spans="1:5" x14ac:dyDescent="0.35">
      <c r="A1" t="s">
        <v>31</v>
      </c>
      <c r="B1" t="s">
        <v>51</v>
      </c>
      <c r="C1">
        <v>4</v>
      </c>
      <c r="D1" t="s">
        <v>32</v>
      </c>
    </row>
    <row r="2" spans="1:5" x14ac:dyDescent="0.35">
      <c r="A2" t="s">
        <v>33</v>
      </c>
      <c r="B2" t="s">
        <v>51</v>
      </c>
      <c r="C2">
        <v>12</v>
      </c>
      <c r="D2" t="s">
        <v>34</v>
      </c>
    </row>
    <row r="3" spans="1:5" x14ac:dyDescent="0.35">
      <c r="A3" t="s">
        <v>35</v>
      </c>
      <c r="B3" t="s">
        <v>51</v>
      </c>
      <c r="C3">
        <v>4</v>
      </c>
      <c r="D3" t="s">
        <v>36</v>
      </c>
    </row>
    <row r="4" spans="1:5" x14ac:dyDescent="0.35">
      <c r="A4" t="s">
        <v>37</v>
      </c>
      <c r="B4" t="s">
        <v>51</v>
      </c>
      <c r="C4">
        <v>3</v>
      </c>
      <c r="D4" t="s">
        <v>38</v>
      </c>
    </row>
    <row r="5" spans="1:5" x14ac:dyDescent="0.35">
      <c r="A5" t="s">
        <v>39</v>
      </c>
      <c r="B5" t="s">
        <v>51</v>
      </c>
      <c r="C5">
        <v>10</v>
      </c>
      <c r="D5" t="s">
        <v>40</v>
      </c>
    </row>
    <row r="6" spans="1:5" x14ac:dyDescent="0.35">
      <c r="A6" t="s">
        <v>41</v>
      </c>
      <c r="B6" t="s">
        <v>51</v>
      </c>
      <c r="C6">
        <v>10</v>
      </c>
      <c r="D6" t="s">
        <v>42</v>
      </c>
    </row>
    <row r="7" spans="1:5" x14ac:dyDescent="0.35">
      <c r="A7" t="s">
        <v>43</v>
      </c>
      <c r="B7" t="s">
        <v>51</v>
      </c>
      <c r="C7">
        <v>10</v>
      </c>
      <c r="D7" t="s">
        <v>44</v>
      </c>
    </row>
    <row r="8" spans="1:5" x14ac:dyDescent="0.35">
      <c r="A8" t="s">
        <v>45</v>
      </c>
      <c r="B8" t="s">
        <v>51</v>
      </c>
      <c r="C8">
        <v>31</v>
      </c>
      <c r="D8" t="s">
        <v>46</v>
      </c>
    </row>
    <row r="9" spans="1:5" x14ac:dyDescent="0.35">
      <c r="A9" s="34" t="s">
        <v>47</v>
      </c>
      <c r="B9" s="34" t="s">
        <v>51</v>
      </c>
      <c r="C9" s="34">
        <v>3</v>
      </c>
      <c r="D9" s="34" t="s">
        <v>48</v>
      </c>
      <c r="E9" s="34" t="s">
        <v>59</v>
      </c>
    </row>
    <row r="10" spans="1:5" x14ac:dyDescent="0.35">
      <c r="A10" t="s">
        <v>49</v>
      </c>
      <c r="B10" t="s">
        <v>51</v>
      </c>
      <c r="C10">
        <v>10</v>
      </c>
      <c r="D10" t="s">
        <v>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16F89-DC87-4D67-AF59-135AD0C8A97B}">
  <sheetPr codeName="Sheet5"/>
  <dimension ref="A1:I5"/>
  <sheetViews>
    <sheetView workbookViewId="0"/>
  </sheetViews>
  <sheetFormatPr defaultRowHeight="14.5" x14ac:dyDescent="0.35"/>
  <cols>
    <col min="1" max="1" width="13.1796875" bestFit="1" customWidth="1"/>
    <col min="2" max="2" width="16.54296875" bestFit="1" customWidth="1"/>
    <col min="3" max="3" width="15.1796875" bestFit="1" customWidth="1"/>
    <col min="4" max="5" width="24.1796875" bestFit="1" customWidth="1"/>
    <col min="6" max="6" width="24.81640625" bestFit="1" customWidth="1"/>
    <col min="7" max="7" width="14.54296875" bestFit="1" customWidth="1"/>
    <col min="8" max="8" width="13.1796875" bestFit="1" customWidth="1"/>
    <col min="9" max="9" width="22.7265625" bestFit="1" customWidth="1"/>
  </cols>
  <sheetData>
    <row r="1" spans="1:9" s="1" customFormat="1" ht="31" customHeight="1" x14ac:dyDescent="0.35">
      <c r="A1" s="32" t="s">
        <v>32</v>
      </c>
      <c r="B1" s="32" t="s">
        <v>34</v>
      </c>
      <c r="C1" s="32" t="s">
        <v>36</v>
      </c>
      <c r="D1" s="32" t="s">
        <v>38</v>
      </c>
      <c r="E1" s="32" t="s">
        <v>40</v>
      </c>
      <c r="F1" s="32" t="s">
        <v>42</v>
      </c>
      <c r="G1" s="32" t="s">
        <v>44</v>
      </c>
      <c r="H1" s="32" t="s">
        <v>46</v>
      </c>
      <c r="I1" s="32" t="s">
        <v>50</v>
      </c>
    </row>
    <row r="2" spans="1:9" x14ac:dyDescent="0.35">
      <c r="A2">
        <v>1830</v>
      </c>
      <c r="B2">
        <v>10000000000</v>
      </c>
      <c r="C2" s="33" t="s">
        <v>52</v>
      </c>
      <c r="D2">
        <v>100</v>
      </c>
      <c r="E2" t="s">
        <v>53</v>
      </c>
      <c r="F2" t="s">
        <v>53</v>
      </c>
      <c r="G2" t="s">
        <v>53</v>
      </c>
      <c r="H2">
        <v>500</v>
      </c>
      <c r="I2">
        <v>9000000004</v>
      </c>
    </row>
    <row r="3" spans="1:9" x14ac:dyDescent="0.35">
      <c r="A3">
        <v>1830</v>
      </c>
      <c r="B3">
        <v>10000000000</v>
      </c>
      <c r="C3" s="33" t="s">
        <v>52</v>
      </c>
      <c r="D3">
        <v>105</v>
      </c>
      <c r="E3" t="s">
        <v>54</v>
      </c>
      <c r="F3" t="s">
        <v>54</v>
      </c>
      <c r="G3" t="s">
        <v>54</v>
      </c>
      <c r="H3">
        <v>150</v>
      </c>
      <c r="I3">
        <v>9000000004</v>
      </c>
    </row>
    <row r="4" spans="1:9" x14ac:dyDescent="0.35">
      <c r="A4">
        <v>1830</v>
      </c>
      <c r="B4">
        <v>10000000001</v>
      </c>
      <c r="C4" s="33" t="s">
        <v>52</v>
      </c>
      <c r="D4">
        <v>100</v>
      </c>
      <c r="E4" t="s">
        <v>55</v>
      </c>
      <c r="F4" t="s">
        <v>55</v>
      </c>
      <c r="G4" t="s">
        <v>55</v>
      </c>
      <c r="H4">
        <v>700</v>
      </c>
      <c r="I4">
        <v>9000000004</v>
      </c>
    </row>
    <row r="5" spans="1:9" x14ac:dyDescent="0.35">
      <c r="A5">
        <v>1830</v>
      </c>
      <c r="B5">
        <v>10000000001</v>
      </c>
      <c r="C5" s="33" t="s">
        <v>52</v>
      </c>
      <c r="D5">
        <v>105</v>
      </c>
      <c r="E5" t="s">
        <v>56</v>
      </c>
      <c r="F5" t="s">
        <v>56</v>
      </c>
      <c r="G5" t="s">
        <v>56</v>
      </c>
      <c r="H5">
        <v>100</v>
      </c>
      <c r="I5">
        <v>9000000004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Temp Sample</vt:lpstr>
      <vt:lpstr>Recap</vt:lpstr>
      <vt:lpstr>Reversal Scenarios</vt:lpstr>
      <vt:lpstr>WBS Accounting Entry</vt:lpstr>
      <vt:lpstr>Opt3 (Final)</vt:lpstr>
      <vt:lpstr>Opt3</vt:lpstr>
      <vt:lpstr>Strategy Options</vt:lpstr>
      <vt:lpstr>LSMW Table</vt:lpstr>
      <vt:lpstr>LSMW 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Hoang Quoc Dat Kenway</dc:creator>
  <cp:lastModifiedBy>Hoang Quoc Dat Kenway</cp:lastModifiedBy>
  <dcterms:created xsi:type="dcterms:W3CDTF">2026-04-01T05:01:32Z</dcterms:created>
  <dcterms:modified xsi:type="dcterms:W3CDTF">2026-06-16T17:35:40Z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43ec3a-92eb-434b-bfcd-dd5fcd578c71_Enabled">
    <vt:lpwstr>true</vt:lpwstr>
  </property>
  <property fmtid="{D5CDD505-2E9C-101B-9397-08002B2CF9AE}" pid="3" name="MSIP_Label_a043ec3a-92eb-434b-bfcd-dd5fcd578c71_SetDate">
    <vt:lpwstr>2026-04-01T05:06:44Z</vt:lpwstr>
  </property>
  <property fmtid="{D5CDD505-2E9C-101B-9397-08002B2CF9AE}" pid="4" name="MSIP_Label_a043ec3a-92eb-434b-bfcd-dd5fcd578c71_Method">
    <vt:lpwstr>Privileged</vt:lpwstr>
  </property>
  <property fmtid="{D5CDD505-2E9C-101B-9397-08002B2CF9AE}" pid="5" name="MSIP_Label_a043ec3a-92eb-434b-bfcd-dd5fcd578c71_Name">
    <vt:lpwstr>Group_Unrestricted</vt:lpwstr>
  </property>
  <property fmtid="{D5CDD505-2E9C-101B-9397-08002B2CF9AE}" pid="6" name="MSIP_Label_a043ec3a-92eb-434b-bfcd-dd5fcd578c71_SiteId">
    <vt:lpwstr>82fac8d8-49c2-492d-9f67-7d9e5b66144e</vt:lpwstr>
  </property>
  <property fmtid="{D5CDD505-2E9C-101B-9397-08002B2CF9AE}" pid="7" name="MSIP_Label_a043ec3a-92eb-434b-bfcd-dd5fcd578c71_ActionId">
    <vt:lpwstr>c17412d9-5485-4dde-90f0-fb551786505e</vt:lpwstr>
  </property>
  <property fmtid="{D5CDD505-2E9C-101B-9397-08002B2CF9AE}" pid="8" name="MSIP_Label_a043ec3a-92eb-434b-bfcd-dd5fcd578c71_ContentBits">
    <vt:lpwstr>0</vt:lpwstr>
  </property>
  <property fmtid="{D5CDD505-2E9C-101B-9397-08002B2CF9AE}" pid="9" name="MSIP_Label_a043ec3a-92eb-434b-bfcd-dd5fcd578c71_Tag">
    <vt:lpwstr>10, 0, 1, 1</vt:lpwstr>
  </property>
</Properties>
</file>