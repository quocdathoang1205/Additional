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70023796\Desktop\Project\Main_Link\RepoGit\Additional\AA\"/>
    </mc:Choice>
  </mc:AlternateContent>
  <xr:revisionPtr revIDLastSave="0" documentId="13_ncr:1_{2BC6DCE1-C8F5-405B-AABF-E6457CD4E607}" xr6:coauthVersionLast="47" xr6:coauthVersionMax="47" xr10:uidLastSave="{00000000-0000-0000-0000-000000000000}"/>
  <bookViews>
    <workbookView xWindow="-110" yWindow="-110" windowWidth="25820" windowHeight="13900" activeTab="1" xr2:uid="{00000000-000D-0000-FFFF-FFFF00000000}"/>
  </bookViews>
  <sheets>
    <sheet name="Sheet1" sheetId="1" r:id="rId1"/>
    <sheet name="ABA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 r="E6" i="2" s="1"/>
  <c r="M6" i="2"/>
  <c r="N6" i="2" s="1"/>
  <c r="V6" i="2"/>
  <c r="W6" i="2"/>
  <c r="U10" i="2" l="1"/>
  <c r="L15" i="2"/>
  <c r="D19" i="2"/>
  <c r="L12" i="2"/>
  <c r="U12" i="2"/>
  <c r="U16" i="2"/>
  <c r="C13" i="2"/>
  <c r="U8" i="2"/>
  <c r="D17" i="2"/>
  <c r="U9" i="2"/>
  <c r="C10" i="2"/>
  <c r="C11" i="2"/>
  <c r="U15" i="2"/>
  <c r="L13" i="2"/>
  <c r="U13" i="2"/>
  <c r="C14" i="2"/>
  <c r="U14" i="2"/>
  <c r="V18" i="2"/>
  <c r="L11" i="2"/>
  <c r="C16" i="2"/>
  <c r="M19" i="2"/>
  <c r="L8" i="2"/>
  <c r="M17" i="2"/>
  <c r="V17" i="2"/>
  <c r="M18" i="2"/>
  <c r="U11" i="2"/>
  <c r="C8" i="2"/>
  <c r="D16" i="2" s="1"/>
  <c r="H19" i="2" s="1"/>
  <c r="L9" i="2"/>
  <c r="D18" i="2"/>
  <c r="L10" i="2"/>
  <c r="C12" i="2"/>
  <c r="L16" i="2"/>
  <c r="L14" i="2"/>
  <c r="C15" i="2"/>
  <c r="C9" i="2"/>
  <c r="C21" i="2" l="1"/>
  <c r="C22" i="2"/>
  <c r="M16" i="2"/>
  <c r="Q19" i="2" s="1"/>
  <c r="V16" i="2"/>
  <c r="L21" i="2" l="1"/>
  <c r="L22" i="2"/>
  <c r="V19" i="2"/>
  <c r="Z19" i="2" s="1"/>
</calcChain>
</file>

<file path=xl/sharedStrings.xml><?xml version="1.0" encoding="utf-8"?>
<sst xmlns="http://schemas.openxmlformats.org/spreadsheetml/2006/main" count="85" uniqueCount="37">
  <si>
    <t>SAP Note Central 3640692</t>
  </si>
  <si>
    <t>ABZU</t>
  </si>
  <si>
    <t>ABAA</t>
  </si>
  <si>
    <t>(AFAB chạy thì mới có posting)</t>
  </si>
  <si>
    <t>ABAW</t>
  </si>
  <si>
    <t>Revaluation đánh giá lại APC hoặc Dep tăng giảm tuỳ ý và ảnh hưởng trực tiếp tới khấu hao tháng tiếp theo nhưng cần có cấu hình AO90 tương ứng</t>
  </si>
  <si>
    <t>Write up tăng nguyên giá tài sản dẫn tới giảm khấu hao từ các tháng tiếp theo</t>
  </si>
  <si>
    <t>=&gt; Muốn điều chỉnh khấu hao ảnh hưởng luôn tới tháng sau thì dùng ABZU hoặc ABAW</t>
  </si>
  <si>
    <t>Còn ABAA chỉ dùng để hết khấu hao luôn hoặc năm sau mới ảnh hưởng (Note 3515866)</t>
  </si>
  <si>
    <t>Unplanned Dep tăng khấu hao nhưng chỉ ảnh hưởng tới tính toán khấu hao của năm tiếp theo</t>
  </si>
  <si>
    <t>Nếu tăng đến mức năm tiếp theo ko còn khấu hao thì sẽ về NBV 0 ngay tại kỳ post unplanned dep</t>
  </si>
  <si>
    <t>Nếu tăng đến mức năm tiếp theo ko còn khấu hao nhưng vẫn còn vài tháng khấu hao nữa trong tháng thì các tháng tiếp theo vẫn giữ số khấu hao đã tính trc đó, riêng tháng cuối sẽ là phần chênh lệch còn lại</t>
  </si>
  <si>
    <t>=&gt; Nên cơ bản hệ thống luôn giữ giá trị khấu hao tháng trong năm post unplanned dep còn sang năm sau mới tính lại hàng tháng cho phần NBV còn lại được carryfwd sang</t>
  </si>
  <si>
    <t>T2</t>
  </si>
  <si>
    <t>T1</t>
  </si>
  <si>
    <t>NBV</t>
  </si>
  <si>
    <t>T12</t>
  </si>
  <si>
    <t>T11</t>
  </si>
  <si>
    <t>T10</t>
  </si>
  <si>
    <t>T9</t>
  </si>
  <si>
    <t>T8</t>
  </si>
  <si>
    <t>T7</t>
  </si>
  <si>
    <t>T6</t>
  </si>
  <si>
    <t>T5</t>
  </si>
  <si>
    <t>T4</t>
  </si>
  <si>
    <t>T3</t>
  </si>
  <si>
    <t>T2/26</t>
  </si>
  <si>
    <t>3 năm</t>
  </si>
  <si>
    <t>T3/23</t>
  </si>
  <si>
    <t>End Dep Date</t>
  </si>
  <si>
    <t>Start Dep Date</t>
  </si>
  <si>
    <t>Monthly Dep</t>
  </si>
  <si>
    <t>APC</t>
  </si>
  <si>
    <t>NBV next year = 0</t>
  </si>
  <si>
    <t>NBV next year &gt; 0</t>
  </si>
  <si>
    <t>Case đặc biệt trông như kiểu hệ thống tính lại khấu hao từ T10/25 nhưng thực chất ko phải</t>
  </si>
  <si>
    <t>mà hệ thống chỉ tính lại từ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</si>
</sst>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s>
  <borders count="9">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0" fontId="0" fillId="0" borderId="0" xfId="0" quotePrefix="1"/>
    <xf numFmtId="0" fontId="0" fillId="0" borderId="1" xfId="0" applyBorder="1"/>
    <xf numFmtId="0" fontId="0" fillId="0" borderId="2" xfId="0" applyBorder="1"/>
    <xf numFmtId="2" fontId="0" fillId="2" borderId="2" xfId="0" applyNumberFormat="1" applyFill="1" applyBorder="1"/>
    <xf numFmtId="0" fontId="0" fillId="0" borderId="3" xfId="0" applyBorder="1"/>
    <xf numFmtId="0" fontId="0" fillId="0" borderId="4" xfId="0" applyBorder="1"/>
    <xf numFmtId="2" fontId="0" fillId="2" borderId="0" xfId="0" applyNumberFormat="1" applyFill="1"/>
    <xf numFmtId="0" fontId="0" fillId="0" borderId="5" xfId="0" applyBorder="1"/>
    <xf numFmtId="2" fontId="2" fillId="0" borderId="4" xfId="0" applyNumberFormat="1" applyFont="1" applyBorder="1"/>
    <xf numFmtId="2" fontId="0" fillId="0" borderId="0" xfId="0" applyNumberFormat="1"/>
    <xf numFmtId="0" fontId="0" fillId="3" borderId="0" xfId="0" applyFill="1"/>
    <xf numFmtId="43" fontId="0" fillId="0" borderId="0" xfId="1" applyFont="1" applyBorder="1"/>
    <xf numFmtId="0" fontId="0" fillId="0" borderId="6" xfId="0" applyBorder="1"/>
    <xf numFmtId="0" fontId="0" fillId="0" borderId="7" xfId="0" applyBorder="1"/>
    <xf numFmtId="0" fontId="0" fillId="0" borderId="8" xfId="0" applyBorder="1"/>
    <xf numFmtId="0" fontId="3"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heetViews>
  <sheetFormatPr defaultRowHeight="14.5" x14ac:dyDescent="0.35"/>
  <sheetData>
    <row r="1" spans="1:2" x14ac:dyDescent="0.35">
      <c r="A1" t="s">
        <v>0</v>
      </c>
    </row>
    <row r="2" spans="1:2" x14ac:dyDescent="0.35">
      <c r="A2" t="s">
        <v>1</v>
      </c>
      <c r="B2" t="s">
        <v>6</v>
      </c>
    </row>
    <row r="3" spans="1:2" x14ac:dyDescent="0.35">
      <c r="A3" t="s">
        <v>2</v>
      </c>
      <c r="B3" t="s">
        <v>9</v>
      </c>
    </row>
    <row r="4" spans="1:2" x14ac:dyDescent="0.35">
      <c r="B4" t="s">
        <v>10</v>
      </c>
    </row>
    <row r="5" spans="1:2" x14ac:dyDescent="0.35">
      <c r="B5" t="s">
        <v>11</v>
      </c>
    </row>
    <row r="6" spans="1:2" x14ac:dyDescent="0.35">
      <c r="B6" s="1" t="s">
        <v>12</v>
      </c>
    </row>
    <row r="7" spans="1:2" x14ac:dyDescent="0.35">
      <c r="B7" t="s">
        <v>3</v>
      </c>
    </row>
    <row r="8" spans="1:2" x14ac:dyDescent="0.35">
      <c r="A8" t="s">
        <v>4</v>
      </c>
      <c r="B8" t="s">
        <v>5</v>
      </c>
    </row>
    <row r="9" spans="1:2" x14ac:dyDescent="0.35">
      <c r="B9" t="s">
        <v>3</v>
      </c>
    </row>
    <row r="11" spans="1:2" x14ac:dyDescent="0.35">
      <c r="A11" s="1" t="s">
        <v>7</v>
      </c>
    </row>
    <row r="12" spans="1:2" x14ac:dyDescent="0.35">
      <c r="A12"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6C51-A9D4-48EF-8F68-1CCD0B52E22C}">
  <dimension ref="A1:Z22"/>
  <sheetViews>
    <sheetView tabSelected="1" zoomScale="120" zoomScaleNormal="120" workbookViewId="0"/>
  </sheetViews>
  <sheetFormatPr defaultRowHeight="14.5" x14ac:dyDescent="0.35"/>
  <cols>
    <col min="2" max="2" width="10.54296875" bestFit="1" customWidth="1"/>
    <col min="5" max="5" width="11.81640625" bestFit="1" customWidth="1"/>
    <col min="6" max="6" width="13.08984375" customWidth="1"/>
    <col min="7" max="7" width="5.90625" bestFit="1" customWidth="1"/>
    <col min="8" max="8" width="12" bestFit="1" customWidth="1"/>
    <col min="11" max="11" width="10.54296875" bestFit="1" customWidth="1"/>
    <col min="14" max="14" width="10.81640625" bestFit="1" customWidth="1"/>
    <col min="15" max="15" width="12.6328125" bestFit="1" customWidth="1"/>
    <col min="16" max="16" width="5.90625" bestFit="1" customWidth="1"/>
    <col min="17" max="17" width="11.7265625" bestFit="1" customWidth="1"/>
    <col min="20" max="20" width="10.54296875" bestFit="1" customWidth="1"/>
    <col min="23" max="23" width="11" bestFit="1" customWidth="1"/>
    <col min="24" max="24" width="12.81640625" bestFit="1" customWidth="1"/>
    <col min="25" max="25" width="5.90625" bestFit="1" customWidth="1"/>
    <col min="26" max="26" width="12" bestFit="1" customWidth="1"/>
  </cols>
  <sheetData>
    <row r="1" spans="1:26" x14ac:dyDescent="0.35">
      <c r="A1" s="16" t="s">
        <v>2</v>
      </c>
    </row>
    <row r="3" spans="1:26" x14ac:dyDescent="0.35">
      <c r="A3" t="s">
        <v>35</v>
      </c>
      <c r="J3" t="s">
        <v>34</v>
      </c>
      <c r="S3" t="s">
        <v>33</v>
      </c>
    </row>
    <row r="4" spans="1:26" x14ac:dyDescent="0.35">
      <c r="A4" t="s">
        <v>36</v>
      </c>
    </row>
    <row r="5" spans="1:26" x14ac:dyDescent="0.35">
      <c r="A5" s="15"/>
      <c r="B5" s="14" t="s">
        <v>32</v>
      </c>
      <c r="C5" s="14"/>
      <c r="D5" s="14"/>
      <c r="E5" s="14" t="s">
        <v>31</v>
      </c>
      <c r="F5" s="14" t="s">
        <v>30</v>
      </c>
      <c r="G5" s="14"/>
      <c r="H5" s="13" t="s">
        <v>29</v>
      </c>
      <c r="J5" s="15"/>
      <c r="K5" s="14" t="s">
        <v>32</v>
      </c>
      <c r="L5" s="14"/>
      <c r="M5" s="14"/>
      <c r="N5" s="14" t="s">
        <v>31</v>
      </c>
      <c r="O5" s="14" t="s">
        <v>30</v>
      </c>
      <c r="P5" s="14"/>
      <c r="Q5" s="13" t="s">
        <v>29</v>
      </c>
      <c r="S5" s="15"/>
      <c r="T5" s="14" t="s">
        <v>32</v>
      </c>
      <c r="U5" s="14"/>
      <c r="V5" s="14"/>
      <c r="W5" s="14" t="s">
        <v>31</v>
      </c>
      <c r="X5" s="14" t="s">
        <v>30</v>
      </c>
      <c r="Y5" s="14"/>
      <c r="Z5" s="13" t="s">
        <v>29</v>
      </c>
    </row>
    <row r="6" spans="1:26" x14ac:dyDescent="0.35">
      <c r="A6" s="8"/>
      <c r="B6" s="12">
        <v>26239.040000000001</v>
      </c>
      <c r="C6">
        <v>3</v>
      </c>
      <c r="D6">
        <f>C6*12</f>
        <v>36</v>
      </c>
      <c r="E6" s="10">
        <f>B6/D6</f>
        <v>728.86222222222227</v>
      </c>
      <c r="F6" t="s">
        <v>28</v>
      </c>
      <c r="G6" t="s">
        <v>27</v>
      </c>
      <c r="H6" s="6" t="s">
        <v>26</v>
      </c>
      <c r="J6" s="8"/>
      <c r="K6" s="12">
        <v>26239.040000000001</v>
      </c>
      <c r="L6">
        <v>3</v>
      </c>
      <c r="M6">
        <f>L6*12</f>
        <v>36</v>
      </c>
      <c r="N6" s="10">
        <f>K6/M6</f>
        <v>728.86222222222227</v>
      </c>
      <c r="O6" t="s">
        <v>28</v>
      </c>
      <c r="P6" t="s">
        <v>27</v>
      </c>
      <c r="Q6" s="6" t="s">
        <v>26</v>
      </c>
      <c r="S6" s="8"/>
      <c r="T6" s="12">
        <v>26239.040000000001</v>
      </c>
      <c r="U6">
        <v>3</v>
      </c>
      <c r="V6">
        <f>U6*12</f>
        <v>36</v>
      </c>
      <c r="W6" s="10">
        <f>T6/V6</f>
        <v>728.86222222222227</v>
      </c>
      <c r="X6" t="s">
        <v>28</v>
      </c>
      <c r="Y6" t="s">
        <v>27</v>
      </c>
      <c r="Z6" s="6" t="s">
        <v>26</v>
      </c>
    </row>
    <row r="7" spans="1:26" x14ac:dyDescent="0.35">
      <c r="A7" s="8"/>
      <c r="H7" s="6"/>
      <c r="J7" s="8"/>
      <c r="Q7" s="6"/>
      <c r="S7" s="8"/>
      <c r="Z7" s="6"/>
    </row>
    <row r="8" spans="1:26" x14ac:dyDescent="0.35">
      <c r="A8" s="8">
        <v>2025</v>
      </c>
      <c r="B8" t="s">
        <v>14</v>
      </c>
      <c r="C8" s="10">
        <f>$E$6</f>
        <v>728.86222222222227</v>
      </c>
      <c r="H8" s="6"/>
      <c r="J8" s="8">
        <v>2025</v>
      </c>
      <c r="K8" t="s">
        <v>14</v>
      </c>
      <c r="L8" s="10">
        <f>$E$6</f>
        <v>728.86222222222227</v>
      </c>
      <c r="Q8" s="6"/>
      <c r="S8" s="8">
        <v>2025</v>
      </c>
      <c r="T8" t="s">
        <v>14</v>
      </c>
      <c r="U8" s="10">
        <f>$E$6</f>
        <v>728.86222222222227</v>
      </c>
      <c r="Z8" s="6"/>
    </row>
    <row r="9" spans="1:26" x14ac:dyDescent="0.35">
      <c r="A9" s="8"/>
      <c r="B9" t="s">
        <v>13</v>
      </c>
      <c r="C9" s="10">
        <f>$E$6</f>
        <v>728.86222222222227</v>
      </c>
      <c r="H9" s="6"/>
      <c r="J9" s="8"/>
      <c r="K9" t="s">
        <v>13</v>
      </c>
      <c r="L9" s="10">
        <f>$E$6</f>
        <v>728.86222222222227</v>
      </c>
      <c r="Q9" s="6"/>
      <c r="S9" s="8"/>
      <c r="T9" t="s">
        <v>13</v>
      </c>
      <c r="U9" s="10">
        <f>$E$6</f>
        <v>728.86222222222227</v>
      </c>
      <c r="Z9" s="6"/>
    </row>
    <row r="10" spans="1:26" x14ac:dyDescent="0.35">
      <c r="A10" s="8"/>
      <c r="B10" t="s">
        <v>25</v>
      </c>
      <c r="C10" s="10">
        <f>$E$6</f>
        <v>728.86222222222227</v>
      </c>
      <c r="H10" s="6"/>
      <c r="J10" s="8"/>
      <c r="K10" t="s">
        <v>25</v>
      </c>
      <c r="L10" s="10">
        <f>$E$6</f>
        <v>728.86222222222227</v>
      </c>
      <c r="Q10" s="6"/>
      <c r="S10" s="8"/>
      <c r="T10" t="s">
        <v>25</v>
      </c>
      <c r="U10" s="10">
        <f>$E$6</f>
        <v>728.86222222222227</v>
      </c>
      <c r="Z10" s="6"/>
    </row>
    <row r="11" spans="1:26" x14ac:dyDescent="0.35">
      <c r="A11" s="8"/>
      <c r="B11" t="s">
        <v>24</v>
      </c>
      <c r="C11" s="10">
        <f>$E$6</f>
        <v>728.86222222222227</v>
      </c>
      <c r="H11" s="6"/>
      <c r="J11" s="8"/>
      <c r="K11" t="s">
        <v>24</v>
      </c>
      <c r="L11" s="10">
        <f>$E$6</f>
        <v>728.86222222222227</v>
      </c>
      <c r="Q11" s="6"/>
      <c r="S11" s="8"/>
      <c r="T11" t="s">
        <v>24</v>
      </c>
      <c r="U11" s="10">
        <f>$E$6</f>
        <v>728.86222222222227</v>
      </c>
      <c r="Z11" s="6"/>
    </row>
    <row r="12" spans="1:26" x14ac:dyDescent="0.35">
      <c r="A12" s="8"/>
      <c r="B12" t="s">
        <v>23</v>
      </c>
      <c r="C12" s="10">
        <f>$E$6</f>
        <v>728.86222222222227</v>
      </c>
      <c r="H12" s="6"/>
      <c r="J12" s="8"/>
      <c r="K12" t="s">
        <v>23</v>
      </c>
      <c r="L12" s="10">
        <f>$E$6</f>
        <v>728.86222222222227</v>
      </c>
      <c r="Q12" s="6"/>
      <c r="S12" s="8"/>
      <c r="T12" t="s">
        <v>23</v>
      </c>
      <c r="U12" s="10">
        <f>$E$6</f>
        <v>728.86222222222227</v>
      </c>
      <c r="Z12" s="6"/>
    </row>
    <row r="13" spans="1:26" x14ac:dyDescent="0.35">
      <c r="A13" s="8"/>
      <c r="B13" t="s">
        <v>22</v>
      </c>
      <c r="C13" s="10">
        <f>$E$6</f>
        <v>728.86222222222227</v>
      </c>
      <c r="H13" s="6"/>
      <c r="J13" s="8"/>
      <c r="K13" t="s">
        <v>22</v>
      </c>
      <c r="L13" s="10">
        <f>$E$6</f>
        <v>728.86222222222227</v>
      </c>
      <c r="Q13" s="6"/>
      <c r="S13" s="8"/>
      <c r="T13" t="s">
        <v>22</v>
      </c>
      <c r="U13" s="10">
        <f>$E$6</f>
        <v>728.86222222222227</v>
      </c>
      <c r="Z13" s="6"/>
    </row>
    <row r="14" spans="1:26" x14ac:dyDescent="0.35">
      <c r="A14" s="8"/>
      <c r="B14" t="s">
        <v>21</v>
      </c>
      <c r="C14" s="10">
        <f>$E$6</f>
        <v>728.86222222222227</v>
      </c>
      <c r="H14" s="6"/>
      <c r="J14" s="8"/>
      <c r="K14" t="s">
        <v>21</v>
      </c>
      <c r="L14" s="10">
        <f>$E$6</f>
        <v>728.86222222222227</v>
      </c>
      <c r="Q14" s="6"/>
      <c r="S14" s="8"/>
      <c r="T14" t="s">
        <v>21</v>
      </c>
      <c r="U14" s="10">
        <f>$E$6</f>
        <v>728.86222222222227</v>
      </c>
      <c r="Z14" s="6"/>
    </row>
    <row r="15" spans="1:26" x14ac:dyDescent="0.35">
      <c r="A15" s="8"/>
      <c r="B15" t="s">
        <v>20</v>
      </c>
      <c r="C15" s="10">
        <f>$E$6</f>
        <v>728.86222222222227</v>
      </c>
      <c r="H15" s="6"/>
      <c r="J15" s="8"/>
      <c r="K15" t="s">
        <v>20</v>
      </c>
      <c r="L15" s="10">
        <f>$E$6</f>
        <v>728.86222222222227</v>
      </c>
      <c r="Q15" s="6"/>
      <c r="S15" s="8"/>
      <c r="T15" t="s">
        <v>20</v>
      </c>
      <c r="U15" s="10">
        <f>$E$6</f>
        <v>728.86222222222227</v>
      </c>
      <c r="Z15" s="6"/>
    </row>
    <row r="16" spans="1:26" x14ac:dyDescent="0.35">
      <c r="A16" s="8"/>
      <c r="B16" t="s">
        <v>19</v>
      </c>
      <c r="C16" s="10">
        <f>$E$6</f>
        <v>728.86222222222227</v>
      </c>
      <c r="D16" s="10">
        <f>SUM(C8:C16)</f>
        <v>6559.7599999999993</v>
      </c>
      <c r="E16" s="11">
        <v>16034.97</v>
      </c>
      <c r="H16" s="6"/>
      <c r="J16" s="8"/>
      <c r="K16" t="s">
        <v>19</v>
      </c>
      <c r="L16" s="10">
        <f>$E$6</f>
        <v>728.86222222222227</v>
      </c>
      <c r="M16" s="10">
        <f>SUM(L8:L16)</f>
        <v>6559.7599999999993</v>
      </c>
      <c r="N16" s="11">
        <v>10000</v>
      </c>
      <c r="Q16" s="6"/>
      <c r="S16" s="8"/>
      <c r="T16" t="s">
        <v>19</v>
      </c>
      <c r="U16" s="10">
        <f>$E$6</f>
        <v>728.86222222222227</v>
      </c>
      <c r="V16" s="10">
        <f>SUM(U8:U16)</f>
        <v>6559.7599999999993</v>
      </c>
      <c r="W16" s="11">
        <v>18000</v>
      </c>
      <c r="Z16" s="6"/>
    </row>
    <row r="17" spans="1:26" x14ac:dyDescent="0.35">
      <c r="A17" s="8"/>
      <c r="B17" t="s">
        <v>18</v>
      </c>
      <c r="D17" s="10">
        <f>$E$6</f>
        <v>728.86222222222227</v>
      </c>
      <c r="H17" s="6"/>
      <c r="J17" s="8"/>
      <c r="K17" t="s">
        <v>18</v>
      </c>
      <c r="M17" s="10">
        <f>$E$6</f>
        <v>728.86222222222227</v>
      </c>
      <c r="Q17" s="6"/>
      <c r="S17" s="8"/>
      <c r="T17" t="s">
        <v>18</v>
      </c>
      <c r="V17" s="10">
        <f>$E$6</f>
        <v>728.86222222222227</v>
      </c>
      <c r="Z17" s="6"/>
    </row>
    <row r="18" spans="1:26" x14ac:dyDescent="0.35">
      <c r="A18" s="8"/>
      <c r="B18" t="s">
        <v>17</v>
      </c>
      <c r="D18" s="10">
        <f>$E$6</f>
        <v>728.86222222222227</v>
      </c>
      <c r="H18" s="6"/>
      <c r="J18" s="8"/>
      <c r="K18" t="s">
        <v>17</v>
      </c>
      <c r="M18" s="10">
        <f>$E$6</f>
        <v>728.86222222222227</v>
      </c>
      <c r="Q18" s="6"/>
      <c r="S18" s="8"/>
      <c r="T18" t="s">
        <v>17</v>
      </c>
      <c r="V18" s="10">
        <f>$E$6</f>
        <v>728.86222222222227</v>
      </c>
      <c r="Z18" s="6"/>
    </row>
    <row r="19" spans="1:26" x14ac:dyDescent="0.35">
      <c r="A19" s="8"/>
      <c r="B19" t="s">
        <v>16</v>
      </c>
      <c r="D19" s="10">
        <f>$E$6</f>
        <v>728.86222222222227</v>
      </c>
      <c r="G19" t="s">
        <v>15</v>
      </c>
      <c r="H19" s="9">
        <f>B6-D16-E16-SUM(D17:D19)</f>
        <v>1457.7233333333361</v>
      </c>
      <c r="J19" s="8"/>
      <c r="K19" t="s">
        <v>16</v>
      </c>
      <c r="M19" s="10">
        <f>$E$6</f>
        <v>728.86222222222227</v>
      </c>
      <c r="P19" t="s">
        <v>15</v>
      </c>
      <c r="Q19" s="9">
        <f>K6-M16-N16-SUM(M17:M19)</f>
        <v>7492.6933333333354</v>
      </c>
      <c r="S19" s="8"/>
      <c r="T19" t="s">
        <v>16</v>
      </c>
      <c r="V19" s="7">
        <f>T6-V16-W16-V17-V18</f>
        <v>221.55555555555793</v>
      </c>
      <c r="Y19" t="s">
        <v>15</v>
      </c>
      <c r="Z19" s="9">
        <f>T6-V16-W16-SUM(V17:V19)</f>
        <v>0</v>
      </c>
    </row>
    <row r="20" spans="1:26" x14ac:dyDescent="0.35">
      <c r="A20" s="8"/>
      <c r="H20" s="6"/>
      <c r="J20" s="8"/>
      <c r="Q20" s="6"/>
      <c r="S20" s="8"/>
      <c r="Z20" s="6"/>
    </row>
    <row r="21" spans="1:26" x14ac:dyDescent="0.35">
      <c r="A21" s="8">
        <v>2026</v>
      </c>
      <c r="B21" t="s">
        <v>14</v>
      </c>
      <c r="C21" s="7">
        <f>$H$19/2</f>
        <v>728.86166666666804</v>
      </c>
      <c r="H21" s="6"/>
      <c r="J21" s="8">
        <v>2026</v>
      </c>
      <c r="K21" t="s">
        <v>14</v>
      </c>
      <c r="L21" s="7">
        <f>$Q$19/2</f>
        <v>3746.3466666666677</v>
      </c>
      <c r="Q21" s="6"/>
      <c r="S21" s="8">
        <v>2026</v>
      </c>
      <c r="T21" t="s">
        <v>14</v>
      </c>
      <c r="U21" s="7"/>
      <c r="Z21" s="6"/>
    </row>
    <row r="22" spans="1:26" x14ac:dyDescent="0.35">
      <c r="A22" s="5"/>
      <c r="B22" s="3" t="s">
        <v>13</v>
      </c>
      <c r="C22" s="4">
        <f>$H$19/2</f>
        <v>728.86166666666804</v>
      </c>
      <c r="D22" s="3"/>
      <c r="E22" s="3"/>
      <c r="F22" s="3"/>
      <c r="G22" s="3"/>
      <c r="H22" s="2"/>
      <c r="J22" s="5"/>
      <c r="K22" s="3" t="s">
        <v>13</v>
      </c>
      <c r="L22" s="4">
        <f>$Q$19/2</f>
        <v>3746.3466666666677</v>
      </c>
      <c r="M22" s="3"/>
      <c r="N22" s="3"/>
      <c r="O22" s="3"/>
      <c r="P22" s="3"/>
      <c r="Q22" s="2"/>
      <c r="S22" s="5"/>
      <c r="T22" s="3" t="s">
        <v>13</v>
      </c>
      <c r="U22" s="4"/>
      <c r="V22" s="3"/>
      <c r="W22" s="3"/>
      <c r="X22" s="3"/>
      <c r="Y22" s="3"/>
      <c r="Z22"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ABAA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Quoc Dat Kenway</dc:creator>
  <cp:lastModifiedBy>Hoang Quoc Dat Kenway</cp:lastModifiedBy>
  <dcterms:created xsi:type="dcterms:W3CDTF">2015-06-05T18:17:20Z</dcterms:created>
  <dcterms:modified xsi:type="dcterms:W3CDTF">2026-04-22T07:19:13Z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43ec3a-92eb-434b-bfcd-dd5fcd578c71_Enabled">
    <vt:lpwstr>true</vt:lpwstr>
  </property>
  <property fmtid="{D5CDD505-2E9C-101B-9397-08002B2CF9AE}" pid="3" name="MSIP_Label_a043ec3a-92eb-434b-bfcd-dd5fcd578c71_SetDate">
    <vt:lpwstr>2026-04-22T05:47:22Z</vt:lpwstr>
  </property>
  <property fmtid="{D5CDD505-2E9C-101B-9397-08002B2CF9AE}" pid="4" name="MSIP_Label_a043ec3a-92eb-434b-bfcd-dd5fcd578c71_Method">
    <vt:lpwstr>Privileged</vt:lpwstr>
  </property>
  <property fmtid="{D5CDD505-2E9C-101B-9397-08002B2CF9AE}" pid="5" name="MSIP_Label_a043ec3a-92eb-434b-bfcd-dd5fcd578c71_Name">
    <vt:lpwstr>Group_Unrestricted</vt:lpwstr>
  </property>
  <property fmtid="{D5CDD505-2E9C-101B-9397-08002B2CF9AE}" pid="6" name="MSIP_Label_a043ec3a-92eb-434b-bfcd-dd5fcd578c71_SiteId">
    <vt:lpwstr>82fac8d8-49c2-492d-9f67-7d9e5b66144e</vt:lpwstr>
  </property>
  <property fmtid="{D5CDD505-2E9C-101B-9397-08002B2CF9AE}" pid="7" name="MSIP_Label_a043ec3a-92eb-434b-bfcd-dd5fcd578c71_ActionId">
    <vt:lpwstr>e3a87f74-cbca-4665-98d2-75117074e3b5</vt:lpwstr>
  </property>
  <property fmtid="{D5CDD505-2E9C-101B-9397-08002B2CF9AE}" pid="8" name="MSIP_Label_a043ec3a-92eb-434b-bfcd-dd5fcd578c71_ContentBits">
    <vt:lpwstr>0</vt:lpwstr>
  </property>
  <property fmtid="{D5CDD505-2E9C-101B-9397-08002B2CF9AE}" pid="9" name="MSIP_Label_a043ec3a-92eb-434b-bfcd-dd5fcd578c71_Tag">
    <vt:lpwstr>10, 0, 1, 1</vt:lpwstr>
  </property>
</Properties>
</file>