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Cleo\Desktop\Portable\Z_STE\Additional\DCT - Guide\"/>
    </mc:Choice>
  </mc:AlternateContent>
  <xr:revisionPtr revIDLastSave="0" documentId="13_ncr:1_{C8E9FF37-F64C-496B-849F-D94291099ECC}" xr6:coauthVersionLast="47" xr6:coauthVersionMax="47" xr10:uidLastSave="{00000000-0000-0000-0000-000000000000}"/>
  <bookViews>
    <workbookView xWindow="-110" yWindow="-110" windowWidth="25820" windowHeight="14620" xr2:uid="{7CAA1510-BEF0-44FB-B9DF-6BA498C876D6}"/>
  </bookViews>
  <sheets>
    <sheet name="Mig Acts" sheetId="15" r:id="rId1"/>
    <sheet name="Mig Acts Overview" sheetId="16" r:id="rId2"/>
    <sheet name="Asset Example manual GL posting" sheetId="17" r:id="rId3"/>
    <sheet name="User_Flow" sheetId="14" r:id="rId4"/>
    <sheet name="GL Temp Simplified" sheetId="13" r:id="rId5"/>
    <sheet name="Temp Demo" sheetId="12" r:id="rId6"/>
    <sheet name="Temp Sample" sheetId="8" r:id="rId7"/>
    <sheet name="Recap" sheetId="6" r:id="rId8"/>
    <sheet name="Reversal Scenarios" sheetId="7" r:id="rId9"/>
    <sheet name="WBS Accounting Entry" sheetId="9" r:id="rId10"/>
    <sheet name="Opt3 (Final)" sheetId="5" r:id="rId11"/>
    <sheet name="Opt3" sheetId="4" r:id="rId12"/>
    <sheet name="Strategy Options" sheetId="1" r:id="rId13"/>
    <sheet name="Project RA" sheetId="10" r:id="rId14"/>
    <sheet name="Sheet1" sheetId="11" r:id="rId15"/>
    <sheet name="LSMW Table" sheetId="2" r:id="rId16"/>
    <sheet name="LSMW Temp" sheetId="3" r:id="rId17"/>
  </sheets>
  <definedNames>
    <definedName name="_xlnm._FilterDatabase" localSheetId="9" hidden="1">'WBS Accounting Entry'!$A$95:$AB$135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 i="17" l="1"/>
  <c r="L14" i="17"/>
  <c r="L13" i="17"/>
  <c r="L12" i="17"/>
  <c r="E12" i="17"/>
  <c r="L11" i="17"/>
  <c r="L10" i="17"/>
  <c r="L9" i="17"/>
  <c r="L8" i="17"/>
  <c r="I19" i="13"/>
  <c r="O17" i="13"/>
  <c r="I17" i="13"/>
  <c r="I13" i="13"/>
  <c r="C13" i="13"/>
  <c r="O12" i="13"/>
  <c r="O7" i="13" s="1"/>
  <c r="C12" i="13"/>
  <c r="I7" i="13"/>
  <c r="I53" i="12"/>
  <c r="I52" i="12"/>
  <c r="I51" i="12"/>
  <c r="I50" i="12"/>
  <c r="O37" i="12" s="1"/>
  <c r="O27" i="12"/>
  <c r="O26" i="12"/>
  <c r="O29" i="12"/>
  <c r="O43" i="12"/>
  <c r="O41" i="12"/>
  <c r="O39" i="12"/>
  <c r="O36" i="12"/>
  <c r="O44" i="12"/>
  <c r="O38" i="12"/>
  <c r="O42" i="12"/>
  <c r="O47" i="12"/>
  <c r="O24" i="12" l="1"/>
  <c r="O22" i="12"/>
  <c r="O23" i="12" s="1"/>
  <c r="O17" i="12"/>
  <c r="K53" i="12"/>
  <c r="K29" i="12"/>
  <c r="I29" i="12"/>
  <c r="I28" i="12"/>
  <c r="K28" i="12" s="1"/>
  <c r="I31" i="12"/>
  <c r="K31" i="12" s="1"/>
  <c r="K51" i="12" s="1"/>
  <c r="I26" i="12"/>
  <c r="I37" i="12"/>
  <c r="K37" i="12" s="1"/>
  <c r="I36" i="12"/>
  <c r="K36" i="12" s="1"/>
  <c r="I35" i="12"/>
  <c r="K35" i="12" s="1"/>
  <c r="K43" i="12"/>
  <c r="K44" i="12"/>
  <c r="I44" i="12"/>
  <c r="I43" i="12"/>
  <c r="I39" i="12"/>
  <c r="K39" i="12" s="1"/>
  <c r="O19" i="12"/>
  <c r="O18" i="12"/>
  <c r="O10" i="12"/>
  <c r="O6" i="12"/>
  <c r="O5" i="12"/>
  <c r="O3" i="12"/>
  <c r="O9" i="12"/>
  <c r="O2" i="12"/>
  <c r="I21" i="12"/>
  <c r="K21" i="12" s="1"/>
  <c r="I19" i="12"/>
  <c r="K19" i="12" s="1"/>
  <c r="I18" i="12"/>
  <c r="K18" i="12" s="1"/>
  <c r="E24" i="12"/>
  <c r="E26" i="12"/>
  <c r="E25" i="12"/>
  <c r="K4" i="12"/>
  <c r="I4" i="12"/>
  <c r="K7" i="12"/>
  <c r="K8" i="12"/>
  <c r="I8" i="12"/>
  <c r="I7" i="12"/>
  <c r="K5" i="12"/>
  <c r="I5" i="12"/>
  <c r="E39" i="12"/>
  <c r="E42" i="12"/>
  <c r="E45" i="12"/>
  <c r="E9" i="12"/>
  <c r="E18" i="12"/>
  <c r="E21" i="12"/>
  <c r="I45" i="12"/>
  <c r="I6" i="12"/>
  <c r="K6" i="12" s="1"/>
  <c r="E35" i="12"/>
  <c r="I42" i="12" s="1"/>
  <c r="K42" i="12" s="1"/>
  <c r="E32" i="12"/>
  <c r="I40" i="12"/>
  <c r="O25" i="12" s="1"/>
  <c r="E30" i="12"/>
  <c r="I27" i="12" s="1"/>
  <c r="K27" i="12" s="1"/>
  <c r="E15" i="12"/>
  <c r="E12" i="12"/>
  <c r="E36" i="12" s="1"/>
  <c r="E6" i="12"/>
  <c r="I3" i="12" s="1"/>
  <c r="I10" i="12"/>
  <c r="I23" i="12" s="1"/>
  <c r="K23" i="12" s="1"/>
  <c r="I9" i="12"/>
  <c r="I22" i="12" s="1"/>
  <c r="K22" i="12" s="1"/>
  <c r="E3" i="12"/>
  <c r="E33" i="12" s="1"/>
  <c r="I41" i="12" s="1"/>
  <c r="K41" i="12" s="1"/>
  <c r="H145" i="9"/>
  <c r="G145" i="9"/>
  <c r="F145" i="9"/>
  <c r="E145" i="9"/>
  <c r="I145" i="9" s="1"/>
  <c r="G144" i="9"/>
  <c r="H143" i="9"/>
  <c r="G143" i="9"/>
  <c r="F143" i="9"/>
  <c r="H142" i="9"/>
  <c r="E142" i="9"/>
  <c r="H141" i="9"/>
  <c r="E141" i="9"/>
  <c r="I141" i="9" s="1"/>
  <c r="H140" i="9"/>
  <c r="G140" i="9"/>
  <c r="H139" i="9"/>
  <c r="G139" i="9"/>
  <c r="F139" i="9"/>
  <c r="I139" i="9" s="1"/>
  <c r="E139" i="9"/>
  <c r="H138" i="9"/>
  <c r="G138" i="9"/>
  <c r="F138" i="9"/>
  <c r="E138" i="9"/>
  <c r="I138" i="9" s="1"/>
  <c r="I132" i="9"/>
  <c r="I131" i="9"/>
  <c r="I126" i="9"/>
  <c r="I125" i="9"/>
  <c r="I124" i="9"/>
  <c r="I123" i="9"/>
  <c r="I117" i="9"/>
  <c r="H117" i="9"/>
  <c r="H144" i="9" s="1"/>
  <c r="G117" i="9"/>
  <c r="F117" i="9"/>
  <c r="F144" i="9" s="1"/>
  <c r="E117" i="9"/>
  <c r="E144" i="9" s="1"/>
  <c r="I144" i="9" s="1"/>
  <c r="H116" i="9"/>
  <c r="G116" i="9"/>
  <c r="F116" i="9"/>
  <c r="E116" i="9"/>
  <c r="E143" i="9" s="1"/>
  <c r="I143" i="9" s="1"/>
  <c r="H115" i="9"/>
  <c r="G115" i="9"/>
  <c r="G142" i="9" s="1"/>
  <c r="F115" i="9"/>
  <c r="F142" i="9" s="1"/>
  <c r="E115" i="9"/>
  <c r="H114" i="9"/>
  <c r="G114" i="9"/>
  <c r="G141" i="9" s="1"/>
  <c r="F114" i="9"/>
  <c r="F141" i="9" s="1"/>
  <c r="E114" i="9"/>
  <c r="H113" i="9"/>
  <c r="G113" i="9"/>
  <c r="F113" i="9"/>
  <c r="F140" i="9" s="1"/>
  <c r="E113" i="9"/>
  <c r="E140" i="9" s="1"/>
  <c r="I108" i="9"/>
  <c r="I107" i="9"/>
  <c r="I106" i="9"/>
  <c r="I100" i="9"/>
  <c r="I99" i="9"/>
  <c r="I116" i="9" s="1"/>
  <c r="I98" i="9"/>
  <c r="I115" i="9" s="1"/>
  <c r="I97" i="9"/>
  <c r="I114" i="9" s="1"/>
  <c r="I96" i="9"/>
  <c r="I113" i="9" s="1"/>
  <c r="AB7" i="9"/>
  <c r="AA7" i="9"/>
  <c r="Z7" i="9"/>
  <c r="X7" i="9"/>
  <c r="Y7" i="9" s="1"/>
  <c r="AA6" i="9"/>
  <c r="Z6" i="9"/>
  <c r="Y6" i="9" s="1"/>
  <c r="X6" i="9"/>
  <c r="W6" i="9"/>
  <c r="V6" i="9"/>
  <c r="U6" i="9"/>
  <c r="T6" i="9"/>
  <c r="S6" i="9"/>
  <c r="R6" i="9"/>
  <c r="Q6" i="9"/>
  <c r="AB6" i="9" s="1"/>
  <c r="AB5" i="9"/>
  <c r="AA5" i="9"/>
  <c r="Z5" i="9"/>
  <c r="Y5" i="9" s="1"/>
  <c r="X5" i="9"/>
  <c r="AA4" i="9"/>
  <c r="Z4" i="9"/>
  <c r="Y4" i="9" s="1"/>
  <c r="X4" i="9"/>
  <c r="W4" i="9"/>
  <c r="V4" i="9"/>
  <c r="U4" i="9"/>
  <c r="T4" i="9"/>
  <c r="S4" i="9"/>
  <c r="R4" i="9"/>
  <c r="Q4" i="9"/>
  <c r="AB4" i="9" s="1"/>
  <c r="T9" i="7"/>
  <c r="D17" i="7"/>
  <c r="L9" i="7"/>
  <c r="D9" i="7"/>
  <c r="D24" i="7"/>
  <c r="D31" i="7"/>
  <c r="Z13" i="6"/>
  <c r="Z12" i="6"/>
  <c r="Z11" i="6"/>
  <c r="Z10" i="6"/>
  <c r="AJ27" i="6"/>
  <c r="AJ28" i="6"/>
  <c r="AJ29" i="6"/>
  <c r="AJ34" i="6"/>
  <c r="AJ35" i="6"/>
  <c r="AJ26" i="6"/>
  <c r="AJ19" i="6"/>
  <c r="AJ20" i="6"/>
  <c r="AJ21" i="6"/>
  <c r="AJ22" i="6"/>
  <c r="AJ23" i="6"/>
  <c r="AJ24" i="6"/>
  <c r="AJ25" i="6"/>
  <c r="AJ18" i="6"/>
  <c r="AJ13" i="6"/>
  <c r="AJ12" i="6"/>
  <c r="AJ11" i="6"/>
  <c r="AJ10" i="6"/>
  <c r="AJ5" i="6"/>
  <c r="AJ6" i="6"/>
  <c r="AJ7" i="6"/>
  <c r="AJ4" i="6"/>
  <c r="AG5" i="6"/>
  <c r="AG6" i="6"/>
  <c r="AG7" i="6"/>
  <c r="AG8" i="6"/>
  <c r="AG9" i="6"/>
  <c r="AG10" i="6"/>
  <c r="AG11" i="6"/>
  <c r="AG12" i="6"/>
  <c r="AG13" i="6"/>
  <c r="AG14" i="6"/>
  <c r="AG15" i="6"/>
  <c r="AG16" i="6"/>
  <c r="AG17" i="6"/>
  <c r="AG18" i="6"/>
  <c r="AG19" i="6"/>
  <c r="AG20" i="6"/>
  <c r="AG21" i="6"/>
  <c r="AG22" i="6"/>
  <c r="AG23" i="6"/>
  <c r="AG24" i="6"/>
  <c r="AG25" i="6"/>
  <c r="AG26" i="6"/>
  <c r="AG27" i="6"/>
  <c r="AG28" i="6"/>
  <c r="AG29" i="6"/>
  <c r="AG34" i="6"/>
  <c r="AG35" i="6"/>
  <c r="AG4" i="6"/>
  <c r="AJ17" i="6"/>
  <c r="AJ16" i="6"/>
  <c r="AJ15" i="6"/>
  <c r="AJ14" i="6"/>
  <c r="AC14" i="6"/>
  <c r="AC15" i="6"/>
  <c r="AC16" i="6"/>
  <c r="AC17" i="6"/>
  <c r="AC18" i="6"/>
  <c r="AC19" i="6"/>
  <c r="AC20" i="6"/>
  <c r="AC21" i="6"/>
  <c r="AC22" i="6"/>
  <c r="AC23" i="6"/>
  <c r="AC24" i="6"/>
  <c r="AC25" i="6"/>
  <c r="Z15" i="6"/>
  <c r="Z16" i="6"/>
  <c r="Z17" i="6"/>
  <c r="Z18" i="6"/>
  <c r="Z19" i="6"/>
  <c r="Z20" i="6"/>
  <c r="Z21" i="6"/>
  <c r="Z22" i="6"/>
  <c r="Z23" i="6"/>
  <c r="Z24" i="6"/>
  <c r="Z25" i="6"/>
  <c r="Z14" i="6"/>
  <c r="AC11" i="6"/>
  <c r="AC12" i="6"/>
  <c r="AC13" i="6"/>
  <c r="AC10" i="6"/>
  <c r="Z5" i="6"/>
  <c r="Z6" i="6"/>
  <c r="Z7" i="6"/>
  <c r="Z4" i="6"/>
  <c r="AC5" i="6"/>
  <c r="AC6" i="6"/>
  <c r="AC7" i="6"/>
  <c r="AC4" i="6"/>
  <c r="O16" i="12" l="1"/>
  <c r="I46" i="12"/>
  <c r="I20" i="12"/>
  <c r="K20" i="12" s="1"/>
  <c r="O4" i="12"/>
  <c r="I33" i="12"/>
  <c r="K10" i="12"/>
  <c r="I2" i="12"/>
  <c r="K45" i="12"/>
  <c r="K40" i="12"/>
  <c r="O7" i="12"/>
  <c r="I17" i="12"/>
  <c r="K17" i="12" s="1"/>
  <c r="K3" i="12"/>
  <c r="K9" i="12"/>
  <c r="I11" i="12"/>
  <c r="I142" i="9"/>
  <c r="I140" i="9"/>
  <c r="I16" i="12" l="1"/>
  <c r="K16" i="12" s="1"/>
  <c r="K2" i="12"/>
  <c r="O20" i="12"/>
  <c r="K33" i="12"/>
  <c r="K11" i="12"/>
  <c r="O8" i="12"/>
  <c r="K26" i="12"/>
  <c r="K52" i="12" l="1"/>
  <c r="O40" i="12"/>
  <c r="O21" i="12"/>
  <c r="K50" i="12" l="1"/>
  <c r="O49" i="12" s="1"/>
  <c r="E23" i="12"/>
  <c r="I12" i="12" s="1"/>
  <c r="O28" i="12" l="1"/>
  <c r="K12" i="12"/>
  <c r="I13" i="12"/>
  <c r="O48" i="12" l="1"/>
  <c r="O11" i="12"/>
  <c r="O30" i="12" l="1"/>
  <c r="O5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tc={2140F5B6-4A02-4C6C-B9B9-153AEF80B352}</author>
    <author>tc={D7B531F6-9ED3-42FE-A85D-B1BF2C0E5773}</author>
    <author>tc={ECA6D598-E7F4-4E9D-AC5D-838EC801C6D2}</author>
    <author>tc={E703D027-638D-4AF5-9148-E4E6C5E10AC8}</author>
  </authors>
  <commentList>
    <comment ref="G3" authorId="0" shapeId="0" xr:uid="{2140F5B6-4A02-4C6C-B9B9-153AEF80B35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Load lump sum per month (Delta only)
GL AP: Dr 9*0 / Cr 9*1
Open AP later: Dr 9*1 / Cr AP
GL AR: Dr 9*2 / Cr 9*0
Open AR later: Dr AR / Cr 9*2</t>
        </r>
      </text>
    </comment>
    <comment ref="G4" authorId="1" shapeId="0" xr:uid="{D7B531F6-9ED3-42FE-A85D-B1BF2C0E577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&gt; Open GL load per month in Lump sum (Delta only):
Dr/Cr Open GL
Cr/Dr GL Mig
At cutoff date reverse them all then load the detail OI on cutoff date</t>
        </r>
      </text>
    </comment>
    <comment ref="G5" authorId="2" shapeId="0" xr:uid="{ECA6D598-E7F4-4E9D-AC5D-838EC801C6D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&gt; Inventory same as Open AR &amp; Open AP Lump sum (Delta only):
Dr Inventory Mig
Cr GL Mig
Auto offset against Inventory balance temp later:
Dr Inventory
Cr Inventory Mig</t>
        </r>
      </text>
    </comment>
    <comment ref="G30" authorId="3" shapeId="0" xr:uid="{E703D027-638D-4AF5-9148-E4E6C5E10AC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 &amp; 3+4 no reversal due to not touching GL directly (If compare the Total of 9*1/*2/*5/*6/*3 with Actual AR/AP/Inventory posted then you will see a gap of missing on Aug postings but since these are Mig GLs so summing them up with 9*0 still balance to 0 with or without Aug postings)
2 &amp; 5 reversal due to direct post on Asset GLs &amp; Open GLs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tc={BACA6D4C-6C92-4E7B-94A4-14D1D9CD3CFF}</author>
    <author>tc={86699ABD-3DDE-4333-B68D-86AB6FA5253A}</author>
  </authors>
  <commentList>
    <comment ref="E19" authorId="0" shapeId="0" xr:uid="{BACA6D4C-6C92-4E7B-94A4-14D1D9CD3CF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ACN to sum Inventory lines of 2025 to put under Mig Inventory</t>
        </r>
      </text>
    </comment>
    <comment ref="C20" authorId="1" shapeId="0" xr:uid="{86699ABD-3DDE-4333-B68D-86AB6FA5253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ACN has to prepare via Asset Class -&gt; GL Acq &amp; Accum.Dep -&gt; Group records by month -&gt; Populate the template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tc={97F691CF-38F9-412E-AFF2-AB14ECEEC2AD}</author>
    <author>tc={332199AC-ED9E-49F2-A536-6F273647C445}</author>
  </authors>
  <commentList>
    <comment ref="I8" authorId="0" shapeId="0" xr:uid="{97F691CF-38F9-412E-AFF2-AB14ECEEC2A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may differ from 31st Dec 2025 due to part of these open items get CLEARED in 2026</t>
        </r>
      </text>
    </comment>
    <comment ref="I18" authorId="1" shapeId="0" xr:uid="{332199AC-ED9E-49F2-A536-6F273647C44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may differ from 31st Dec 2025 due to part of these open items get CLEARED in 2026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tc={38A44E51-1208-4877-8E14-E23CFE369053}</author>
    <author>tc={D359C89C-3A5A-4A09-B19A-66B8861148A3}</author>
    <author>tc={07818701-5D3F-481A-96CA-7D8EBACB7E9E}</author>
    <author>tc={A9155D62-C2E3-4D41-9796-044F0F11BB65}</author>
    <author>tc={408E9B9D-97DE-4F47-A683-46FFC3B41462}</author>
    <author>tc={9D270AC8-0A8B-4363-8EE2-7BEFCF81D537}</author>
    <author>tc={FF6A6A58-1F1E-4339-B999-C37E05026D1A}</author>
    <author>tc={A42F0CA2-1B40-4746-BA75-DF1F403729AE}</author>
    <author>tc={7CA63F4A-12F7-4B05-9563-A8F2A6BFF1E0}</author>
    <author>tc={A73B61B3-0B76-4C08-9F6F-6195E6B302D9}</author>
    <author>tc={F9034908-F74B-4043-A9DC-72C9E0033C24}</author>
    <author>tc={8B090461-5618-432A-AC6A-744212C9C304}</author>
    <author>tc={C15A7600-92B5-4F4D-B509-CF7896BF58A0}</author>
    <author>tc={5B01ACEA-8673-4265-9483-F80D500B3E5F}</author>
    <author>tc={C83DE4A6-C738-401A-8F7B-AC07BCC5FE64}</author>
  </authors>
  <commentList>
    <comment ref="B4" authorId="0" shapeId="0" xr:uid="{38A44E51-1208-4877-8E14-E23CFE36905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Wrong understanding</t>
        </r>
      </text>
    </comment>
    <comment ref="C4" authorId="1" shapeId="0" xr:uid="{D359C89C-3A5A-4A09-B19A-66B8861148A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Wrong understanding</t>
        </r>
      </text>
    </comment>
    <comment ref="D4" authorId="2" shapeId="0" xr:uid="{07818701-5D3F-481A-96CA-7D8EBACB7E9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Missing / Wrongly fill with CC</t>
        </r>
      </text>
    </comment>
    <comment ref="E4" authorId="3" shapeId="0" xr:uid="{A9155D62-C2E3-4D41-9796-044F0F11BB6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Wrongly put for BS</t>
        </r>
      </text>
    </comment>
    <comment ref="F4" authorId="4" shapeId="0" xr:uid="{408E9B9D-97DE-4F47-A683-46FFC3B4146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Missing</t>
        </r>
      </text>
    </comment>
    <comment ref="G4" authorId="5" shapeId="0" xr:uid="{9D270AC8-0A8B-4363-8EE2-7BEFCF81D53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Missing</t>
        </r>
      </text>
    </comment>
    <comment ref="H4" authorId="6" shapeId="0" xr:uid="{FF6A6A58-1F1E-4339-B999-C37E05026D1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Missing</t>
        </r>
      </text>
    </comment>
    <comment ref="I4" authorId="7" shapeId="0" xr:uid="{A42F0CA2-1B40-4746-BA75-DF1F403729A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Wrongly selected</t>
        </r>
      </text>
    </comment>
    <comment ref="B32" authorId="8" shapeId="0" xr:uid="{7CA63F4A-12F7-4B05-9563-A8F2A6BFF1E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Missing Asset SubNo.</t>
        </r>
      </text>
    </comment>
    <comment ref="C32" authorId="9" shapeId="0" xr:uid="{A73B61B3-0B76-4C08-9F6F-6195E6B302D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Wrong understanding</t>
        </r>
      </text>
    </comment>
    <comment ref="D32" authorId="10" shapeId="0" xr:uid="{F9034908-F74B-4043-A9DC-72C9E0033C2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Missing</t>
        </r>
      </text>
    </comment>
    <comment ref="D38" authorId="11" shapeId="0" xr:uid="{8B090461-5618-432A-AC6A-744212C9C30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Wrong understanding</t>
        </r>
      </text>
    </comment>
    <comment ref="B44" authorId="12" shapeId="0" xr:uid="{C15A7600-92B5-4F4D-B509-CF7896BF58A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Missing + Wrong understanding</t>
        </r>
      </text>
    </comment>
    <comment ref="E44" authorId="13" shapeId="0" xr:uid="{5B01ACEA-8673-4265-9483-F80D500B3E5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Recheck understanding</t>
        </r>
      </text>
    </comment>
    <comment ref="F44" authorId="14" shapeId="0" xr:uid="{C83DE4A6-C738-401A-8F7B-AC07BCC5FE6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FINDING:
Wrong understanding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Toh Sor Lan</author>
  </authors>
  <commentList>
    <comment ref="B1" authorId="0" shapeId="0" xr:uid="{A52BDDED-00E2-44D5-8749-E228CA9D1052}">
      <text>
        <r>
          <rPr>
            <sz val="8"/>
            <color indexed="81"/>
            <rFont val="Tahoma"/>
            <family val="2"/>
          </rPr>
          <t>Instructions:
1. Columns in RED are mandatory
2. Enter Company code and Posting Date to start a new journal posting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tc={FA784C6A-A253-4B1B-A59C-363C6A3F003D}</author>
  </authors>
  <commentList>
    <comment ref="C17" authorId="0" shapeId="0" xr:uid="{FA784C6A-A253-4B1B-A59C-363C6A3F003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 Migration Open BS
1 Migration Normal AR
1 Migration Downpayment AR
1 Migration Normal AP
1 Migration Downpayment AP
1 Migration Inventory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tc={31A57323-7DF0-4B2F-9222-8FFF99F19E88}</author>
  </authors>
  <commentList>
    <comment ref="C31" authorId="0" shapeId="0" xr:uid="{31A57323-7DF0-4B2F-9222-8FFF99F19E8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If needed then in 3 Migration Templates or 1 Migration Template with Sum, we will have to fill in Open items per month-end (6 months in total)</t>
        </r>
      </text>
    </comment>
  </commentList>
</comments>
</file>

<file path=xl/sharedStrings.xml><?xml version="1.0" encoding="utf-8"?>
<sst xmlns="http://schemas.openxmlformats.org/spreadsheetml/2006/main" count="2598" uniqueCount="1149">
  <si>
    <t>Asset Cumulative values (Acquisition + Accum. Depreciation)</t>
  </si>
  <si>
    <t>Asset Posted Depreciation in current FY</t>
  </si>
  <si>
    <t>Open Items BS GLACs</t>
  </si>
  <si>
    <t>Open AR</t>
  </si>
  <si>
    <t>Open AP</t>
  </si>
  <si>
    <t>Transaction Balances</t>
  </si>
  <si>
    <t>Transaction Details</t>
  </si>
  <si>
    <t>2025 Ending Balances</t>
  </si>
  <si>
    <t>Migration Objects</t>
  </si>
  <si>
    <t>Ending Balances Only</t>
  </si>
  <si>
    <t>1/2/3</t>
  </si>
  <si>
    <t>1</t>
  </si>
  <si>
    <t>2</t>
  </si>
  <si>
    <t>2/3</t>
  </si>
  <si>
    <t>3</t>
  </si>
  <si>
    <t>No Need</t>
  </si>
  <si>
    <t>In Option 3</t>
  </si>
  <si>
    <t>_For Open BS/AR/AP, we post the Ending Balance on 31-Dec-2025 then reverse on 30-June-2026</t>
  </si>
  <si>
    <t>_For Asset Posted Depreciation</t>
  </si>
  <si>
    <t>_For Asset Cumulative values</t>
  </si>
  <si>
    <t>1. Set Transfer Date 31.12.2025 (FAA_CMP_LDT)</t>
  </si>
  <si>
    <t>2. Manually run depreciation via AFAB for 6 months of 2026 (aka Posted Depreciation is 0 initially in template)</t>
  </si>
  <si>
    <t>Choice 1</t>
  </si>
  <si>
    <t>Choice 2</t>
  </si>
  <si>
    <t>1. Set Transfer Date 30.06.2026 + Closed FY 2025 + Highest Open FY 2026 (FAA_CMP_LDT)</t>
  </si>
  <si>
    <t>1. Set Transfer Date 31.12.2025 + Closed FY 2025 + Highest Open FY 2026 (FAA_CMP_LDT) already carried forward (FAGLGVTR)</t>
  </si>
  <si>
    <t>1. Set Transfer Date 30.06.2026 + Closed FY 2025 + Highest Open FY 2026 (FAA_CMP_LDT) already carried forward (FAGLGVTR)</t>
  </si>
  <si>
    <t>2. Upload template to migrate all Assets on 31-Dec-2025 then carryforward to 2026</t>
  </si>
  <si>
    <t>_For Asset transaction in current FY</t>
  </si>
  <si>
    <t>OK</t>
  </si>
  <si>
    <t>1. Manually post via AB01L that syncs with Asset Posted Depreciation</t>
  </si>
  <si>
    <t>BUKRS</t>
  </si>
  <si>
    <t>Company Code</t>
  </si>
  <si>
    <t>ANLN1</t>
  </si>
  <si>
    <t>Main Asset Number</t>
  </si>
  <si>
    <t>ANLN2</t>
  </si>
  <si>
    <t>Asset Subnumber</t>
  </si>
  <si>
    <t>BWASL</t>
  </si>
  <si>
    <t>Trans. Type (HQ Manual Add)</t>
  </si>
  <si>
    <t>BLDAT</t>
  </si>
  <si>
    <t>Document Date in Document</t>
  </si>
  <si>
    <t>BUDAT</t>
  </si>
  <si>
    <t>Posting Date in the Document</t>
  </si>
  <si>
    <t>BZDAT</t>
  </si>
  <si>
    <t>Asset Value Date</t>
  </si>
  <si>
    <t>ANBTR</t>
  </si>
  <si>
    <t>Amount Posted</t>
  </si>
  <si>
    <t>MEINS</t>
  </si>
  <si>
    <t>Base Unit of Measure</t>
  </si>
  <si>
    <t>GKONT</t>
  </si>
  <si>
    <t>Offsetting Account Number</t>
  </si>
  <si>
    <t>C</t>
  </si>
  <si>
    <t>0000</t>
  </si>
  <si>
    <t>03.03.2026</t>
  </si>
  <si>
    <t>04.03.2026</t>
  </si>
  <si>
    <t>05.03.2026</t>
  </si>
  <si>
    <t>06.03.2026</t>
  </si>
  <si>
    <t>Need LSMW or Z-program (Achieve correct posting dates)</t>
  </si>
  <si>
    <t>Incorrect posting dates, can use Choice 1 option instead</t>
  </si>
  <si>
    <t>(Remove, later assign Constant blank)</t>
  </si>
  <si>
    <t>OK in case depreciation calculation is consistent</t>
  </si>
  <si>
    <t>Option 2: Ending Balances 2025 + Transaction Balances Jun-26</t>
  </si>
  <si>
    <t>Option 3: Ending Balances 2025 + Transaction Details Jun-26</t>
  </si>
  <si>
    <t>In Option 2</t>
  </si>
  <si>
    <t>Option 1: Ending Balances on Jun-26 only</t>
  </si>
  <si>
    <r>
      <t>Non-Open Items BS GLACs</t>
    </r>
    <r>
      <rPr>
        <i/>
        <sz val="10"/>
        <color theme="1"/>
        <rFont val="Aptos Narrow"/>
        <family val="2"/>
        <scheme val="minor"/>
      </rPr>
      <t xml:space="preserve">
_Exclude Asset Acquisition + Accumulated Depreciation GLACs (Option 2 + Option 3 Choice 1)</t>
    </r>
  </si>
  <si>
    <r>
      <t>P&amp;L GLACs</t>
    </r>
    <r>
      <rPr>
        <i/>
        <sz val="10"/>
        <color theme="1"/>
        <rFont val="Aptos Narrow"/>
        <family val="2"/>
        <scheme val="minor"/>
      </rPr>
      <t xml:space="preserve">
_Exclude Asset Depreciation Cost GLAC (Option 3 Choice 1)
_Exclude WBS input cost as it has custom template (Option 3)
_WBS revenue recorded in COPA with a dummy WBS per company (Option 3)</t>
    </r>
  </si>
  <si>
    <t>2*</t>
  </si>
  <si>
    <t>3* (or AFAB)</t>
  </si>
  <si>
    <t>Asset Transactions in current FY</t>
  </si>
  <si>
    <r>
      <t xml:space="preserve">=&gt; </t>
    </r>
    <r>
      <rPr>
        <b/>
        <sz val="11"/>
        <color theme="1"/>
        <rFont val="Aptos Narrow"/>
        <family val="2"/>
        <scheme val="minor"/>
      </rPr>
      <t>FAST</t>
    </r>
    <r>
      <rPr>
        <sz val="11"/>
        <color theme="1"/>
        <rFont val="Aptos Narrow"/>
        <family val="2"/>
        <scheme val="minor"/>
      </rPr>
      <t xml:space="preserve"> but Missing/Incorrect 2025 reports + monthly reports from Jan -&gt; Jun-26</t>
    </r>
  </si>
  <si>
    <r>
      <t xml:space="preserve">=&gt; </t>
    </r>
    <r>
      <rPr>
        <b/>
        <sz val="11"/>
        <color theme="1"/>
        <rFont val="Aptos Narrow"/>
        <family val="2"/>
        <scheme val="minor"/>
      </rPr>
      <t>POSTINGS ARE SIMPLIFIED</t>
    </r>
    <r>
      <rPr>
        <sz val="11"/>
        <color theme="1"/>
        <rFont val="Aptos Narrow"/>
        <family val="2"/>
        <scheme val="minor"/>
      </rPr>
      <t xml:space="preserve"> but Difficult to cross-check with legacy systems + Heavy workload at aggregation process per profit segment for Revenue/COS transactions</t>
    </r>
  </si>
  <si>
    <r>
      <t xml:space="preserve">=&gt; </t>
    </r>
    <r>
      <rPr>
        <b/>
        <sz val="11"/>
        <color theme="1"/>
        <rFont val="Aptos Narrow"/>
        <family val="2"/>
        <scheme val="minor"/>
      </rPr>
      <t>POSTINGS ARE MOST DETAILED</t>
    </r>
    <r>
      <rPr>
        <sz val="11"/>
        <color theme="1"/>
        <rFont val="Aptos Narrow"/>
        <family val="2"/>
        <scheme val="minor"/>
      </rPr>
      <t xml:space="preserve"> but Increase workload</t>
    </r>
  </si>
  <si>
    <t>2/3 or 3*</t>
  </si>
  <si>
    <t>_WBS revenue recorded in COPA with a dummy WBS per company</t>
  </si>
  <si>
    <t>_Exclude WBS input cost as it has custom template</t>
  </si>
  <si>
    <t>_Exclude Asset Depreciation Cost GLAC (Choice 1)</t>
  </si>
  <si>
    <t>P&amp;L GLACs</t>
  </si>
  <si>
    <t>_Exclude Asset Acquisition + Accumulated Depreciation GLACs (Choice 1)</t>
  </si>
  <si>
    <t>Scope: Ending Balances 2025 + Transaction Details from Jan-26 to Jun-26</t>
  </si>
  <si>
    <t>Jan-26 -&gt; June-26 Transaction Details</t>
  </si>
  <si>
    <t>Template</t>
  </si>
  <si>
    <t>Direct Post*</t>
  </si>
  <si>
    <t>LSMW / Z Program</t>
  </si>
  <si>
    <t>Template / LSMW / Z Program</t>
  </si>
  <si>
    <t>Manual AFAB</t>
  </si>
  <si>
    <t>Asset</t>
  </si>
  <si>
    <t>Open</t>
  </si>
  <si>
    <t>Non-Open</t>
  </si>
  <si>
    <t>Cumulative values (Acquisition + Accum. Depreciation)</t>
  </si>
  <si>
    <t>Posted Depreciation in current FY</t>
  </si>
  <si>
    <t>Transactions in current FY</t>
  </si>
  <si>
    <t>BS GLACs</t>
  </si>
  <si>
    <t>AR</t>
  </si>
  <si>
    <t>AP</t>
  </si>
  <si>
    <t>Flow:</t>
  </si>
  <si>
    <t>1 LSMW / Z Program Template</t>
  </si>
  <si>
    <t>1 Migration Template</t>
  </si>
  <si>
    <t>3 Migration Templates</t>
  </si>
  <si>
    <t>3 Migration Templates or 1 Migration Template with Sum</t>
  </si>
  <si>
    <t>_Extract details Open BS/AR/AP or Sum in 3 Temporary Migration GLACs</t>
  </si>
  <si>
    <t>_Extract ending Acquisition + Accum.Depreciation per Asset</t>
  </si>
  <si>
    <t>_Extract Asset Transactions</t>
  </si>
  <si>
    <t>1 Migration Template (Use Non-Open BS Template)</t>
  </si>
  <si>
    <t>1 LSMW / Z Program Template or 1 Migration Template (Risk in incorrect posting dates)</t>
  </si>
  <si>
    <t>General</t>
  </si>
  <si>
    <t>_Extract Asset Posted Depreciation</t>
  </si>
  <si>
    <t>1 Migration Template (Use P&amp;L Template)</t>
  </si>
  <si>
    <t>N/A</t>
  </si>
  <si>
    <t>_Extract ending Acquisition + Accum.Depreciation + Posted Depreciation per Asset</t>
  </si>
  <si>
    <t>_Extract details Open BS + Non-Open BS + P&amp;L/AR/AP on 30-Jun</t>
  </si>
  <si>
    <r>
      <t>_Extract details Open BS/AR/AP or Sum in 3 Temporary Migration GLACs</t>
    </r>
    <r>
      <rPr>
        <sz val="11"/>
        <color rgb="FFFF0000"/>
        <rFont val="Aptos Narrow"/>
        <family val="2"/>
        <scheme val="minor"/>
      </rPr>
      <t xml:space="preserve"> per month</t>
    </r>
  </si>
  <si>
    <r>
      <t xml:space="preserve">_For Open BS/AR/AP, we post the Ending Balance on 31-Dec-2025 then reverse on 30-June-2026 </t>
    </r>
    <r>
      <rPr>
        <i/>
        <u/>
        <sz val="10"/>
        <color rgb="FFC00000"/>
        <rFont val="Aptos Narrow"/>
        <family val="2"/>
        <scheme val="minor"/>
      </rPr>
      <t>(If monthly report needed then reverse the posting at the beginning of next month)</t>
    </r>
  </si>
  <si>
    <t>_Extract ending balances for Non-Open BS GLACs (Profit Center-wise)</t>
  </si>
  <si>
    <t>Choice 1 (Transfer Date: 31.12.2025)</t>
  </si>
  <si>
    <t>Choice 2 (Transfer Date: 30.06.2026)</t>
  </si>
  <si>
    <t>_Extract ending Acquisition + Accum.Depreciation per GL</t>
  </si>
  <si>
    <t>Jan-26 -&gt; June-26
Transaction Details</t>
  </si>
  <si>
    <t>BS/P&amp;L Template</t>
  </si>
  <si>
    <t>BS/P&amp;L Template
Open AR Template
Open AP Template</t>
  </si>
  <si>
    <t>Asset Template</t>
  </si>
  <si>
    <t>2025
Ending Balances</t>
  </si>
  <si>
    <t>Direct GL Post*</t>
  </si>
  <si>
    <t>* Use delink to post direct to Asset GLACs then reverse on 30-Jun-2026</t>
  </si>
  <si>
    <r>
      <t xml:space="preserve">_Extract ending balances of Acquisition + Accum.Dep + Posted Dep + Transactions </t>
    </r>
    <r>
      <rPr>
        <sz val="11"/>
        <color rgb="FFFF0000"/>
        <rFont val="Aptos Narrow"/>
        <family val="2"/>
        <scheme val="minor"/>
      </rPr>
      <t>per Asset</t>
    </r>
  </si>
  <si>
    <t>_Extract ending balances of Non-Open BS GLACs (Profit Center-wise)</t>
  </si>
  <si>
    <r>
      <t xml:space="preserve">_Extract ending balances of Acquisition + Accum.Dep </t>
    </r>
    <r>
      <rPr>
        <sz val="11"/>
        <color rgb="FFFF0000"/>
        <rFont val="Aptos Narrow"/>
        <family val="2"/>
        <scheme val="minor"/>
      </rPr>
      <t>per GL</t>
    </r>
    <r>
      <rPr>
        <sz val="11"/>
        <color theme="1"/>
        <rFont val="Aptos Narrow"/>
        <family val="2"/>
        <scheme val="minor"/>
      </rPr>
      <t xml:space="preserve"> (Profit Center-wise)</t>
    </r>
  </si>
  <si>
    <t>Summation*</t>
  </si>
  <si>
    <t>* Post directly to GLACs then reverse on 30-Jun-2026</t>
  </si>
  <si>
    <t>Posting Dates will always be 30-June-2026, can switch to LSMW / Z-Program if needed</t>
  </si>
  <si>
    <t>1. Upload template to migrate all asset transactions on 30-Jun-2026 regardless of Asset Value Date (aka Reference Date in Template)</t>
  </si>
  <si>
    <t>2. Delink Asset GLACs (Acquisition + Accumulated Depreciation) to post monthly accumulated depreciation + post monthly depreciation cost via P&amp;L Template, then reverse on 30-Jun 2026 (Without Asset No.)</t>
  </si>
  <si>
    <t>2. Delink Asset GLACs (Acquisition + Accumulated Depreciation) to post ending balance on 31-Dec-2025 first, then reverse on 30-Jun-2026 (Without Asset No.)</t>
  </si>
  <si>
    <t>3. Relink Asset GLACs (Acquisition + Accumulated Depreciation) to upload template to migrate all Assets on 30-Jun-2026</t>
  </si>
  <si>
    <t>3. Relink Asset GLACs (Acquisition + Accumulated Depreciation) to upload template to migrate all Posted Depreciation on 30-Jun-2026</t>
  </si>
  <si>
    <t>_Extract Open BS/AR/AP + Inventory into Summation in 6 Temporary Migration GLACs (Profit Center-wise)</t>
  </si>
  <si>
    <t>2. Delink Asset GLACs (Acquisition + Accumulated Depreciation) to post monthly accumulated depreciation + post monthly depreciation cost via P&amp;L Template, then reverse on 30-Jun-2026 (Without Asset No.)</t>
  </si>
  <si>
    <t>Templates</t>
  </si>
  <si>
    <t>Mock 0</t>
  </si>
  <si>
    <t>(Ending Balance 2025)</t>
  </si>
  <si>
    <t>Mock 1</t>
  </si>
  <si>
    <t>(Ending Balance 2025 + Jan 2026)</t>
  </si>
  <si>
    <t>APC + Accum.Dep on 31st-Dec-2025</t>
  </si>
  <si>
    <t>Asset Legacy No.</t>
  </si>
  <si>
    <t>APC + Accum. Dep on 31st-Dec-2025</t>
  </si>
  <si>
    <t>Migration GLAC</t>
  </si>
  <si>
    <t>STEP 1</t>
  </si>
  <si>
    <t>(For Balance Sheet/Trial Balance Report)</t>
  </si>
  <si>
    <t>Open GL BS</t>
  </si>
  <si>
    <t>Detail Open on 31st-Dec-2025</t>
  </si>
  <si>
    <t>GL Level</t>
  </si>
  <si>
    <t>Ending Balance on 31st-Dec-2025</t>
  </si>
  <si>
    <t>Customer Legacy No.</t>
  </si>
  <si>
    <t>Vendor Legacy No.</t>
  </si>
  <si>
    <t>Non-Open GL BS</t>
  </si>
  <si>
    <t>P&amp;L</t>
  </si>
  <si>
    <t>Reverse STEP 1 postings on 31st-Jan-2026</t>
  </si>
  <si>
    <t>STEP 2</t>
  </si>
  <si>
    <t>APC + Accum.Dep + Posted Dep + Asset Trans CY on 31st-Jan-2026</t>
  </si>
  <si>
    <t>STEP 3</t>
  </si>
  <si>
    <t>Detail Open on 31st-Jan-2026</t>
  </si>
  <si>
    <t>Ending Balance/Detail from Jan-&gt;June 2026</t>
  </si>
  <si>
    <t>(Exclude WBS BS)</t>
  </si>
  <si>
    <t>(Exclude WBS P&amp;L)</t>
  </si>
  <si>
    <t>Project/WBS</t>
  </si>
  <si>
    <t>*Different Template &amp; Custom Program for project migration</t>
  </si>
  <si>
    <t>2025 (Splitting per Profit Center)</t>
  </si>
  <si>
    <t>2026 (Splitting per Profit Center if decide to post sum values only)</t>
  </si>
  <si>
    <r>
      <t xml:space="preserve">GL P&amp;L </t>
    </r>
    <r>
      <rPr>
        <sz val="11"/>
        <color rgb="FFFF0000"/>
        <rFont val="Aptos Narrow"/>
        <family val="2"/>
        <scheme val="minor"/>
      </rPr>
      <t>not needed</t>
    </r>
  </si>
  <si>
    <t>Inventory 2025 Migration GLAC</t>
  </si>
  <si>
    <t>GL Migration</t>
  </si>
  <si>
    <t>AP Migration</t>
  </si>
  <si>
    <t>Summation of all Open AP items</t>
  </si>
  <si>
    <t>Summation of all Open Downpayment AP items</t>
  </si>
  <si>
    <t>AR Migration</t>
  </si>
  <si>
    <t>Summation of all Open AR items</t>
  </si>
  <si>
    <t>Summation of all Open Downpayment AR items</t>
  </si>
  <si>
    <t>Per P&amp;L GLs</t>
  </si>
  <si>
    <r>
      <t xml:space="preserve">Inventory </t>
    </r>
    <r>
      <rPr>
        <sz val="11"/>
        <color rgb="FFFF0000"/>
        <rFont val="Aptos Narrow"/>
        <family val="2"/>
        <scheme val="minor"/>
      </rPr>
      <t>not needed</t>
    </r>
    <r>
      <rPr>
        <sz val="11"/>
        <color theme="1"/>
        <rFont val="Aptos Narrow"/>
        <family val="2"/>
        <scheme val="minor"/>
      </rPr>
      <t xml:space="preserve"> as it's automatically filled from other workstreams</t>
    </r>
  </si>
  <si>
    <t>Per Open BS GLs</t>
  </si>
  <si>
    <t>Per Customer Open items</t>
  </si>
  <si>
    <t>Per Vendor Open items</t>
  </si>
  <si>
    <t>Per Inventory Code</t>
  </si>
  <si>
    <t>Per Asset</t>
  </si>
  <si>
    <t>Per Non-Open BS GLs including Acquisition/Accum.Dep GLs</t>
  </si>
  <si>
    <t>Per Non-Open BS GLs without Acquistion/Accum.Dep GLs</t>
  </si>
  <si>
    <t>No WBS related Info</t>
  </si>
  <si>
    <t>Open AP with Vendor Code</t>
  </si>
  <si>
    <t>Open AR with Customer Code</t>
  </si>
  <si>
    <t>Acquisition/Accum.Dep/Dep Cost with Asset Code</t>
  </si>
  <si>
    <t>Asset Migration</t>
  </si>
  <si>
    <t>GL P&amp;L</t>
  </si>
  <si>
    <t>For 2026, you get to pick whether you want to input the sum values or details in point 6 &amp; 7</t>
  </si>
  <si>
    <t>Summation of all transactions per Open BS GLAC</t>
  </si>
  <si>
    <t>Summation of all transactions per Inventory GLAC</t>
  </si>
  <si>
    <t>Open BS GLACs</t>
  </si>
  <si>
    <t>Non-Open BS GLACs</t>
  </si>
  <si>
    <t>AP Downpayment Migration</t>
  </si>
  <si>
    <t>AR Downpayment Migration</t>
  </si>
  <si>
    <t>COAv11</t>
  </si>
  <si>
    <t>Type</t>
  </si>
  <si>
    <t>BS</t>
  </si>
  <si>
    <t>PL</t>
  </si>
  <si>
    <t>Revenue</t>
  </si>
  <si>
    <t>100FL01A00</t>
  </si>
  <si>
    <t>PPE Accum Depn-Freehold Land &amp; Building</t>
  </si>
  <si>
    <t>Subledger</t>
  </si>
  <si>
    <t>Customer</t>
  </si>
  <si>
    <t>Vendor</t>
  </si>
  <si>
    <t>Open GL</t>
  </si>
  <si>
    <t>Non-Open GL</t>
  </si>
  <si>
    <t>Cost</t>
  </si>
  <si>
    <t>100PM01A00</t>
  </si>
  <si>
    <t>PPE Accum Depn-Plant and Machinery</t>
  </si>
  <si>
    <t>Description</t>
  </si>
  <si>
    <t>MM Migration</t>
  </si>
  <si>
    <t>Fixed Assets Migration</t>
  </si>
  <si>
    <t>Migration</t>
  </si>
  <si>
    <t>AP Downpayment Migration</t>
  </si>
  <si>
    <t>AR Downpayment Migration</t>
  </si>
  <si>
    <t>158NT05000</t>
  </si>
  <si>
    <t>Related Parties-Interest Rec'b-Non-Trade-ST</t>
  </si>
  <si>
    <t>206OT54000</t>
  </si>
  <si>
    <t>Vendor Retention</t>
  </si>
  <si>
    <t>156TD00000</t>
  </si>
  <si>
    <t>Trade-Debtors</t>
  </si>
  <si>
    <t>153AC01000</t>
  </si>
  <si>
    <t>Adv Paym't Rec'd from Cust (CttA)</t>
  </si>
  <si>
    <t>206AP00000</t>
  </si>
  <si>
    <t>Trade-Creditors</t>
  </si>
  <si>
    <t>159AP00000</t>
  </si>
  <si>
    <t>Advance Payments to Suppliers-(No Reval-Non Monetary)</t>
  </si>
  <si>
    <t>Group</t>
  </si>
  <si>
    <t>Non-Open BS</t>
  </si>
  <si>
    <t>Open BS</t>
  </si>
  <si>
    <t>100CP02C00</t>
  </si>
  <si>
    <t>PPE-Server  Software</t>
  </si>
  <si>
    <t>100CP03C00</t>
  </si>
  <si>
    <t>PPE-Computers</t>
  </si>
  <si>
    <t>711PP11000</t>
  </si>
  <si>
    <t>PPE-Motor Vehicles</t>
  </si>
  <si>
    <t>711PP12000</t>
  </si>
  <si>
    <t>PPE-Helicopters and aircraft</t>
  </si>
  <si>
    <t>Asset BS</t>
  </si>
  <si>
    <t>Asset P&amp;L</t>
  </si>
  <si>
    <t>188CC01M00</t>
  </si>
  <si>
    <t>CCE-ST Engg-SGD (Main)</t>
  </si>
  <si>
    <t>300SC01000</t>
  </si>
  <si>
    <t>Share Capital</t>
  </si>
  <si>
    <t>705AW01000</t>
  </si>
  <si>
    <t>Allowances-Allowances (Direct)</t>
  </si>
  <si>
    <t>610SC02000</t>
  </si>
  <si>
    <t>Cost Component-Subcontracting</t>
  </si>
  <si>
    <t>610OH01000</t>
  </si>
  <si>
    <t>Cost Component-Factory Overheads</t>
  </si>
  <si>
    <t>810DQ00000</t>
  </si>
  <si>
    <t>Operating-Income Dividend Income-Quoted External</t>
  </si>
  <si>
    <t>500SD01000</t>
  </si>
  <si>
    <t>Revenue-Sales Order-Main</t>
  </si>
  <si>
    <t>735EX06000</t>
  </si>
  <si>
    <t>ERP External-IT Cloud Services</t>
  </si>
  <si>
    <t>152RM00000</t>
  </si>
  <si>
    <t>Raw Materials</t>
  </si>
  <si>
    <t>152TG00000</t>
  </si>
  <si>
    <t>Trading Goods</t>
  </si>
  <si>
    <t>152SP00000</t>
  </si>
  <si>
    <t>Spare Parts</t>
  </si>
  <si>
    <t>152PG00000</t>
  </si>
  <si>
    <t>Packaging Goods</t>
  </si>
  <si>
    <t>152OS00000</t>
  </si>
  <si>
    <t>Operating Supplies</t>
  </si>
  <si>
    <t>152SF00000</t>
  </si>
  <si>
    <t>Semi-Finished Goods</t>
  </si>
  <si>
    <t>152FG00000</t>
  </si>
  <si>
    <t>Finished Goods</t>
  </si>
  <si>
    <t>Inventory</t>
  </si>
  <si>
    <t>Dr</t>
  </si>
  <si>
    <t>Cr</t>
  </si>
  <si>
    <t>Offset</t>
  </si>
  <si>
    <t>Sum (Profit Center wise)</t>
  </si>
  <si>
    <t>BLANK</t>
  </si>
  <si>
    <t>Detail per Subledger</t>
  </si>
  <si>
    <t>Material</t>
  </si>
  <si>
    <t>WBS migration will use custom template specifically designed for Project migration</t>
  </si>
  <si>
    <t>Cross Workstream</t>
  </si>
  <si>
    <t>Project migration program will transfer the WBS info between Dummy WBS -&gt; Real WBS</t>
  </si>
  <si>
    <t>Dr/Cr 9*1 -&gt; Cr/Dr 9*0</t>
  </si>
  <si>
    <t>Cr 900000001 / Dr 90000000</t>
  </si>
  <si>
    <t>Dr/Cr 9*2 -&gt; Cr/Dr 9*0</t>
  </si>
  <si>
    <t>Dr 900000002 / Cr 90000000</t>
  </si>
  <si>
    <t>Dr/Cr 9*3 -&gt; Cr/Dr 9*0</t>
  </si>
  <si>
    <t>Dr 900000003 / Cr 90000000</t>
  </si>
  <si>
    <t>Dr/Cr 9*4 -&gt; Cr/Dr 9*0</t>
  </si>
  <si>
    <t>Dr 900000004 / Cr 90000000</t>
  </si>
  <si>
    <t>FA</t>
  </si>
  <si>
    <t>Dr/Cr 9*5 -&gt; Cr/Dr 9*0</t>
  </si>
  <si>
    <t>Dr 900000005 / Cr 90000000</t>
  </si>
  <si>
    <t>AP Downpayment</t>
  </si>
  <si>
    <t>Dr/Cr 9*6 -&gt; Cr/Dr 9*0</t>
  </si>
  <si>
    <t>Cr 900000006 / Dr 90000000</t>
  </si>
  <si>
    <t>AR Downpayment</t>
  </si>
  <si>
    <t>RED GLACs are Auto Posted based on config</t>
  </si>
  <si>
    <r>
      <t xml:space="preserve">GL Template
</t>
    </r>
    <r>
      <rPr>
        <b/>
        <sz val="11"/>
        <color rgb="FFC00000"/>
        <rFont val="Aptos Narrow"/>
        <family val="2"/>
        <scheme val="minor"/>
      </rPr>
      <t>_Transactional details</t>
    </r>
  </si>
  <si>
    <r>
      <t xml:space="preserve">Asset Template
</t>
    </r>
    <r>
      <rPr>
        <b/>
        <sz val="11"/>
        <color rgb="FFC00000"/>
        <rFont val="Aptos Narrow"/>
        <family val="2"/>
        <scheme val="minor"/>
      </rPr>
      <t>_Ending Balances only</t>
    </r>
  </si>
  <si>
    <r>
      <t xml:space="preserve">GL Template
</t>
    </r>
    <r>
      <rPr>
        <b/>
        <sz val="11"/>
        <color rgb="FFC00000"/>
        <rFont val="Aptos Narrow"/>
        <family val="2"/>
        <scheme val="minor"/>
      </rPr>
      <t>_Ending Balances only</t>
    </r>
  </si>
  <si>
    <t>31.01.2026</t>
  </si>
  <si>
    <t>2nd Cleared</t>
  </si>
  <si>
    <t>Transaction</t>
  </si>
  <si>
    <t>1st Cleared</t>
  </si>
  <si>
    <t>31.12.2025</t>
  </si>
  <si>
    <t>GL</t>
  </si>
  <si>
    <t>2nd Trans</t>
  </si>
  <si>
    <t>1st Trans</t>
  </si>
  <si>
    <t>Open AR
Open AP</t>
  </si>
  <si>
    <t>Fiscal Year</t>
  </si>
  <si>
    <t>Amount</t>
  </si>
  <si>
    <t>Posting Date</t>
  </si>
  <si>
    <t>3rd Additional Open</t>
  </si>
  <si>
    <t>3rd Trans</t>
  </si>
  <si>
    <r>
      <t xml:space="preserve">Open AR per </t>
    </r>
    <r>
      <rPr>
        <b/>
        <sz val="11"/>
        <color theme="8" tint="-0.249977111117893"/>
        <rFont val="Aptos Narrow"/>
        <family val="2"/>
        <scheme val="minor"/>
      </rPr>
      <t>Migration GLACs 9*1/9*5</t>
    </r>
    <r>
      <rPr>
        <sz val="11"/>
        <color theme="1"/>
        <rFont val="Aptos Narrow"/>
        <family val="2"/>
        <scheme val="minor"/>
      </rPr>
      <t xml:space="preserve">
Open AP per </t>
    </r>
    <r>
      <rPr>
        <b/>
        <sz val="11"/>
        <color theme="8" tint="-0.249977111117893"/>
        <rFont val="Aptos Narrow"/>
        <family val="2"/>
        <scheme val="minor"/>
      </rPr>
      <t>Migration GLACs 9*2/9*6</t>
    </r>
  </si>
  <si>
    <r>
      <t xml:space="preserve">Open AR per </t>
    </r>
    <r>
      <rPr>
        <b/>
        <sz val="11"/>
        <color theme="8" tint="-0.249977111117893"/>
        <rFont val="Aptos Narrow"/>
        <family val="2"/>
        <scheme val="minor"/>
      </rPr>
      <t>Customer No.</t>
    </r>
    <r>
      <rPr>
        <sz val="11"/>
        <color theme="1"/>
        <rFont val="Aptos Narrow"/>
        <family val="2"/>
        <scheme val="minor"/>
      </rPr>
      <t xml:space="preserve">
Open AP per </t>
    </r>
    <r>
      <rPr>
        <b/>
        <sz val="11"/>
        <color theme="8" tint="-0.249977111117893"/>
        <rFont val="Aptos Narrow"/>
        <family val="2"/>
        <scheme val="minor"/>
      </rPr>
      <t>Vendor No.</t>
    </r>
  </si>
  <si>
    <r>
      <t>Inventory per</t>
    </r>
    <r>
      <rPr>
        <sz val="11"/>
        <color theme="8" tint="-0.249977111117893"/>
        <rFont val="Aptos Narrow"/>
        <family val="2"/>
        <scheme val="minor"/>
      </rPr>
      <t xml:space="preserve"> </t>
    </r>
    <r>
      <rPr>
        <b/>
        <sz val="11"/>
        <color theme="8" tint="-0.249977111117893"/>
        <rFont val="Aptos Narrow"/>
        <family val="2"/>
        <scheme val="minor"/>
      </rPr>
      <t>Material No.</t>
    </r>
  </si>
  <si>
    <r>
      <t xml:space="preserve">Asset per </t>
    </r>
    <r>
      <rPr>
        <b/>
        <sz val="11"/>
        <color theme="8" tint="-0.249977111117893"/>
        <rFont val="Aptos Narrow"/>
        <family val="2"/>
        <scheme val="minor"/>
      </rPr>
      <t>Asset No.</t>
    </r>
  </si>
  <si>
    <t>Post on 31-Dec-2025 then reverse on 30-June-2026 (Refer to Reversal Scenarios Sheet)</t>
  </si>
  <si>
    <r>
      <t>Use F.80/LTMC w. opposite sign to reverse</t>
    </r>
    <r>
      <rPr>
        <b/>
        <i/>
        <sz val="11"/>
        <color theme="1"/>
        <rFont val="Aptos Narrow"/>
        <family val="2"/>
        <scheme val="minor"/>
      </rPr>
      <t xml:space="preserve"> (Excl. Non-Open BS not related to Inventory)</t>
    </r>
  </si>
  <si>
    <t>P&amp;L GLAC 1</t>
  </si>
  <si>
    <r>
      <t xml:space="preserve">3rd Trans </t>
    </r>
    <r>
      <rPr>
        <b/>
        <sz val="10"/>
        <color theme="8" tint="-0.249977111117893"/>
        <rFont val="Aptos Narrow"/>
        <family val="2"/>
        <scheme val="minor"/>
      </rPr>
      <t>P&amp;L GLAC 1</t>
    </r>
  </si>
  <si>
    <r>
      <t xml:space="preserve">2nd Trans </t>
    </r>
    <r>
      <rPr>
        <b/>
        <sz val="10"/>
        <color theme="8" tint="-0.249977111117893"/>
        <rFont val="Aptos Narrow"/>
        <family val="2"/>
        <scheme val="minor"/>
      </rPr>
      <t>P&amp;L GLAC 1</t>
    </r>
  </si>
  <si>
    <r>
      <t xml:space="preserve">1st Trans </t>
    </r>
    <r>
      <rPr>
        <b/>
        <sz val="10"/>
        <color theme="8" tint="-0.249977111117893"/>
        <rFont val="Aptos Narrow"/>
        <family val="2"/>
        <scheme val="minor"/>
      </rPr>
      <t>P&amp;L</t>
    </r>
    <r>
      <rPr>
        <sz val="10"/>
        <color theme="1"/>
        <rFont val="Aptos Narrow"/>
        <family val="2"/>
        <scheme val="minor"/>
      </rPr>
      <t xml:space="preserve"> </t>
    </r>
    <r>
      <rPr>
        <b/>
        <sz val="10"/>
        <color theme="8" tint="-0.249977111117893"/>
        <rFont val="Aptos Narrow"/>
        <family val="2"/>
        <scheme val="minor"/>
      </rPr>
      <t>GLAC 1</t>
    </r>
  </si>
  <si>
    <t>BS Open item GLAC 1</t>
  </si>
  <si>
    <t>BS Non-Open item GLAC 1</t>
  </si>
  <si>
    <r>
      <t xml:space="preserve">Inventory per </t>
    </r>
    <r>
      <rPr>
        <b/>
        <sz val="11"/>
        <color theme="8" tint="-0.249977111117893"/>
        <rFont val="Aptos Narrow"/>
        <family val="2"/>
        <scheme val="minor"/>
      </rPr>
      <t>GLACs</t>
    </r>
  </si>
  <si>
    <r>
      <t xml:space="preserve">Asset per </t>
    </r>
    <r>
      <rPr>
        <b/>
        <sz val="11"/>
        <color theme="8" tint="-0.249977111117893"/>
        <rFont val="Aptos Narrow"/>
        <family val="2"/>
        <scheme val="minor"/>
      </rPr>
      <t>GLACs (Acquisition + Accum. Dep)</t>
    </r>
  </si>
  <si>
    <t>9*0</t>
  </si>
  <si>
    <t>Offsetting</t>
  </si>
  <si>
    <t>9*2 for AR
9*1 for AP</t>
  </si>
  <si>
    <t>9*3</t>
  </si>
  <si>
    <t>9*4</t>
  </si>
  <si>
    <t>REVERSAL
on 31.01.2026</t>
  </si>
  <si>
    <t>NO REVERSAL
on 31.01.2026</t>
  </si>
  <si>
    <t>_For Open BS/AR/AP/Inventory Auto OBYC, we post the Ending Balance on 31-Dec-2025 then carryforward, then reverse on 30-June-2026</t>
  </si>
  <si>
    <t>_Untick Autopost only for all Inventory Auto OBYC</t>
  </si>
  <si>
    <t>_Upload Open BS/AR/AP items up to 30-Jun-2026</t>
  </si>
  <si>
    <t>_For Non-Open BS/Inventory Not Auto OBYC, we post Ending Balance on 31-Dec-2025 then carryforward, no reversal, just add up transactions from Jan-26 to Jun-26</t>
  </si>
  <si>
    <r>
      <t xml:space="preserve">_Set Migration Key Date FINS_MIG_CTRL_1 to determine posting date to </t>
    </r>
    <r>
      <rPr>
        <b/>
        <i/>
        <sz val="10"/>
        <color rgb="FFC00000"/>
        <rFont val="Aptos Narrow"/>
        <family val="2"/>
        <scheme val="minor"/>
      </rPr>
      <t>31-Dec-2025 Ongoing</t>
    </r>
  </si>
  <si>
    <r>
      <t>_Set Migration Key Date FINS_MIG_CTRL_1 to determine posting date to</t>
    </r>
    <r>
      <rPr>
        <b/>
        <i/>
        <sz val="10"/>
        <color rgb="FFC00000"/>
        <rFont val="Aptos Narrow"/>
        <family val="2"/>
        <scheme val="minor"/>
      </rPr>
      <t xml:space="preserve"> 30-Jun-2026 Ongoing </t>
    </r>
    <r>
      <rPr>
        <i/>
        <sz val="10"/>
        <color rgb="FFC00000"/>
        <rFont val="Aptos Narrow"/>
        <family val="2"/>
        <scheme val="minor"/>
      </rPr>
      <t>(To do so first change Status from "Ongoing" to "In Preparation")</t>
    </r>
  </si>
  <si>
    <t>_Upload Non-Open BS/Inventory Not Auto OBYC transactions from Jan-26 to Jun-26
_Tick Autopost only for all Inventory Auto OBYC (Mandatory otherwise Migration Cockpit will show error)
_Upload Inventory MIGO balances / transactions up to 30-Jun-2026</t>
  </si>
  <si>
    <t># Open AR/AP we sum into specific Migration GLs, not Recon AR/AP</t>
  </si>
  <si>
    <t>Invoice 1</t>
  </si>
  <si>
    <t>Reference Document Number</t>
  </si>
  <si>
    <t>Invoice 2</t>
  </si>
  <si>
    <t>Bill 1</t>
  </si>
  <si>
    <t>Bill 2</t>
  </si>
  <si>
    <t>Downpayment 1</t>
  </si>
  <si>
    <t>Downpayment 2</t>
  </si>
  <si>
    <t>Customer 1</t>
  </si>
  <si>
    <t>Customer 2</t>
  </si>
  <si>
    <t>Customer 3</t>
  </si>
  <si>
    <t>Customer 4</t>
  </si>
  <si>
    <t>Alternative GL</t>
  </si>
  <si>
    <t>Customer 1 (Default GL in BP Template)</t>
  </si>
  <si>
    <t>Vendor 1</t>
  </si>
  <si>
    <t>Vendor 2</t>
  </si>
  <si>
    <t>Vendor 3</t>
  </si>
  <si>
    <t>BP Code</t>
  </si>
  <si>
    <t>Reconciliation GL</t>
  </si>
  <si>
    <t>156CR00000</t>
  </si>
  <si>
    <t>Contract Receivables</t>
  </si>
  <si>
    <t>158TR01000</t>
  </si>
  <si>
    <t>Related Parties-Trade Rec'ble-ST</t>
  </si>
  <si>
    <t>Non-Trade Debtors</t>
  </si>
  <si>
    <t>159OT01000</t>
  </si>
  <si>
    <t>Interest Receivable</t>
  </si>
  <si>
    <t>Customer 5</t>
  </si>
  <si>
    <t>Vendor 4</t>
  </si>
  <si>
    <t>206OT50000</t>
  </si>
  <si>
    <t>Non-Trade Creditors</t>
  </si>
  <si>
    <t>206OT51000</t>
  </si>
  <si>
    <t>Sundry Creditors</t>
  </si>
  <si>
    <t>208TR01000</t>
  </si>
  <si>
    <t>Related Parties-Trade Pay'ble-ST</t>
  </si>
  <si>
    <t>Customer 2 (Default GL in BP Template)</t>
  </si>
  <si>
    <t>Customer 3 (Default GL in BP Template)</t>
  </si>
  <si>
    <t>Customer 4 (Default GL in BP Template)</t>
  </si>
  <si>
    <t>159OT50000</t>
  </si>
  <si>
    <t>Adv Paym't Rec'd from Cust (CttL)-Current</t>
  </si>
  <si>
    <t>RP-Adv Paym't Rec'd from Cust(CttL)RP Current</t>
  </si>
  <si>
    <t>Vendor 1 (Default GL in BP Template)</t>
  </si>
  <si>
    <t>Vendor 2 (Default GL in BP Template)</t>
  </si>
  <si>
    <t>Vendor 3 (Default GL in BP Template)</t>
  </si>
  <si>
    <t>Advance Payment to Supplier(No Reval-Non Monetary)</t>
  </si>
  <si>
    <t>Material Code</t>
  </si>
  <si>
    <t>Quantity</t>
  </si>
  <si>
    <r>
      <t xml:space="preserve">A - </t>
    </r>
    <r>
      <rPr>
        <b/>
        <sz val="11"/>
        <color rgb="FF7030A0"/>
        <rFont val="Aptos Narrow"/>
        <family val="2"/>
        <scheme val="minor"/>
      </rPr>
      <t>203AC01000</t>
    </r>
  </si>
  <si>
    <r>
      <t xml:space="preserve">A - </t>
    </r>
    <r>
      <rPr>
        <b/>
        <sz val="11"/>
        <color rgb="FF7030A0"/>
        <rFont val="Aptos Narrow"/>
        <family val="2"/>
        <scheme val="minor"/>
      </rPr>
      <t>204AC01000</t>
    </r>
  </si>
  <si>
    <r>
      <t xml:space="preserve">A - </t>
    </r>
    <r>
      <rPr>
        <b/>
        <sz val="11"/>
        <color rgb="FF7030A0"/>
        <rFont val="Aptos Narrow"/>
        <family val="2"/>
        <scheme val="minor"/>
      </rPr>
      <t>159AP00000</t>
    </r>
  </si>
  <si>
    <t>Material 1</t>
  </si>
  <si>
    <t>Material 2</t>
  </si>
  <si>
    <t>Material 3</t>
  </si>
  <si>
    <t>181A - 1000</t>
  </si>
  <si>
    <t>Auto GL</t>
  </si>
  <si>
    <t>Special GL Auto</t>
  </si>
  <si>
    <t>Asset Code + SubNo.</t>
  </si>
  <si>
    <t>Plant &amp; Storage Location</t>
  </si>
  <si>
    <t>Profit Center</t>
  </si>
  <si>
    <t>XXX</t>
  </si>
  <si>
    <t>Qty + UoM</t>
  </si>
  <si>
    <t>Cost Center</t>
  </si>
  <si>
    <t>Useful life (Years + Periods)</t>
  </si>
  <si>
    <t>Ordinary Dep. Start Date</t>
  </si>
  <si>
    <t>Cumulative Values (Acquisition)</t>
  </si>
  <si>
    <t>Transactions (Acquisition + Accum. Dep)</t>
  </si>
  <si>
    <t>Posted Values (Accum. Dep)</t>
  </si>
  <si>
    <t>Cumulative Values (Accum. Dep)</t>
  </si>
  <si>
    <t>Asset 1</t>
  </si>
  <si>
    <t>Asset 2</t>
  </si>
  <si>
    <t>9 months</t>
  </si>
  <si>
    <t>4 years + 5 months</t>
  </si>
  <si>
    <t>1 EA</t>
  </si>
  <si>
    <t>2 EA</t>
  </si>
  <si>
    <t>01.02.2022</t>
  </si>
  <si>
    <t>01.08.2025</t>
  </si>
  <si>
    <t>Accum. Values up to 31.12.2025</t>
  </si>
  <si>
    <t>Total Dep POSTED IN 2026</t>
  </si>
  <si>
    <t>POSTED trans IN 2026</t>
  </si>
  <si>
    <t>Refer Dropdown Values file - Sheet Open BS</t>
  </si>
  <si>
    <t>Fill Open items upto 31.12.2025</t>
  </si>
  <si>
    <t>Fill Balance upto 31.12.2025</t>
  </si>
  <si>
    <t>Refer Dropdown Values file - Sheet Inventory - Blue Column</t>
  </si>
  <si>
    <t>Refer Dropdown Values file - Sheet Inventory - Orange Column</t>
  </si>
  <si>
    <t>Non-Open BS (Inventory related - Auto)</t>
  </si>
  <si>
    <t>Non-Open BS (Inventory related - Manual)</t>
  </si>
  <si>
    <t>*ACN will reverse on 30.06.2026</t>
  </si>
  <si>
    <t>*Post on 31.12.2025</t>
  </si>
  <si>
    <t>*No reversal</t>
  </si>
  <si>
    <t>Asset Acquisition/Accum.Dep</t>
  </si>
  <si>
    <t>AR 9000000002</t>
  </si>
  <si>
    <t>AP 9000000001</t>
  </si>
  <si>
    <t>AR 9000000006 (Downpayment)</t>
  </si>
  <si>
    <t>Offsetting GL</t>
  </si>
  <si>
    <t>GLAC</t>
  </si>
  <si>
    <t>100CP03A00</t>
  </si>
  <si>
    <t>PPE Accum Depn-Computer</t>
  </si>
  <si>
    <t>100CP02A00</t>
  </si>
  <si>
    <t>PPE Accum Depn-Server Software</t>
  </si>
  <si>
    <t>Non-Open BS (Bank related)</t>
  </si>
  <si>
    <t>Non-Open BS (Remaining)</t>
  </si>
  <si>
    <t>Refer Dropdown Values file - Sheet Requirement</t>
  </si>
  <si>
    <t>Remaining BS GL</t>
  </si>
  <si>
    <t>House Bank + Account ID</t>
  </si>
  <si>
    <t>Transaction Type</t>
  </si>
  <si>
    <t>XXX for Expenses</t>
  </si>
  <si>
    <t>XXX for Revenue</t>
  </si>
  <si>
    <t>COPA Chars
(aka Profit Segment)</t>
  </si>
  <si>
    <t>Trading Partner</t>
  </si>
  <si>
    <t>Cost Center /
Internal Order /
WBS Dummy</t>
  </si>
  <si>
    <t>AP 9000000005 (Downpayment)</t>
  </si>
  <si>
    <t>XXX Sheet Requirement</t>
  </si>
  <si>
    <t>XXX Henry's COA</t>
  </si>
  <si>
    <t>UNDERSTANDING</t>
  </si>
  <si>
    <t>Fill Open items upto 30.06.2026</t>
  </si>
  <si>
    <t>Fill Movement items in 2026</t>
  </si>
  <si>
    <t>*Post on 30.06.2026</t>
  </si>
  <si>
    <t>1. GL Template</t>
  </si>
  <si>
    <t>2. Asset Template</t>
  </si>
  <si>
    <t>3. Open AR Template</t>
  </si>
  <si>
    <t>4. Open AP Template</t>
  </si>
  <si>
    <t>7. Inventory Balance</t>
  </si>
  <si>
    <t>2026 Temp 2 takes over</t>
  </si>
  <si>
    <t>2026 Temp 3 takes over</t>
  </si>
  <si>
    <t>2026 Temp 4 takes over</t>
  </si>
  <si>
    <t>2026 Temp 7 takes over</t>
  </si>
  <si>
    <r>
      <t xml:space="preserve">5. Vendor BP Template
</t>
    </r>
    <r>
      <rPr>
        <b/>
        <sz val="11"/>
        <rFont val="Aptos Narrow"/>
        <family val="2"/>
        <scheme val="minor"/>
      </rPr>
      <t>(Company Data)</t>
    </r>
  </si>
  <si>
    <r>
      <t xml:space="preserve">6. Customer BP Template
</t>
    </r>
    <r>
      <rPr>
        <b/>
        <sz val="11"/>
        <rFont val="Aptos Narrow"/>
        <family val="2"/>
        <scheme val="minor"/>
      </rPr>
      <t>(Company Data)</t>
    </r>
  </si>
  <si>
    <t>Asset 9000000004</t>
  </si>
  <si>
    <t>Inventory 9000000003</t>
  </si>
  <si>
    <t>Fill Total Net Book Value of Assets</t>
  </si>
  <si>
    <t>Fill Total Inventory Auto Value</t>
  </si>
  <si>
    <t>Fill Total AR Value</t>
  </si>
  <si>
    <t>Fill Total AP Value</t>
  </si>
  <si>
    <t>Fill Total AR DP Value</t>
  </si>
  <si>
    <t>Fill Total AP DP Value</t>
  </si>
  <si>
    <t>Get Value from Temp 2, the total value sign should be +</t>
  </si>
  <si>
    <t>Get Value from Temp 7, the total value sign should be +</t>
  </si>
  <si>
    <t>Get Value from Temp 3, the total value sign should be +</t>
  </si>
  <si>
    <t>Get Value from Temp 4, the total value sign should be +</t>
  </si>
  <si>
    <t>Get Value from Temp 4, the total value sign should be -</t>
  </si>
  <si>
    <t>Get Value from Temp 3, the total value sign should be -</t>
  </si>
  <si>
    <r>
      <t xml:space="preserve">Cost Center /
Internal Order /
WBS </t>
    </r>
    <r>
      <rPr>
        <b/>
        <sz val="11"/>
        <color rgb="FFFF0000"/>
        <rFont val="Aptos Narrow"/>
        <family val="2"/>
        <scheme val="minor"/>
      </rPr>
      <t>Dummy</t>
    </r>
  </si>
  <si>
    <r>
      <t xml:space="preserve">Open AR Template
</t>
    </r>
    <r>
      <rPr>
        <b/>
        <sz val="11"/>
        <color rgb="FFC00000"/>
        <rFont val="Aptos Narrow"/>
        <family val="2"/>
        <scheme val="minor"/>
      </rPr>
      <t>_Open items at 30-June-2026 only</t>
    </r>
  </si>
  <si>
    <r>
      <t xml:space="preserve">Open AP Template
</t>
    </r>
    <r>
      <rPr>
        <b/>
        <sz val="11"/>
        <color rgb="FFC00000"/>
        <rFont val="Aptos Narrow"/>
        <family val="2"/>
        <scheme val="minor"/>
      </rPr>
      <t>_Open items at 30-June-2026 only</t>
    </r>
  </si>
  <si>
    <r>
      <t xml:space="preserve">GL Template
</t>
    </r>
    <r>
      <rPr>
        <b/>
        <u/>
        <sz val="11"/>
        <color theme="1"/>
        <rFont val="Aptos Narrow"/>
        <family val="2"/>
        <scheme val="minor"/>
      </rPr>
      <t>_Enter Dummy WBS if project-related</t>
    </r>
    <r>
      <rPr>
        <b/>
        <sz val="11"/>
        <color theme="1"/>
        <rFont val="Aptos Narrow"/>
        <family val="2"/>
        <scheme val="minor"/>
      </rPr>
      <t xml:space="preserve">
</t>
    </r>
    <r>
      <rPr>
        <b/>
        <sz val="11"/>
        <color rgb="FFC00000"/>
        <rFont val="Aptos Narrow"/>
        <family val="2"/>
        <scheme val="minor"/>
      </rPr>
      <t>_Open items at 30-June-2026 only</t>
    </r>
  </si>
  <si>
    <r>
      <t xml:space="preserve">GL Template
</t>
    </r>
    <r>
      <rPr>
        <b/>
        <u/>
        <sz val="11"/>
        <color theme="1"/>
        <rFont val="Aptos Narrow"/>
        <family val="2"/>
        <scheme val="minor"/>
      </rPr>
      <t xml:space="preserve">_Enter Dummy WBS if project-related
</t>
    </r>
    <r>
      <rPr>
        <b/>
        <sz val="11"/>
        <color rgb="FFC00000"/>
        <rFont val="Aptos Narrow"/>
        <family val="2"/>
        <scheme val="minor"/>
      </rPr>
      <t>_Transactional details</t>
    </r>
  </si>
  <si>
    <r>
      <t xml:space="preserve">GL Template
</t>
    </r>
    <r>
      <rPr>
        <b/>
        <u/>
        <sz val="11"/>
        <color theme="1"/>
        <rFont val="Aptos Narrow"/>
        <family val="2"/>
        <scheme val="minor"/>
      </rPr>
      <t xml:space="preserve">_Enter COPA Dummy WBS if project-related
</t>
    </r>
    <r>
      <rPr>
        <b/>
        <sz val="11"/>
        <color rgb="FFC00000"/>
        <rFont val="Aptos Narrow"/>
        <family val="2"/>
        <scheme val="minor"/>
      </rPr>
      <t>_Transactional details</t>
    </r>
  </si>
  <si>
    <t>1. Create Dummy Project per Company Code</t>
  </si>
  <si>
    <t>2. Create WBS per Profit Center in the Dummy Project corresponding to Company Code's Profit Center</t>
  </si>
  <si>
    <t>3. In GL Template, BS will have Dummy WBS account assignment, PL will have Dummy WBS in COPA</t>
  </si>
  <si>
    <t>4. Run custom program to upload custom template (filled with input cost/COS/revenue) and it will:</t>
  </si>
  <si>
    <t>4.1 Mimic the transactions to real WBS by transferring them from Dummy WBS</t>
  </si>
  <si>
    <t>4.2 Mimic the settlement from real WBS to COPA</t>
  </si>
  <si>
    <t>Due to Mid year migration, users need to collect this info by 2 point in time:</t>
  </si>
  <si>
    <r>
      <t xml:space="preserve">*The </t>
    </r>
    <r>
      <rPr>
        <b/>
        <u/>
        <sz val="11"/>
        <color rgb="FFFF0000"/>
        <rFont val="Aptos Narrow"/>
        <family val="2"/>
        <scheme val="minor"/>
      </rPr>
      <t>red</t>
    </r>
    <r>
      <rPr>
        <b/>
        <u/>
        <sz val="11"/>
        <color rgb="FF7030A0"/>
        <rFont val="Aptos Narrow"/>
        <family val="2"/>
        <scheme val="minor"/>
      </rPr>
      <t xml:space="preserve"> ones are the ones users will input in GL Template that must match with the info provided to Custom template of this Custom program</t>
    </r>
  </si>
  <si>
    <r>
      <rPr>
        <b/>
        <sz val="11"/>
        <color theme="1"/>
        <rFont val="Aptos Narrow"/>
        <family val="2"/>
        <scheme val="minor"/>
      </rPr>
      <t>1st</t>
    </r>
    <r>
      <rPr>
        <sz val="11"/>
        <color theme="1"/>
        <rFont val="Aptos Narrow"/>
        <family val="2"/>
        <scheme val="minor"/>
      </rPr>
      <t>: End of previous year so 4.1 &amp; 4.2 execute then auto reversed at 1/1/Current Year</t>
    </r>
  </si>
  <si>
    <t>(As GL Template 2025 has no PL so only provide for this Custom template)</t>
  </si>
  <si>
    <r>
      <t xml:space="preserve">(As GL Template 2026 has PL so additionally to this Custom template, provide the </t>
    </r>
    <r>
      <rPr>
        <b/>
        <u/>
        <sz val="11"/>
        <color rgb="FFFF0000"/>
        <rFont val="Aptos Narrow"/>
        <family val="2"/>
        <scheme val="minor"/>
      </rPr>
      <t>red</t>
    </r>
    <r>
      <rPr>
        <b/>
        <u/>
        <sz val="11"/>
        <color theme="1"/>
        <rFont val="Aptos Narrow"/>
        <family val="2"/>
        <scheme val="minor"/>
      </rPr>
      <t xml:space="preserve"> ones to GL Template as well)</t>
    </r>
  </si>
  <si>
    <t>//Consequences if dont provide lines of Dummy WBS in GL Template:</t>
  </si>
  <si>
    <t>PL report with COPA Dummy WBS wont be 0 since they are only posted in Custom Program, not offsetting due to missing in GL Template</t>
  </si>
  <si>
    <t>BS report with Dummy WBS balancing wont be 0 since they are only posted in Custom Program, not offsetting due to missing in GL Template</t>
  </si>
  <si>
    <t>For these consequences, one can clean up by posting JV to offset the Blank WBS in GL template to Dummy WBS thus clear Dummy WBS in both PL &amp; BS to 0</t>
  </si>
  <si>
    <t>A1</t>
  </si>
  <si>
    <t>A3</t>
  </si>
  <si>
    <t>B2</t>
  </si>
  <si>
    <t>C2</t>
  </si>
  <si>
    <t>C3</t>
  </si>
  <si>
    <t>B1</t>
  </si>
  <si>
    <t>Turn WIP back to Input Cost</t>
  </si>
  <si>
    <t>Progress Billing GLAC tracks the Billing</t>
  </si>
  <si>
    <t>(Dr AR / Cr Progress Billing)</t>
  </si>
  <si>
    <t>WIP confirms Revenue</t>
  </si>
  <si>
    <t>(Dr WIP / Cr Rev)</t>
  </si>
  <si>
    <t>=&gt; At month end,
If Rev &gt; Progress Billing =&gt; Underbilling aka Assets =&gt; Dr Progress Billing / Cr Revenue Adj
If Rev &lt; Progress Billing =&gt; Overbilling aka Liability =&gt; Dr Revenue Adj / Cr Progress Billing</t>
  </si>
  <si>
    <t>Turn Progress Billing back to Revenue</t>
  </si>
  <si>
    <t>C1</t>
  </si>
  <si>
    <t>REAL</t>
  </si>
  <si>
    <t>COPA REAL</t>
  </si>
  <si>
    <t>DUMMY</t>
  </si>
  <si>
    <t>Dr PL Input Cost</t>
  </si>
  <si>
    <t>Dr PL COS</t>
  </si>
  <si>
    <t>Cr PL Revenue</t>
  </si>
  <si>
    <t>PL Revenue Adj due to RA</t>
  </si>
  <si>
    <t>Cr PL Input Cost</t>
  </si>
  <si>
    <t>Cr PL COS</t>
  </si>
  <si>
    <t>Dr PL Revenue</t>
  </si>
  <si>
    <t>COPA DUMMY</t>
  </si>
  <si>
    <t>BS Progress Billing</t>
  </si>
  <si>
    <r>
      <rPr>
        <b/>
        <sz val="11"/>
        <color theme="1"/>
        <rFont val="Aptos Narrow"/>
        <family val="2"/>
        <scheme val="minor"/>
      </rPr>
      <t>2nd</t>
    </r>
    <r>
      <rPr>
        <sz val="11"/>
        <color theme="1"/>
        <rFont val="Aptos Narrow"/>
        <family val="2"/>
        <scheme val="minor"/>
      </rPr>
      <t>: Cutoff Date to golive so 4.1 &amp; 4.2 execute</t>
    </r>
  </si>
  <si>
    <t>PL Revenue Adj due to RA (Negative)</t>
  </si>
  <si>
    <t>BS Progress Billing (Negative)</t>
  </si>
  <si>
    <t xml:space="preserve"> Cr PL COS</t>
  </si>
  <si>
    <t>Cr WIP Cost Recognized</t>
  </si>
  <si>
    <t>Dr WIP Cost Incurred</t>
  </si>
  <si>
    <r>
      <t xml:space="preserve">Finally, the custom program will reclass the BS to PL as </t>
    </r>
    <r>
      <rPr>
        <b/>
        <sz val="11"/>
        <color theme="1"/>
        <rFont val="Aptos Narrow"/>
        <family val="2"/>
        <scheme val="minor"/>
      </rPr>
      <t>POST-GOLIVE</t>
    </r>
    <r>
      <rPr>
        <sz val="11"/>
        <color theme="1"/>
        <rFont val="Aptos Narrow"/>
        <family val="2"/>
        <scheme val="minor"/>
      </rPr>
      <t xml:space="preserve"> ACTIVITY to nullify the RA postings + WBS settlement at month end</t>
    </r>
  </si>
  <si>
    <t>Example of RA postings + WBS settlement in case no new Input Cost/Billing occur:</t>
  </si>
  <si>
    <t>Therefore the reclass will nullify the gray cells, also the amount of 2 WIP GLACs also netoff to 0, assumption is Input Cost = COS for all projects</t>
  </si>
  <si>
    <t>Document Header</t>
  </si>
  <si>
    <t>Line Item</t>
  </si>
  <si>
    <t>Input Cost</t>
  </si>
  <si>
    <t>Cost of Sales</t>
  </si>
  <si>
    <t>Total Check</t>
  </si>
  <si>
    <t>Company</t>
  </si>
  <si>
    <t xml:space="preserve">Sales Order </t>
  </si>
  <si>
    <t>Billings type</t>
  </si>
  <si>
    <t>Billings</t>
  </si>
  <si>
    <t>Direct Materials</t>
  </si>
  <si>
    <t>Indirect Materials</t>
  </si>
  <si>
    <t>Subcon</t>
  </si>
  <si>
    <t>Labour</t>
  </si>
  <si>
    <t>Outsourced Labour</t>
  </si>
  <si>
    <t>Factory Overhead</t>
  </si>
  <si>
    <t>Project Overhead</t>
  </si>
  <si>
    <t>Factory Overheads</t>
  </si>
  <si>
    <t>Unbilled Receivables</t>
  </si>
  <si>
    <t>Code</t>
  </si>
  <si>
    <t>Posting Date</t>
    <phoneticPr fontId="3" type="noConversion"/>
  </si>
  <si>
    <t>WBS Element</t>
  </si>
  <si>
    <t xml:space="preserve">Currency </t>
  </si>
  <si>
    <t>in Sales Curr</t>
  </si>
  <si>
    <t>in Local Curr</t>
  </si>
  <si>
    <t>C10DM03000</t>
  </si>
  <si>
    <t>C10IM01000</t>
  </si>
  <si>
    <t>C10SC01000</t>
  </si>
  <si>
    <t>790DL01000</t>
  </si>
  <si>
    <t>790SC01000</t>
  </si>
  <si>
    <t>790OH01000</t>
  </si>
  <si>
    <t>790OH03000</t>
  </si>
  <si>
    <t>610DM01000</t>
  </si>
  <si>
    <t>610IM01000</t>
  </si>
  <si>
    <t>610DL01000</t>
  </si>
  <si>
    <t>610SC01000</t>
  </si>
  <si>
    <t>610OH03000</t>
  </si>
  <si>
    <t>LS.LDS25.P020.1</t>
  </si>
  <si>
    <t>SGD</t>
  </si>
  <si>
    <t>PBL</t>
  </si>
  <si>
    <t>LS.LDS25.P020.1.1.6</t>
  </si>
  <si>
    <t/>
  </si>
  <si>
    <t>Post Historical Sales/Cost as at last year to Project [Posting Date: 31/12/2025]</t>
  </si>
  <si>
    <t>G/L Account</t>
  </si>
  <si>
    <t>WBS</t>
  </si>
  <si>
    <t>WBS in COPA</t>
  </si>
  <si>
    <t>600DM01000</t>
  </si>
  <si>
    <t>Cost Component-Direct Materials</t>
  </si>
  <si>
    <t>Input Cost Materials and Components</t>
  </si>
  <si>
    <t>500MA01100</t>
  </si>
  <si>
    <t>Revenue-Main-RA</t>
  </si>
  <si>
    <t>500MA01000</t>
  </si>
  <si>
    <t>Revenue-Main</t>
  </si>
  <si>
    <t>Migration WBS</t>
  </si>
  <si>
    <t>Post Historical Sales/Cost as at last year to COPA [Posting Date: 31/12/2025]</t>
  </si>
  <si>
    <t xml:space="preserve">Reverse last year Historical Sales/Cost in Jan [Posting Date: 01/01/2026] </t>
  </si>
  <si>
    <t xml:space="preserve">Reverse last year Historical Sales/Cost in COPA into Jan [Posting Date: 01/01/2026] </t>
  </si>
  <si>
    <t xml:space="preserve">                                                                                                                                                                                                                                                       </t>
  </si>
  <si>
    <t>Post Historical Sales/Cost as at cutoff date to Project [Posting Date: Cutoff Date]</t>
  </si>
  <si>
    <t>Post Historical Sales/Cost as at cutoff date to COPA [Posting Date: Cutoff Date]</t>
  </si>
  <si>
    <t>Reclass posting from B/S to P&amp;L on Go-live date</t>
  </si>
  <si>
    <t>This is to nullify the RA posting run at go-live month end</t>
  </si>
  <si>
    <t>203PB01000</t>
  </si>
  <si>
    <t>Progress Billings (CttL)-Current</t>
  </si>
  <si>
    <t>Net Result for WBS Cost Migration</t>
  </si>
  <si>
    <t>Step 1: SC* &amp; SR* uploaded via GL Migration Template (Migration Cockpit)</t>
  </si>
  <si>
    <t>Mig WBS</t>
  </si>
  <si>
    <t>Real WBS</t>
  </si>
  <si>
    <t>Mig WBS in COPA</t>
  </si>
  <si>
    <t>Net Total</t>
  </si>
  <si>
    <t>Rev COPA</t>
  </si>
  <si>
    <t>COS COPA</t>
  </si>
  <si>
    <t>Step 2: CC* &amp; CR* uploaded via Custom WBS migration program</t>
  </si>
  <si>
    <t>- Rev COPA</t>
  </si>
  <si>
    <t>TRANSFER</t>
  </si>
  <si>
    <t>G/L Migration File</t>
  </si>
  <si>
    <t>- Rev</t>
  </si>
  <si>
    <t>Rev</t>
  </si>
  <si>
    <t>(Auto Gen)</t>
  </si>
  <si>
    <t>- COS COPA</t>
  </si>
  <si>
    <t>- COS</t>
  </si>
  <si>
    <t>COS</t>
  </si>
  <si>
    <t>- Rev Adj</t>
  </si>
  <si>
    <t>Rev Adj</t>
  </si>
  <si>
    <t>- Rev Adj COPA</t>
  </si>
  <si>
    <t>Rev Adj COPA</t>
  </si>
  <si>
    <t>- Input Cost</t>
  </si>
  <si>
    <t>- PBL</t>
  </si>
  <si>
    <t>COUNTER RA</t>
  </si>
  <si>
    <t>Net result after adding G/L Migration File</t>
  </si>
  <si>
    <t>Step 3: RA at month-end after Golive</t>
  </si>
  <si>
    <t>WIP Cost Recog</t>
  </si>
  <si>
    <t>WIP Cost Incurred</t>
  </si>
  <si>
    <t>RA Posting (Assuming no new input cost and billing)</t>
  </si>
  <si>
    <t>Final Result:</t>
  </si>
  <si>
    <t>153CI02000</t>
  </si>
  <si>
    <t>WIP-Cost Recog (CttA)</t>
  </si>
  <si>
    <t>WBS Settlement</t>
  </si>
  <si>
    <t>153CI01000</t>
  </si>
  <si>
    <t>WIP-Cost Incurred (CttA)</t>
  </si>
  <si>
    <t>C12DM00000</t>
  </si>
  <si>
    <t>Input Cost-Settlement-Direct Materials</t>
  </si>
  <si>
    <t>Final Result after WBS Settlement</t>
  </si>
  <si>
    <t>You can see the assignment of Dummy &amp; Real but if combine all above it will be correct (Refer to WBS Accounting Entry Sheet)</t>
  </si>
  <si>
    <t>A2</t>
  </si>
  <si>
    <t>A4</t>
  </si>
  <si>
    <r>
      <t xml:space="preserve">GL Template counterpart:
</t>
    </r>
    <r>
      <rPr>
        <sz val="11"/>
        <color theme="1"/>
        <rFont val="Aptos Narrow"/>
        <family val="2"/>
        <scheme val="minor"/>
      </rPr>
      <t>(Assume COS = Input Cost, from Sor Lan understanding then Input Cost is SAP term, COS is eventually total of Input Cost by categories)</t>
    </r>
  </si>
  <si>
    <t>Progress Billing</t>
  </si>
  <si>
    <t>(Later)</t>
  </si>
  <si>
    <t>Month-End</t>
  </si>
  <si>
    <t>Example on Project Flow:</t>
  </si>
  <si>
    <t>Start</t>
  </si>
  <si>
    <t>Complete</t>
  </si>
  <si>
    <t>We do this following SAP's practice on AR/AP reclassification due to subledger management so instead of having to reclass every Vendor/Customer line items, we just lump sum it into adjustment BS GL</t>
  </si>
  <si>
    <t>aka CANI (Cost affecting Net Income)</t>
  </si>
  <si>
    <t>aka RANI (Revenue affecting Net Income)</t>
  </si>
  <si>
    <t xml:space="preserve">  =&gt; Cost of Sales = POC * Planned Cost = Actual Cost</t>
  </si>
  <si>
    <t>*When pay the actual payment per Vendor Invoice</t>
  </si>
  <si>
    <t>*When the expense actually happens and you gotta pay the Vendor (or clearing against Customer if it relates to the Customer)</t>
  </si>
  <si>
    <t>Settlement CJ88/CJ8G</t>
  </si>
  <si>
    <t>*Input Cost Settlement CEs can be different from Input Cost CEs depending on config but the purpose is sum total is 0</t>
  </si>
  <si>
    <t xml:space="preserve">  =&gt; AR Recognized = POC * Planned Revenue</t>
  </si>
  <si>
    <t>*Amount up to which one is smaller will get cleared</t>
  </si>
  <si>
    <t>Standard RA KKA2/KKAJ</t>
  </si>
  <si>
    <t>Still have to run in order to calculate WIP for Settlement step</t>
  </si>
  <si>
    <t>WIP = 0</t>
  </si>
  <si>
    <t>AR = 0 when paid</t>
  </si>
  <si>
    <t>AR AdvPayment = 0</t>
  </si>
  <si>
    <t>Sum PBL + AR Unbilled = 0</t>
  </si>
  <si>
    <r>
      <t xml:space="preserve">=&gt; Only remain </t>
    </r>
    <r>
      <rPr>
        <b/>
        <sz val="11"/>
        <color theme="1"/>
        <rFont val="Aptos Narrow"/>
        <family val="2"/>
        <scheme val="minor"/>
      </rPr>
      <t>Revenue COPA</t>
    </r>
    <r>
      <rPr>
        <sz val="11"/>
        <color theme="1"/>
        <rFont val="Aptos Narrow"/>
        <family val="2"/>
        <scheme val="minor"/>
      </rPr>
      <t xml:space="preserve"> +</t>
    </r>
    <r>
      <rPr>
        <b/>
        <sz val="11"/>
        <color theme="1"/>
        <rFont val="Aptos Narrow"/>
        <family val="2"/>
        <scheme val="minor"/>
      </rPr>
      <t xml:space="preserve"> COS COPA</t>
    </r>
    <r>
      <rPr>
        <sz val="11"/>
        <color theme="1"/>
        <rFont val="Aptos Narrow"/>
        <family val="2"/>
        <scheme val="minor"/>
      </rPr>
      <t xml:space="preserve"> + </t>
    </r>
    <r>
      <rPr>
        <b/>
        <sz val="11"/>
        <color theme="1"/>
        <rFont val="Aptos Narrow"/>
        <family val="2"/>
        <scheme val="minor"/>
      </rPr>
      <t>Bank</t>
    </r>
  </si>
  <si>
    <r>
      <t>"</t>
    </r>
    <r>
      <rPr>
        <b/>
        <sz val="11"/>
        <rFont val="Aptos Narrow"/>
        <family val="2"/>
        <scheme val="minor"/>
      </rPr>
      <t>Overtime</t>
    </r>
    <r>
      <rPr>
        <sz val="11"/>
        <rFont val="Aptos Narrow"/>
        <family val="2"/>
        <scheme val="minor"/>
      </rPr>
      <t>" aka Input Method (Cost-based)/Output Method (Revenue-based)</t>
    </r>
  </si>
  <si>
    <r>
      <t>"</t>
    </r>
    <r>
      <rPr>
        <b/>
        <sz val="11"/>
        <color theme="1"/>
        <rFont val="Aptos Narrow"/>
        <family val="2"/>
        <scheme val="minor"/>
      </rPr>
      <t>Point in time</t>
    </r>
    <r>
      <rPr>
        <sz val="11"/>
        <color theme="1"/>
        <rFont val="Aptos Narrow"/>
        <family val="2"/>
        <scheme val="minor"/>
      </rPr>
      <t>" aka Project completion/delivered status</t>
    </r>
  </si>
  <si>
    <t>For a project, we need to determine from the beginning about the time of revenue recognition (aka AR Recognized):</t>
  </si>
  <si>
    <t>Cr AR AdvPayment</t>
  </si>
  <si>
    <t>Dr AR</t>
  </si>
  <si>
    <t>Cr PBL</t>
  </si>
  <si>
    <t>Dr Input Cost</t>
  </si>
  <si>
    <t>Cr AP</t>
  </si>
  <si>
    <t>Dr Expense</t>
  </si>
  <si>
    <t>Cr Provision</t>
  </si>
  <si>
    <t>Dr AR AdvPayment</t>
  </si>
  <si>
    <t>Dr Bank</t>
  </si>
  <si>
    <t>Cr AR</t>
  </si>
  <si>
    <t>Dr AP</t>
  </si>
  <si>
    <t>Cr Bank</t>
  </si>
  <si>
    <t>Dr Provision</t>
  </si>
  <si>
    <t>then</t>
  </si>
  <si>
    <t xml:space="preserve">Dr AR </t>
  </si>
  <si>
    <t>Cr Rev (WBS)</t>
  </si>
  <si>
    <t>Dr COS (WBS)</t>
  </si>
  <si>
    <t>Cr Input Cost (Settlement)</t>
  </si>
  <si>
    <t>Dr COS COPA</t>
  </si>
  <si>
    <t>Cr Rev COPA</t>
  </si>
  <si>
    <t>Cr COS (WBS)</t>
  </si>
  <si>
    <t>Dr Rev (WBS)</t>
  </si>
  <si>
    <t>POC = Actual Cost / Planned Cost</t>
  </si>
  <si>
    <t xml:space="preserve">For example here we use Input Method (Cost-based) then we calculate Percentage of Completion: </t>
  </si>
  <si>
    <r>
      <rPr>
        <b/>
        <sz val="11"/>
        <color theme="1"/>
        <rFont val="Aptos Narrow"/>
        <family val="2"/>
        <scheme val="minor"/>
      </rPr>
      <t>Actual Cost</t>
    </r>
    <r>
      <rPr>
        <sz val="11"/>
        <color theme="1"/>
        <rFont val="Aptos Narrow"/>
        <family val="2"/>
        <scheme val="minor"/>
      </rPr>
      <t xml:space="preserve"> is often understood as:
Input Cost uptodate on WBS
including:
&gt;Material consumption
&gt;Non-Valuated Material consumption
&gt;Subcontracting
&gt;Direct Labor
&gt;Outsource Labor
&gt;Project Overhead
&gt;Labor-based Overhead
&gt;Depreciation
&gt;Cost to fullfill Contract
&gt;Accrued Expenses</t>
    </r>
  </si>
  <si>
    <r>
      <rPr>
        <b/>
        <sz val="11"/>
        <color theme="1"/>
        <rFont val="Aptos Narrow"/>
        <family val="2"/>
        <scheme val="minor"/>
      </rPr>
      <t>Planned Cost</t>
    </r>
    <r>
      <rPr>
        <sz val="11"/>
        <color theme="1"/>
        <rFont val="Aptos Narrow"/>
        <family val="2"/>
        <scheme val="minor"/>
      </rPr>
      <t xml:space="preserve"> is often understood as:
Approved budget
Maintained in WBS Plan value version 0 for each input cost GL
Often updated based on:
&gt;Actual Cost uptodate
&gt;Commitment Cost from PO
&gt;Cost to fullfill Contract
&gt;Forecast Cost for remaining work</t>
    </r>
  </si>
  <si>
    <t>Custom RA</t>
  </si>
  <si>
    <t>Post the COS &amp; AR Recognized where AR Recognized in custom program also includes Rev from Peformance Bonus Sales/Liquidated Damage Sales/KPI Penalty (Not * POC but take entire values)</t>
  </si>
  <si>
    <t>Project with foreign currencies need to calculate and post historical rate but Standard RA will always return company currency and use current exchange rate =&gt; Custom RA will undo the Standard RA postings and repost with correct historical rate</t>
  </si>
  <si>
    <t>Dr AR Unbilled</t>
  </si>
  <si>
    <t>Dr PBL</t>
  </si>
  <si>
    <t>Cr AR Unbilled</t>
  </si>
  <si>
    <t>Cr WIP (Cost Recognized)</t>
  </si>
  <si>
    <t>Dr WIP (Cost Incurred)</t>
  </si>
  <si>
    <t>SO / Sales Contract created with all the items related to Billings of the project (refer to Planned Revenue above)</t>
  </si>
  <si>
    <r>
      <rPr>
        <b/>
        <sz val="11"/>
        <color theme="1"/>
        <rFont val="Aptos Narrow"/>
        <family val="2"/>
        <scheme val="minor"/>
      </rPr>
      <t>Planned Revenue</t>
    </r>
    <r>
      <rPr>
        <sz val="11"/>
        <color theme="1"/>
        <rFont val="Aptos Narrow"/>
        <family val="2"/>
        <scheme val="minor"/>
      </rPr>
      <t xml:space="preserve"> is often understood as:
Contract value
Maintained in SO / Sales Contract
including:
&gt;Advance Billing (aka Issue Billing before any delivery)
&gt;Progress Billing (aka Issue Billing but not record to Sales yet)
&gt;AR Unbilled (Retention/Warranty Sales/KPI Penalty/Performance Bonus/Liquidated Damages) </t>
    </r>
    <r>
      <rPr>
        <sz val="11"/>
        <color rgb="FF0070C0"/>
        <rFont val="Aptos Narrow"/>
        <family val="2"/>
        <scheme val="minor"/>
      </rPr>
      <t>#Each maintained as SO / Sales Contract item assigned to WBS</t>
    </r>
  </si>
  <si>
    <t>Calculate POC = Step 3 / Step 0</t>
  </si>
  <si>
    <r>
      <t xml:space="preserve">Project WBS created with approved budget </t>
    </r>
    <r>
      <rPr>
        <u/>
        <sz val="11"/>
        <rFont val="Aptos Narrow"/>
        <family val="2"/>
        <scheme val="minor"/>
      </rPr>
      <t>(aka Planned Cost)</t>
    </r>
  </si>
  <si>
    <t>Revenue Recognition postings</t>
  </si>
  <si>
    <t>Dr AR AdvPayment Adj</t>
  </si>
  <si>
    <t>Offset current PBL &amp; Prev. month AR Unbilled</t>
  </si>
  <si>
    <t>Liability</t>
  </si>
  <si>
    <t>Adv Billing posting for Adv Billing Step 1</t>
  </si>
  <si>
    <r>
      <t xml:space="preserve">Cost Incurred posting </t>
    </r>
    <r>
      <rPr>
        <u/>
        <sz val="11"/>
        <color theme="1"/>
        <rFont val="Aptos Narrow"/>
        <family val="2"/>
        <scheme val="minor"/>
      </rPr>
      <t>(aka Actual Cost)</t>
    </r>
  </si>
  <si>
    <t>Provision for Irrecoverable WIP &amp; Liquidated Damages posting</t>
  </si>
  <si>
    <t>Revenue recognized posting</t>
  </si>
  <si>
    <t>=&gt; Increase Asset Contract</t>
  </si>
  <si>
    <t>=&gt; Decrease Liability Contract</t>
  </si>
  <si>
    <t>In SAP when issue billing we get:</t>
  </si>
  <si>
    <t>Cr AR AdvPayment Adj</t>
  </si>
  <si>
    <t>Cr Revenue</t>
  </si>
  <si>
    <t>Dr Revenue</t>
  </si>
  <si>
    <t>so later we have to reclass AR -&gt; PBL by posting:</t>
  </si>
  <si>
    <t>*When receive the actual payment per Advance Billing request</t>
  </si>
  <si>
    <t>Revenue recognized this month = Accum. Revenue recognized - Previous month Accum. Revenue recognized</t>
  </si>
  <si>
    <t>Revenue recognized this month posting</t>
  </si>
  <si>
    <r>
      <t>Calculate the</t>
    </r>
    <r>
      <rPr>
        <b/>
        <sz val="11"/>
        <color theme="8"/>
        <rFont val="Aptos Narrow"/>
        <family val="2"/>
        <scheme val="minor"/>
      </rPr>
      <t xml:space="preserve"> Accum. Revenue recognized against PBL </t>
    </r>
    <r>
      <rPr>
        <sz val="11"/>
        <rFont val="Aptos Narrow"/>
        <family val="2"/>
        <scheme val="minor"/>
      </rPr>
      <t>= PBL Step 1 * POC</t>
    </r>
  </si>
  <si>
    <t>Progress Billing posting for Progress Billing Step 1</t>
  </si>
  <si>
    <r>
      <t xml:space="preserve">*Underbilling (aka </t>
    </r>
    <r>
      <rPr>
        <b/>
        <sz val="11"/>
        <color theme="8"/>
        <rFont val="Aptos Narrow"/>
        <family val="2"/>
        <scheme val="minor"/>
      </rPr>
      <t>Accum. Revenue recognized against PBL</t>
    </r>
    <r>
      <rPr>
        <sz val="11"/>
        <rFont val="Aptos Narrow"/>
        <family val="2"/>
        <scheme val="minor"/>
      </rPr>
      <t xml:space="preserve"> &gt; Accum. PBL from Billing Step 4)</t>
    </r>
  </si>
  <si>
    <t>Cost of Sales posting</t>
  </si>
  <si>
    <r>
      <t>Calculate the</t>
    </r>
    <r>
      <rPr>
        <sz val="11"/>
        <color theme="8"/>
        <rFont val="Aptos Narrow"/>
        <family val="2"/>
        <scheme val="minor"/>
      </rPr>
      <t xml:space="preserve"> </t>
    </r>
    <r>
      <rPr>
        <b/>
        <sz val="11"/>
        <color theme="6"/>
        <rFont val="Aptos Narrow"/>
        <family val="2"/>
        <scheme val="minor"/>
      </rPr>
      <t>Accum. Revenue recognized against AR AdvPayment</t>
    </r>
    <r>
      <rPr>
        <sz val="11"/>
        <color theme="1"/>
        <rFont val="Aptos Narrow"/>
        <family val="2"/>
        <scheme val="minor"/>
      </rPr>
      <t xml:space="preserve"> = AR AdvPayment Step 1 * POC</t>
    </r>
  </si>
  <si>
    <t>Dr AR Unbilled BS Adj</t>
  </si>
  <si>
    <t>#Same name but diff GLs: 1 in Asset / 1 in Liability</t>
  </si>
  <si>
    <t>Cr AR Unbilled BS Adj</t>
  </si>
  <si>
    <t>BS Reclassification posting</t>
  </si>
  <si>
    <t>*Here the PBL amount (Liability side) will be cancelled by BS Adj GL, leaving Project view total in AR Unbilled (Asset side) only</t>
  </si>
  <si>
    <t>*Here the AR Unbilled amount (Asset side) will be cancelled by BS Adj GL, leaving Project view total in PBL (Liability side) only</t>
  </si>
  <si>
    <t>Asset - Liability &lt; 0 then it's Liability Contract</t>
  </si>
  <si>
    <t>Asset - Liability &gt; 0 then it's Asset Contract</t>
  </si>
  <si>
    <r>
      <t xml:space="preserve">*Asset Contract (aka Accum. </t>
    </r>
    <r>
      <rPr>
        <b/>
        <sz val="11"/>
        <color theme="7" tint="-0.249977111117893"/>
        <rFont val="Aptos Narrow"/>
        <family val="2"/>
        <scheme val="minor"/>
      </rPr>
      <t>PBL from Billing Step 4 + Accum. AR AdvPayment from Billing Step 2</t>
    </r>
    <r>
      <rPr>
        <sz val="11"/>
        <color theme="1"/>
        <rFont val="Aptos Narrow"/>
        <family val="2"/>
        <scheme val="minor"/>
      </rPr>
      <t xml:space="preserve"> &lt; Accum. Revenue recognized against AR AdvPayment + PBL)</t>
    </r>
  </si>
  <si>
    <r>
      <t xml:space="preserve">*Liability Contract (aka Accum. </t>
    </r>
    <r>
      <rPr>
        <b/>
        <sz val="11"/>
        <color theme="7" tint="-0.249977111117893"/>
        <rFont val="Aptos Narrow"/>
        <family val="2"/>
        <scheme val="minor"/>
      </rPr>
      <t>PBL from Billing Step 4 + Accum. AR AdvPayment from Billing Step 2</t>
    </r>
    <r>
      <rPr>
        <sz val="11"/>
        <color theme="1"/>
        <rFont val="Aptos Narrow"/>
        <family val="2"/>
        <scheme val="minor"/>
      </rPr>
      <t xml:space="preserve"> &gt; Accum. Revenue recognized against AR AdvPayment + PBL)</t>
    </r>
  </si>
  <si>
    <t xml:space="preserve">*Amount up to which side </t>
  </si>
  <si>
    <t>Reclass posting (Never touch the original account, only post through BS Adj GL)</t>
  </si>
  <si>
    <r>
      <t>Then in FSV, we put these Adj GLs in Liability/Asset respectively so it will cancel each other out, the remain of balance per project will be in 1 side only: Either Asset or Liability (</t>
    </r>
    <r>
      <rPr>
        <b/>
        <sz val="11"/>
        <color theme="7" tint="-0.499984740745262"/>
        <rFont val="Aptos Narrow"/>
        <family val="2"/>
        <scheme val="minor"/>
      </rPr>
      <t>To comply with IFRS accounting principle</t>
    </r>
    <r>
      <rPr>
        <sz val="11"/>
        <color theme="1"/>
        <rFont val="Aptos Narrow"/>
        <family val="2"/>
        <scheme val="minor"/>
      </rPr>
      <t>)</t>
    </r>
  </si>
  <si>
    <t>At every month-end, this reclassifcation will be computed again with the newest data, any changes in Asset/Liability of the Project like AR Unbilled got cleared by PBL (full or partial) from Step 6.3</t>
  </si>
  <si>
    <t>=&gt; The delta reclassification will arise (1 posting) or we can reverse the previous month reclassification then reclass fresh (2 postings)</t>
  </si>
  <si>
    <t>Best practice should be reversal of previous month reclass first, then determine the Project balance is Asset side or Liability side, then post the BS Adj to zero out the remaining side</t>
  </si>
  <si>
    <t>*Amount is sum of the month</t>
  </si>
  <si>
    <t>Project set to TECO</t>
  </si>
  <si>
    <t>If AR AdvPayment / PBL up to this point not 0 as POC cannot reach 100% (using all of its budget) then there will be final postings to close the balance on 0</t>
  </si>
  <si>
    <t>The concept is eventhough we havent using all the budget but we set to TECO meaning Project is now completed, all the performance obligation done =&gt; we completed the contract and since the contract worth is larger than the POC calculation, we will force the recognition on the last piece of revenue from this project</t>
  </si>
  <si>
    <t>Meaning AR AdvPayment &amp; PBL remaining (which are not getting cleared by RA due to Project close - no more Input Cost - no more POC - no more RA calculation) then get released by AR AdvPayment Adj &amp; PBL itself</t>
  </si>
  <si>
    <r>
      <t xml:space="preserve">Sum all the </t>
    </r>
    <r>
      <rPr>
        <b/>
        <sz val="11"/>
        <color rgb="FFFF0000"/>
        <rFont val="Aptos Narrow"/>
        <family val="2"/>
        <scheme val="minor"/>
      </rPr>
      <t>Red-text</t>
    </r>
    <r>
      <rPr>
        <sz val="11"/>
        <color theme="1"/>
        <rFont val="Aptos Narrow"/>
        <family val="2"/>
        <scheme val="minor"/>
      </rPr>
      <t xml:space="preserve"> cells per Asset &amp; Liability categories (</t>
    </r>
    <r>
      <rPr>
        <b/>
        <u/>
        <sz val="11"/>
        <color theme="7" tint="-0.499984740745262"/>
        <rFont val="Aptos Narrow"/>
        <family val="2"/>
        <scheme val="minor"/>
      </rPr>
      <t>AR Unbilled, PBL, AR AdvPayment, AR AdvPayment Adj</t>
    </r>
    <r>
      <rPr>
        <sz val="11"/>
        <color theme="1"/>
        <rFont val="Aptos Narrow"/>
        <family val="2"/>
        <scheme val="minor"/>
      </rPr>
      <t>)</t>
    </r>
  </si>
  <si>
    <r>
      <t xml:space="preserve">*Overbilling (aka </t>
    </r>
    <r>
      <rPr>
        <b/>
        <sz val="11"/>
        <color theme="8"/>
        <rFont val="Aptos Narrow"/>
        <family val="2"/>
        <scheme val="minor"/>
      </rPr>
      <t>Accum. Revenue recognized against PBL</t>
    </r>
    <r>
      <rPr>
        <sz val="11"/>
        <rFont val="Aptos Narrow"/>
        <family val="2"/>
        <scheme val="minor"/>
      </rPr>
      <t xml:space="preserve"> =&lt; Accum. PBL from Billing Step 4)</t>
    </r>
  </si>
  <si>
    <t>Category</t>
  </si>
  <si>
    <t>PIC</t>
  </si>
  <si>
    <t>2025 TB</t>
  </si>
  <si>
    <t>Offset Amount</t>
  </si>
  <si>
    <t>9*1 Migration for AP</t>
  </si>
  <si>
    <t>GL Template</t>
  </si>
  <si>
    <t>Fixed Deposit</t>
  </si>
  <si>
    <t>Bank</t>
  </si>
  <si>
    <t>Retained Earning</t>
  </si>
  <si>
    <t>Deposit 1</t>
  </si>
  <si>
    <t>Dr Fixed Deposit</t>
  </si>
  <si>
    <t>SUM</t>
  </si>
  <si>
    <t>Deposit 2</t>
  </si>
  <si>
    <t>ACN</t>
  </si>
  <si>
    <t>Dr Retained Earning</t>
  </si>
  <si>
    <t>Cr Expense</t>
  </si>
  <si>
    <t>2026 TB</t>
  </si>
  <si>
    <t>AP Recon (Invoice 2)</t>
  </si>
  <si>
    <t>Open AP Template</t>
  </si>
  <si>
    <t>Invoice 3</t>
  </si>
  <si>
    <t>AP Recon (Invoice 3)</t>
  </si>
  <si>
    <t>Fixed Deposit (Deposit 2)</t>
  </si>
  <si>
    <t>Payment Invoice 1</t>
  </si>
  <si>
    <t>Bank Movement</t>
  </si>
  <si>
    <t>Expense</t>
  </si>
  <si>
    <t>Withdraw Deposit 1</t>
  </si>
  <si>
    <t>Cr Fixed Deposit</t>
  </si>
  <si>
    <t>Henry Grey lines</t>
  </si>
  <si>
    <t>2026 Records</t>
  </si>
  <si>
    <t>2025 Records</t>
  </si>
  <si>
    <t>AP Recon</t>
  </si>
  <si>
    <t>9*1</t>
  </si>
  <si>
    <t>9*0 Migration for GL</t>
  </si>
  <si>
    <t>2026 TB After Henry Grey lines</t>
  </si>
  <si>
    <t>Dr Asset</t>
  </si>
  <si>
    <t>Asset Acquisition</t>
  </si>
  <si>
    <t>Asset Acquistion</t>
  </si>
  <si>
    <t>9*4 Migration for Asset</t>
  </si>
  <si>
    <t>Flow to extract Data</t>
  </si>
  <si>
    <t>1. TB 2025</t>
  </si>
  <si>
    <t>2. Movement 2026</t>
  </si>
  <si>
    <t>3. TB 2026</t>
  </si>
  <si>
    <t>4. Mapping COA &amp; Classify GLs by:</t>
  </si>
  <si>
    <t>_AR</t>
  </si>
  <si>
    <t>_AP</t>
  </si>
  <si>
    <t xml:space="preserve">_Open BS </t>
  </si>
  <si>
    <t>_Non-Open BS</t>
  </si>
  <si>
    <t>_Asset</t>
  </si>
  <si>
    <t>_PL</t>
  </si>
  <si>
    <t>Fill amount from 2 with Doc Date 26</t>
  </si>
  <si>
    <t>Fill amount from 1 to Cumulative values 25 and amount from 2 to Posted Dep &amp; Transaction in 26</t>
  </si>
  <si>
    <t>Fill amount from 1 with Doc Date 25 and amount from 2 with Doc Date 25</t>
  </si>
  <si>
    <t>Keep only Open AR items from 1 &amp; 2 with Doc Date 26</t>
  </si>
  <si>
    <t>Keep only Open AP items from 1 &amp; 2 with Doc Date 26</t>
  </si>
  <si>
    <t>Keep only Open BS items from 1 &amp; 2 with Doc Date 26</t>
  </si>
  <si>
    <t>_Inventory</t>
  </si>
  <si>
    <t>Keep only Inventory-Manual-FI-Posted GLs from 1 &amp; 2 with Doc Date 26 (Exclude Inventory-Auto-MM-Posted GLs as it is included in MM template)</t>
  </si>
  <si>
    <t>5. Cross check 4 with 3 (Exclude balances of Inventory-Auto-MM-Posted GLs)</t>
  </si>
  <si>
    <t>Fill amount from 1 with 9*1/9*5 with Doc Date 25</t>
  </si>
  <si>
    <t>Fill amount from 1 with 9*2/9*6 with Doc Date 25</t>
  </si>
  <si>
    <t>Fill amount from 1 with Doc Date 25</t>
  </si>
  <si>
    <t>Fill amount from 1 for both Manual &amp; Auto GLs (OBYC) with Doc Date 25</t>
  </si>
  <si>
    <t>Fill amount from 1 with Acq &amp; Accum. Dep GLs (AO90) with Doc Date 25</t>
  </si>
  <si>
    <t>6. Cross check Inventory-Auto-MM-Posted GLs with MM template</t>
  </si>
  <si>
    <t>7. For 2025 TB, at step 4:</t>
  </si>
  <si>
    <t>9. Check 9*0 balance</t>
  </si>
  <si>
    <t>Billing 1</t>
  </si>
  <si>
    <t>AR Recon (Billing 1)</t>
  </si>
  <si>
    <t>9*2 Migration for AR</t>
  </si>
  <si>
    <t>Open AR Template</t>
  </si>
  <si>
    <t>Year-end closing</t>
  </si>
  <si>
    <t>Goods receipt 1</t>
  </si>
  <si>
    <t>Goods receipt 2</t>
  </si>
  <si>
    <t>Goods issue 1</t>
  </si>
  <si>
    <t>Inventory provision 1</t>
  </si>
  <si>
    <t>Inventory provision 2</t>
  </si>
  <si>
    <t>Non-Open BS (Inventory Auto)</t>
  </si>
  <si>
    <t>Dr Inventory</t>
  </si>
  <si>
    <t>Dr COS Provision for Stock Obsolence</t>
  </si>
  <si>
    <t>Cr Provision for Stock Obsolence</t>
  </si>
  <si>
    <t>Non-Open BS (Inventory Manual)</t>
  </si>
  <si>
    <t>Dr COS</t>
  </si>
  <si>
    <t>Cr Inventory</t>
  </si>
  <si>
    <t>STE</t>
  </si>
  <si>
    <t>Inventory Auto</t>
  </si>
  <si>
    <t>Inventory Manual</t>
  </si>
  <si>
    <t>Cr COS</t>
  </si>
  <si>
    <r>
      <t xml:space="preserve">Manual reverse </t>
    </r>
    <r>
      <rPr>
        <b/>
        <sz val="11"/>
        <color theme="1"/>
        <rFont val="Aptos Narrow"/>
        <family val="2"/>
        <scheme val="minor"/>
      </rPr>
      <t>OUTSIDE OF TEMPLATE</t>
    </r>
  </si>
  <si>
    <t>9*2</t>
  </si>
  <si>
    <t>AR Recon</t>
  </si>
  <si>
    <t>STE RTR</t>
  </si>
  <si>
    <t>STE PTP</t>
  </si>
  <si>
    <t>Inventory Template</t>
  </si>
  <si>
    <t>9*3 Migration for Inventory</t>
  </si>
  <si>
    <t>COS Provision for Stock Obsolence</t>
  </si>
  <si>
    <t>AP Recon (Goods Receipt 1)</t>
  </si>
  <si>
    <t>AP Recon (Goods Receipt 2)</t>
  </si>
  <si>
    <t>Manual Mapping approach below wont be applied:</t>
  </si>
  <si>
    <t>Open-Item GL BS</t>
  </si>
  <si>
    <t>Non Open-Item GL BS</t>
  </si>
  <si>
    <t>Open BS GL</t>
  </si>
  <si>
    <t>Assignment</t>
  </si>
  <si>
    <t>TB 31-Jan-2026</t>
  </si>
  <si>
    <t>Total</t>
  </si>
  <si>
    <t>GOLIVE</t>
  </si>
  <si>
    <t>MOCK 2/3/GOLIVE</t>
  </si>
  <si>
    <t>Open Item 1</t>
  </si>
  <si>
    <t>Open Item Carried Forward from 2025</t>
  </si>
  <si>
    <t>Movement Item 7</t>
  </si>
  <si>
    <t>Open Item 2</t>
  </si>
  <si>
    <t>Open Item New 4 in 2026</t>
  </si>
  <si>
    <t>Movement Item 8</t>
  </si>
  <si>
    <t>Open Item 3</t>
  </si>
  <si>
    <t>Open Item New 5 in 2026</t>
  </si>
  <si>
    <t>Movement Item 9</t>
  </si>
  <si>
    <t>Open Item New 6 in 2026</t>
  </si>
  <si>
    <t>Movement Item 10</t>
  </si>
  <si>
    <t>Payment 1</t>
  </si>
  <si>
    <t>Payment 2</t>
  </si>
  <si>
    <t>Accounting Doc</t>
  </si>
  <si>
    <t>Open Item SUM</t>
  </si>
  <si>
    <t>Non-Open Item SUM</t>
  </si>
  <si>
    <t>Open Item 4</t>
  </si>
  <si>
    <t>ACN manually</t>
  </si>
  <si>
    <t>Open Item 5</t>
  </si>
  <si>
    <t>Open Item 6</t>
  </si>
  <si>
    <t>MOCK 2/3</t>
  </si>
  <si>
    <t>NO USE</t>
  </si>
  <si>
    <t>Movement Total</t>
  </si>
  <si>
    <t>Total Open Item New in 2026</t>
  </si>
  <si>
    <t>8. Add Transfer Grey lines</t>
  </si>
  <si>
    <t>Flow to Migrate</t>
  </si>
  <si>
    <t xml:space="preserve">     #FUNCTIONAL: Untick Autopost only for Inventory GLAC OBYC (FS00)</t>
  </si>
  <si>
    <t xml:space="preserve">     #FUNCTIONAL: Unlink Asset (OAMK)</t>
  </si>
  <si>
    <t>2. #DATA: Load GL Template for lines with Doc Date 31.12.2025</t>
  </si>
  <si>
    <r>
      <t>3. (PROJECT) Load WBS custom template ___</t>
    </r>
    <r>
      <rPr>
        <b/>
        <sz val="11"/>
        <color theme="1"/>
        <rFont val="Aptos Narrow"/>
        <family val="2"/>
        <scheme val="minor"/>
      </rPr>
      <t>#TESTING IF NO RESTRICTION ON Migration Key Date then can do later</t>
    </r>
  </si>
  <si>
    <t>4. #FUNCTIONAL: Balance carryfwd 2025-&gt;2026 (FAGLGVTR)</t>
  </si>
  <si>
    <t>5. #FUNCTIONAL: Set migration key date to 31.01.2026 Ongoing (FINS_MIG_CTRL_1)</t>
  </si>
  <si>
    <t>6. #FUNCTIONAL: Reverse Open items/Asset/Inventory GLAC OBYC/GL Migration of AP&amp;AR of GL 2025 on 31.01.2026 (F.80)</t>
  </si>
  <si>
    <t>7. #DATA: Load Open AR/AP Templates</t>
  </si>
  <si>
    <t xml:space="preserve">     #DATA: Load GL Template for lines with Doc Date 31.01.2026</t>
  </si>
  <si>
    <t xml:space="preserve">     #FUNCTIONAL: Set Transfer Date 31.01.2026, Closed FY 2025, Highest Open FY 2026 (FAA_CMP_LDT)</t>
  </si>
  <si>
    <t xml:space="preserve">     #FUNCTIONAL: Tick Autopost only for Inventory GLAC OBYC (FS00)</t>
  </si>
  <si>
    <t>8. #DATA: Load Asset Template</t>
  </si>
  <si>
    <t xml:space="preserve">     (PTP) Load Inventory Template</t>
  </si>
  <si>
    <t xml:space="preserve">     #FUNCTIONAL: Relink Asset (OAMK)</t>
  </si>
  <si>
    <t>1. #FUNCTIONAL: Open posting periods for 2025 &amp; 2026 (OB52)</t>
  </si>
  <si>
    <t xml:space="preserve">     #FUNCTIONAL: Set migration key date to 31.12.2025 Ongoing (FINS_MIG_CTRL_1)</t>
  </si>
  <si>
    <t>__#Via FAGLL03H filter by GLAC not INCLUDE, count the docs first to verify matching GL Template filtered</t>
  </si>
  <si>
    <t>__#Via FAGLB03 check random GLs to see balance carried forward</t>
  </si>
  <si>
    <t>1. COA Company: Anything to add or remove</t>
  </si>
  <si>
    <t>2. 2025 Trial Balance</t>
  </si>
  <si>
    <t>3. Asset Master:</t>
  </si>
  <si>
    <t>Random check 3-4 Assets: Asset Name + Cost Center + Ord Dep + Useful life + Dep Keys</t>
  </si>
  <si>
    <t>Total number of assets</t>
  </si>
  <si>
    <t>Total cumulative Acquisition/Accum. Dep (+Random check 2-3 Assets)</t>
  </si>
  <si>
    <t>Total posted Dep current year (+Random check 2-3 Assets)</t>
  </si>
  <si>
    <t>Total transaction current year (+Random check 2-3 Assets)</t>
  </si>
  <si>
    <t>4. Open AR 2025 on 31st Dec 2025 (0)</t>
  </si>
  <si>
    <t>5. Open AR 2026 on 31st Jul 2026 (Including Recon + Special GL)</t>
  </si>
  <si>
    <t>6. Open AP 2025 on 31st Dec 2025 (0)</t>
  </si>
  <si>
    <t>8. GL Reversal postings on 31st Dec 2025 (0)</t>
  </si>
  <si>
    <t>9. GL Reversal postings on 31st Jul 2026 (Reversed Docs should be 2025 Docs only)</t>
  </si>
  <si>
    <t>10. Total GL Line items' amount on 31st Jul 2026 (Excluding Reversal Docs)</t>
  </si>
  <si>
    <t>11. 2026 Trial Balance</t>
  </si>
  <si>
    <t>12. Migration GLs balance</t>
  </si>
  <si>
    <t>13. GL transaction types + Trading Partner + House Bank/Account ID exist in GL Line items</t>
  </si>
  <si>
    <t>14. Cost Center/WBS in PL GL Line items</t>
  </si>
  <si>
    <t>15. COPA in PL Revenue &amp; COS Line items</t>
  </si>
  <si>
    <t>16. FSV 2025/2026 if needed?</t>
  </si>
  <si>
    <t>Flow to Validate</t>
  </si>
  <si>
    <t>7. Open AP 2026 on 31st Jul 2026 (Including Recon + Special GL)</t>
  </si>
  <si>
    <t>Prerequisities</t>
  </si>
  <si>
    <t>COA</t>
  </si>
  <si>
    <t>2025 Balances per GLAC</t>
  </si>
  <si>
    <t>Transaction Type available per GLAC</t>
  </si>
  <si>
    <t>2026 Detail transactions per GLAC</t>
  </si>
  <si>
    <t>Bank account master</t>
  </si>
  <si>
    <t>B3</t>
  </si>
  <si>
    <t>Customer master</t>
  </si>
  <si>
    <t>B4</t>
  </si>
  <si>
    <t>2026 Open AP per Vendor</t>
  </si>
  <si>
    <t>A5</t>
  </si>
  <si>
    <t>Vendor master</t>
  </si>
  <si>
    <t>B5</t>
  </si>
  <si>
    <t>2026 Open AR per Customer</t>
  </si>
  <si>
    <t>A6</t>
  </si>
  <si>
    <t>Asset master</t>
  </si>
  <si>
    <t>B6</t>
  </si>
  <si>
    <t>2025 Asset balances (Acquistion/Accum.Dep)</t>
  </si>
  <si>
    <t>A7</t>
  </si>
  <si>
    <t>Trading Partner list</t>
  </si>
  <si>
    <t>B7</t>
  </si>
  <si>
    <t>2026 Asset transactions (Acquistion/Retirement/Depreciation cost)</t>
  </si>
  <si>
    <t>A8</t>
  </si>
  <si>
    <t>Migration Project/WBS list</t>
  </si>
  <si>
    <t>B8</t>
  </si>
  <si>
    <t>2026 Asset balances (Acquisition/Accum.Dep)</t>
  </si>
  <si>
    <t>B9</t>
  </si>
  <si>
    <t>Open Project/WBS historical data</t>
  </si>
  <si>
    <t>Execution</t>
  </si>
  <si>
    <t>C11</t>
  </si>
  <si>
    <t>C111</t>
  </si>
  <si>
    <r>
      <t xml:space="preserve">Identify GLAC recon for AP from </t>
    </r>
    <r>
      <rPr>
        <b/>
        <sz val="11"/>
        <color theme="1"/>
        <rFont val="Aptos Narrow"/>
        <family val="2"/>
        <scheme val="minor"/>
      </rPr>
      <t>B1</t>
    </r>
    <r>
      <rPr>
        <sz val="11"/>
        <color theme="1"/>
        <rFont val="Aptos Narrow"/>
        <family val="2"/>
        <scheme val="minor"/>
      </rPr>
      <t>, combine all into GLAC 9*1 &amp; 9*5 lines</t>
    </r>
  </si>
  <si>
    <t>C112</t>
  </si>
  <si>
    <r>
      <t xml:space="preserve">Identify GLAC recon for AR from </t>
    </r>
    <r>
      <rPr>
        <b/>
        <sz val="11"/>
        <color theme="1"/>
        <rFont val="Aptos Narrow"/>
        <family val="2"/>
        <scheme val="minor"/>
      </rPr>
      <t>B1</t>
    </r>
    <r>
      <rPr>
        <sz val="11"/>
        <color theme="1"/>
        <rFont val="Aptos Narrow"/>
        <family val="2"/>
        <scheme val="minor"/>
      </rPr>
      <t>, combine all into GLAC 9*2 &amp; 9*6 lines</t>
    </r>
  </si>
  <si>
    <t>C113</t>
  </si>
  <si>
    <r>
      <t xml:space="preserve">Identify GLAC with Project/WBS assignment, replace them with Migration Project/WBS list from </t>
    </r>
    <r>
      <rPr>
        <b/>
        <sz val="11"/>
        <color theme="1"/>
        <rFont val="Aptos Narrow"/>
        <family val="2"/>
        <scheme val="minor"/>
      </rPr>
      <t>A8</t>
    </r>
  </si>
  <si>
    <t>C114</t>
  </si>
  <si>
    <r>
      <t>Fill all GLAC from</t>
    </r>
    <r>
      <rPr>
        <b/>
        <sz val="11"/>
        <color theme="1"/>
        <rFont val="Aptos Narrow"/>
        <family val="2"/>
        <scheme val="minor"/>
      </rPr>
      <t xml:space="preserve"> B1</t>
    </r>
    <r>
      <rPr>
        <sz val="11"/>
        <color theme="1"/>
        <rFont val="Aptos Narrow"/>
        <family val="2"/>
        <scheme val="minor"/>
      </rPr>
      <t xml:space="preserve"> aside from those in </t>
    </r>
    <r>
      <rPr>
        <sz val="11"/>
        <color rgb="FFFF0000"/>
        <rFont val="Aptos Narrow"/>
        <family val="2"/>
        <scheme val="minor"/>
      </rPr>
      <t>C111, C112</t>
    </r>
    <r>
      <rPr>
        <sz val="11"/>
        <color theme="1"/>
        <rFont val="Aptos Narrow"/>
        <family val="2"/>
        <scheme val="minor"/>
      </rPr>
      <t xml:space="preserve"> to the template (Including Open Item BS, Inventory, Asset, etc.) with additional info from </t>
    </r>
    <r>
      <rPr>
        <b/>
        <sz val="11"/>
        <color theme="1"/>
        <rFont val="Aptos Narrow"/>
        <family val="2"/>
        <scheme val="minor"/>
      </rPr>
      <t>A2+A3+A7</t>
    </r>
  </si>
  <si>
    <t>C12</t>
  </si>
  <si>
    <t>C121</t>
  </si>
  <si>
    <r>
      <t xml:space="preserve">Identify GLAC recon for AP from </t>
    </r>
    <r>
      <rPr>
        <b/>
        <sz val="11"/>
        <color theme="1"/>
        <rFont val="Aptos Narrow"/>
        <family val="2"/>
        <scheme val="minor"/>
      </rPr>
      <t>B2</t>
    </r>
    <r>
      <rPr>
        <sz val="11"/>
        <color theme="1"/>
        <rFont val="Aptos Narrow"/>
        <family val="2"/>
        <scheme val="minor"/>
      </rPr>
      <t>, remove them</t>
    </r>
  </si>
  <si>
    <t>C122</t>
  </si>
  <si>
    <r>
      <t xml:space="preserve">Identify GLAC recon for AR from </t>
    </r>
    <r>
      <rPr>
        <b/>
        <sz val="11"/>
        <color theme="1"/>
        <rFont val="Aptos Narrow"/>
        <family val="2"/>
        <scheme val="minor"/>
      </rPr>
      <t>B2</t>
    </r>
    <r>
      <rPr>
        <sz val="11"/>
        <color theme="1"/>
        <rFont val="Aptos Narrow"/>
        <family val="2"/>
        <scheme val="minor"/>
      </rPr>
      <t>, remove them</t>
    </r>
  </si>
  <si>
    <t>C123</t>
  </si>
  <si>
    <r>
      <t>Identify BS GLAC for Asset (Acquisition/Accum.Dep) from</t>
    </r>
    <r>
      <rPr>
        <b/>
        <sz val="11"/>
        <color theme="1"/>
        <rFont val="Aptos Narrow"/>
        <family val="2"/>
        <scheme val="minor"/>
      </rPr>
      <t xml:space="preserve"> B2</t>
    </r>
    <r>
      <rPr>
        <sz val="11"/>
        <color theme="1"/>
        <rFont val="Aptos Narrow"/>
        <family val="2"/>
        <scheme val="minor"/>
      </rPr>
      <t>, remove them</t>
    </r>
  </si>
  <si>
    <t>C124</t>
  </si>
  <si>
    <t>C125</t>
  </si>
  <si>
    <r>
      <t xml:space="preserve">Identify Open BS GLAC from </t>
    </r>
    <r>
      <rPr>
        <b/>
        <sz val="11"/>
        <color theme="1"/>
        <rFont val="Aptos Narrow"/>
        <family val="2"/>
        <scheme val="minor"/>
      </rPr>
      <t>B2</t>
    </r>
    <r>
      <rPr>
        <sz val="11"/>
        <color theme="1"/>
        <rFont val="Aptos Narrow"/>
        <family val="2"/>
        <scheme val="minor"/>
      </rPr>
      <t>, remove them</t>
    </r>
  </si>
  <si>
    <t>C126</t>
  </si>
  <si>
    <r>
      <t xml:space="preserve">Fill all GLAC from </t>
    </r>
    <r>
      <rPr>
        <b/>
        <sz val="11"/>
        <color theme="1"/>
        <rFont val="Aptos Narrow"/>
        <family val="2"/>
        <scheme val="minor"/>
      </rPr>
      <t xml:space="preserve">B2 </t>
    </r>
    <r>
      <rPr>
        <sz val="11"/>
        <color theme="1"/>
        <rFont val="Aptos Narrow"/>
        <family val="2"/>
        <scheme val="minor"/>
      </rPr>
      <t xml:space="preserve">aside from those in </t>
    </r>
    <r>
      <rPr>
        <sz val="11"/>
        <color rgb="FFFF0000"/>
        <rFont val="Aptos Narrow"/>
        <family val="2"/>
        <scheme val="minor"/>
      </rPr>
      <t>C121-&gt;C125</t>
    </r>
    <r>
      <rPr>
        <sz val="11"/>
        <color theme="1"/>
        <rFont val="Aptos Narrow"/>
        <family val="2"/>
        <scheme val="minor"/>
      </rPr>
      <t xml:space="preserve"> with additional info from</t>
    </r>
    <r>
      <rPr>
        <b/>
        <sz val="11"/>
        <color theme="1"/>
        <rFont val="Aptos Narrow"/>
        <family val="2"/>
        <scheme val="minor"/>
      </rPr>
      <t xml:space="preserve"> A2+A3+A7+A8</t>
    </r>
  </si>
  <si>
    <t>C127</t>
  </si>
  <si>
    <r>
      <t xml:space="preserve">Identify Open BS GLAC from </t>
    </r>
    <r>
      <rPr>
        <b/>
        <sz val="11"/>
        <color theme="1"/>
        <rFont val="Aptos Narrow"/>
        <family val="2"/>
        <scheme val="minor"/>
      </rPr>
      <t>B3</t>
    </r>
    <r>
      <rPr>
        <sz val="11"/>
        <color theme="1"/>
        <rFont val="Aptos Narrow"/>
        <family val="2"/>
        <scheme val="minor"/>
      </rPr>
      <t xml:space="preserve">, fill them in the template with additional info from </t>
    </r>
    <r>
      <rPr>
        <b/>
        <sz val="11"/>
        <color theme="1"/>
        <rFont val="Aptos Narrow"/>
        <family val="2"/>
        <scheme val="minor"/>
      </rPr>
      <t>A2+A3+A7+A8</t>
    </r>
  </si>
  <si>
    <t>C128</t>
  </si>
  <si>
    <t>Combine the amount from C2 into GLAC 9*1 &amp; 9*5 to transfer it to 9*0</t>
  </si>
  <si>
    <t>C129</t>
  </si>
  <si>
    <t>Combine the amount from C3 into GLAC 9*2 &amp; 9*6 to transfer it to 9*0</t>
  </si>
  <si>
    <t>C130</t>
  </si>
  <si>
    <t>Combine the amount from C4 into GLAC 9*4 to transfer it to 9*0</t>
  </si>
  <si>
    <t>C131</t>
  </si>
  <si>
    <t>C21</t>
  </si>
  <si>
    <r>
      <t xml:space="preserve">Use data from </t>
    </r>
    <r>
      <rPr>
        <b/>
        <sz val="11"/>
        <color theme="1"/>
        <rFont val="Aptos Narrow"/>
        <family val="2"/>
        <scheme val="minor"/>
      </rPr>
      <t>A1+A5+B4</t>
    </r>
    <r>
      <rPr>
        <sz val="11"/>
        <color theme="1"/>
        <rFont val="Aptos Narrow"/>
        <family val="2"/>
        <scheme val="minor"/>
      </rPr>
      <t xml:space="preserve"> to fill</t>
    </r>
  </si>
  <si>
    <t>C31</t>
  </si>
  <si>
    <r>
      <t>Use data from</t>
    </r>
    <r>
      <rPr>
        <b/>
        <sz val="11"/>
        <color theme="1"/>
        <rFont val="Aptos Narrow"/>
        <family val="2"/>
        <scheme val="minor"/>
      </rPr>
      <t xml:space="preserve"> A1+A4+B5</t>
    </r>
    <r>
      <rPr>
        <sz val="11"/>
        <color theme="1"/>
        <rFont val="Aptos Narrow"/>
        <family val="2"/>
        <scheme val="minor"/>
      </rPr>
      <t xml:space="preserve"> to fill</t>
    </r>
  </si>
  <si>
    <t>C4</t>
  </si>
  <si>
    <t>C41</t>
  </si>
  <si>
    <r>
      <t>Use data from</t>
    </r>
    <r>
      <rPr>
        <b/>
        <sz val="11"/>
        <color theme="1"/>
        <rFont val="Aptos Narrow"/>
        <family val="2"/>
        <scheme val="minor"/>
      </rPr>
      <t xml:space="preserve"> A6</t>
    </r>
    <r>
      <rPr>
        <sz val="11"/>
        <color theme="1"/>
        <rFont val="Aptos Narrow"/>
        <family val="2"/>
        <scheme val="minor"/>
      </rPr>
      <t xml:space="preserve"> to fill Asset Master sheets (Master Details/Inventory/Posting information/Time-dependent data/Depreciation Areas)</t>
    </r>
  </si>
  <si>
    <t>C42</t>
  </si>
  <si>
    <r>
      <t xml:space="preserve">Use data from </t>
    </r>
    <r>
      <rPr>
        <b/>
        <sz val="11"/>
        <color theme="1"/>
        <rFont val="Aptos Narrow"/>
        <family val="2"/>
        <scheme val="minor"/>
      </rPr>
      <t>B6</t>
    </r>
    <r>
      <rPr>
        <sz val="11"/>
        <color theme="1"/>
        <rFont val="Aptos Narrow"/>
        <family val="2"/>
        <scheme val="minor"/>
      </rPr>
      <t xml:space="preserve"> to fill Cumulative Values sheet</t>
    </r>
  </si>
  <si>
    <t>C43</t>
  </si>
  <si>
    <r>
      <t>Use data from</t>
    </r>
    <r>
      <rPr>
        <b/>
        <sz val="11"/>
        <color theme="1"/>
        <rFont val="Aptos Narrow"/>
        <family val="2"/>
        <scheme val="minor"/>
      </rPr>
      <t xml:space="preserve"> B7 </t>
    </r>
    <r>
      <rPr>
        <sz val="11"/>
        <color theme="1"/>
        <rFont val="Aptos Narrow"/>
        <family val="2"/>
        <scheme val="minor"/>
      </rPr>
      <t>to fill Transactions (Transfer during FY) sheet (Excluding Depreciation transactions)</t>
    </r>
  </si>
  <si>
    <t>C44</t>
  </si>
  <si>
    <r>
      <t>Use data from</t>
    </r>
    <r>
      <rPr>
        <b/>
        <sz val="11"/>
        <color theme="1"/>
        <rFont val="Aptos Narrow"/>
        <family val="2"/>
        <scheme val="minor"/>
      </rPr>
      <t xml:space="preserve"> B7</t>
    </r>
    <r>
      <rPr>
        <sz val="11"/>
        <color theme="1"/>
        <rFont val="Aptos Narrow"/>
        <family val="2"/>
        <scheme val="minor"/>
      </rPr>
      <t xml:space="preserve"> to fill Posted Values sheet (Excluding Acquisition/Retirement transactions)</t>
    </r>
  </si>
  <si>
    <t>C45</t>
  </si>
  <si>
    <t>C5</t>
  </si>
  <si>
    <t>Project migration template</t>
  </si>
  <si>
    <t>C51</t>
  </si>
  <si>
    <r>
      <t xml:space="preserve">Use data from </t>
    </r>
    <r>
      <rPr>
        <b/>
        <sz val="11"/>
        <color theme="1"/>
        <rFont val="Aptos Narrow"/>
        <family val="2"/>
        <scheme val="minor"/>
      </rPr>
      <t xml:space="preserve">B9 </t>
    </r>
    <r>
      <rPr>
        <sz val="11"/>
        <color theme="1"/>
        <rFont val="Aptos Narrow"/>
        <family val="2"/>
        <scheme val="minor"/>
      </rPr>
      <t>to fill</t>
    </r>
  </si>
  <si>
    <t>C0</t>
  </si>
  <si>
    <t>BP Template</t>
  </si>
  <si>
    <t>C01</t>
  </si>
  <si>
    <t>C02</t>
  </si>
  <si>
    <r>
      <t>Use data from</t>
    </r>
    <r>
      <rPr>
        <b/>
        <sz val="11"/>
        <color theme="1"/>
        <rFont val="Aptos Narrow"/>
        <family val="2"/>
        <scheme val="minor"/>
      </rPr>
      <t xml:space="preserve"> A5</t>
    </r>
    <r>
      <rPr>
        <sz val="11"/>
        <color theme="1"/>
        <rFont val="Aptos Narrow"/>
        <family val="2"/>
        <scheme val="minor"/>
      </rPr>
      <t xml:space="preserve"> to fill BP Vendor</t>
    </r>
  </si>
  <si>
    <r>
      <t>Use data from</t>
    </r>
    <r>
      <rPr>
        <b/>
        <sz val="11"/>
        <color theme="1"/>
        <rFont val="Aptos Narrow"/>
        <family val="2"/>
        <scheme val="minor"/>
      </rPr>
      <t xml:space="preserve"> A4</t>
    </r>
    <r>
      <rPr>
        <sz val="11"/>
        <color theme="1"/>
        <rFont val="Aptos Narrow"/>
        <family val="2"/>
        <scheme val="minor"/>
      </rPr>
      <t xml:space="preserve"> to fill BP Customer</t>
    </r>
  </si>
  <si>
    <t>C6</t>
  </si>
  <si>
    <t>Inventory balance template</t>
  </si>
  <si>
    <t>C61</t>
  </si>
  <si>
    <t>B10</t>
  </si>
  <si>
    <t>B11</t>
  </si>
  <si>
    <t>2025 Inventory Balances per Material</t>
  </si>
  <si>
    <t>2026 Detail transactions per Material</t>
  </si>
  <si>
    <t>B12</t>
  </si>
  <si>
    <t>C62</t>
  </si>
  <si>
    <r>
      <t xml:space="preserve">Use data from </t>
    </r>
    <r>
      <rPr>
        <b/>
        <sz val="11"/>
        <color theme="1"/>
        <rFont val="Aptos Narrow"/>
        <family val="2"/>
        <scheme val="minor"/>
      </rPr>
      <t xml:space="preserve">B10+B11 </t>
    </r>
    <r>
      <rPr>
        <sz val="11"/>
        <color theme="1"/>
        <rFont val="Aptos Narrow"/>
        <family val="2"/>
        <scheme val="minor"/>
      </rPr>
      <t>to fill</t>
    </r>
  </si>
  <si>
    <t>2026 Inventory Balances on 31st Aug 2026 per Material</t>
  </si>
  <si>
    <t>2026 Balances on 31st Aug 2026 per GLAC</t>
  </si>
  <si>
    <t>C63</t>
  </si>
  <si>
    <r>
      <t xml:space="preserve">Compare total amount filled in C62 match with amount in </t>
    </r>
    <r>
      <rPr>
        <b/>
        <sz val="11"/>
        <color theme="1"/>
        <rFont val="Aptos Narrow"/>
        <family val="2"/>
        <scheme val="minor"/>
      </rPr>
      <t>B12</t>
    </r>
  </si>
  <si>
    <r>
      <t xml:space="preserve">Compare total amount of Inventory balance between </t>
    </r>
    <r>
      <rPr>
        <b/>
        <sz val="11"/>
        <color theme="1"/>
        <rFont val="Aptos Narrow"/>
        <family val="2"/>
        <scheme val="minor"/>
      </rPr>
      <t>B1 &amp;B10</t>
    </r>
    <r>
      <rPr>
        <sz val="11"/>
        <color theme="1"/>
        <rFont val="Aptos Narrow"/>
        <family val="2"/>
        <scheme val="minor"/>
      </rPr>
      <t xml:space="preserve"> for 2025, </t>
    </r>
    <r>
      <rPr>
        <b/>
        <sz val="11"/>
        <color theme="1"/>
        <rFont val="Aptos Narrow"/>
        <family val="2"/>
        <scheme val="minor"/>
      </rPr>
      <t>B3 &amp; B12</t>
    </r>
    <r>
      <rPr>
        <sz val="11"/>
        <color theme="1"/>
        <rFont val="Aptos Narrow"/>
        <family val="2"/>
        <scheme val="minor"/>
      </rPr>
      <t xml:space="preserve"> for 2026 to ensure matching</t>
    </r>
  </si>
  <si>
    <t>Combine the amount from C6 into GLAC 9*3 to transfer it to 9*0</t>
  </si>
  <si>
    <r>
      <t xml:space="preserve">Identify Inventory BS GLAC (posted via C6) from </t>
    </r>
    <r>
      <rPr>
        <b/>
        <sz val="11"/>
        <color theme="1"/>
        <rFont val="Aptos Narrow"/>
        <family val="2"/>
        <scheme val="minor"/>
      </rPr>
      <t>B2</t>
    </r>
    <r>
      <rPr>
        <sz val="11"/>
        <color theme="1"/>
        <rFont val="Aptos Narrow"/>
        <family val="2"/>
        <scheme val="minor"/>
      </rPr>
      <t>, remove them</t>
    </r>
  </si>
  <si>
    <r>
      <t>Compare total amount of Asset balance between</t>
    </r>
    <r>
      <rPr>
        <b/>
        <sz val="11"/>
        <color theme="1"/>
        <rFont val="Aptos Narrow"/>
        <family val="2"/>
        <scheme val="minor"/>
      </rPr>
      <t xml:space="preserve"> B1 &amp; B6</t>
    </r>
    <r>
      <rPr>
        <sz val="11"/>
        <color theme="1"/>
        <rFont val="Aptos Narrow"/>
        <family val="2"/>
        <scheme val="minor"/>
      </rPr>
      <t xml:space="preserve"> for 2025,</t>
    </r>
    <r>
      <rPr>
        <b/>
        <sz val="11"/>
        <color theme="1"/>
        <rFont val="Aptos Narrow"/>
        <family val="2"/>
        <scheme val="minor"/>
      </rPr>
      <t xml:space="preserve"> B3 &amp; B8</t>
    </r>
    <r>
      <rPr>
        <sz val="11"/>
        <color theme="1"/>
        <rFont val="Aptos Narrow"/>
        <family val="2"/>
        <scheme val="minor"/>
      </rPr>
      <t xml:space="preserve"> for 2026 to ensure matching</t>
    </r>
  </si>
  <si>
    <t>Compare total amount of AP between B3 &amp; B4 for 2026 to ensure matching</t>
  </si>
  <si>
    <t>Compare total amount of AP between B3 &amp; B5 for 2026 to ensure matching</t>
  </si>
  <si>
    <t>C22</t>
  </si>
  <si>
    <t>C32</t>
  </si>
  <si>
    <t>C46</t>
  </si>
  <si>
    <r>
      <t xml:space="preserve">Compare total amount filled in from C43-&gt;C45 match with amount in </t>
    </r>
    <r>
      <rPr>
        <b/>
        <sz val="11"/>
        <color theme="1"/>
        <rFont val="Aptos Narrow"/>
        <family val="2"/>
        <scheme val="minor"/>
      </rPr>
      <t>B8</t>
    </r>
  </si>
  <si>
    <t>A. Current Activities after receiving Templates</t>
  </si>
  <si>
    <t>Est. Duration/ Entity</t>
  </si>
  <si>
    <t>Est. Duration</t>
  </si>
  <si>
    <t>B. Estimated Tobe Activites after receiving Templates</t>
  </si>
  <si>
    <t>Split GL template to 2 files: 2025 &amp; 2026</t>
  </si>
  <si>
    <t>30 mins</t>
  </si>
  <si>
    <t>Request data owners to add additional Open AR &amp; Open AP (lump sum regardless of Vendor/Customer) at each month end in 2026 (8 months)
-&gt; Append to GL template under Migration Recon AR &amp; AP GLs</t>
  </si>
  <si>
    <t>Maximum 8x2(AP&amp;AP)x2GL(Normal&amp;DP)=28 lines</t>
  </si>
  <si>
    <t>Set Migration Key Date 31-Dec-2025</t>
  </si>
  <si>
    <t>10 mins</t>
  </si>
  <si>
    <t>Request data owners to add additional Open GL (lump sum per GL) at each month end in 2026 (8 months)
-&gt; Append to GL template</t>
  </si>
  <si>
    <t>Maximum 8xNo.of Open BS</t>
  </si>
  <si>
    <t>Unlink Asset GLs</t>
  </si>
  <si>
    <t>Request data owners to add additional Inventory (lump sum regardless of Material) at each month end in 2026 (8 months) based on Inventory Balance template
-&gt; Append to GL template per month under Migration Inventory GL</t>
  </si>
  <si>
    <t>Maximum 8 lines</t>
  </si>
  <si>
    <t>Uncheck Inventory Autoposting GLs</t>
  </si>
  <si>
    <t>Lump sum Inventory Autoposting GL lines of 2025 then remove those lines from GL template
-&gt; Put the sum under Migration Inventory GL instead</t>
  </si>
  <si>
    <t>Load GL Template for 2025 Balances</t>
  </si>
  <si>
    <t>2 hours</t>
  </si>
  <si>
    <t>Create a new template for Asset GL manual postings (lump sum per Asset GLs: Acquisition + Accum.Dep) or append to GL template:
Depreciation &amp; Transactions at each month end of 2026 (7 months: Jan - July)</t>
  </si>
  <si>
    <t>Carryforward to 2026</t>
  </si>
  <si>
    <t>Split GL/Open AR/Open AP/Inventory templates to 9 files: 2025 &amp; 8 months of 2026</t>
  </si>
  <si>
    <t>Set Migration Key Date 31-Aug-2026</t>
  </si>
  <si>
    <t>Reverse Asset GLs/Migration Recon AR &amp; AP GLs/Inventory Autoposting GLs/Open GLs postings from Step 5</t>
  </si>
  <si>
    <t>1 hour</t>
  </si>
  <si>
    <t>Set Transfer Date for Asset 31-Aug-2026</t>
  </si>
  <si>
    <t>Link Asset GLs</t>
  </si>
  <si>
    <t>Reheck Inventory Autoposting GLs</t>
  </si>
  <si>
    <t>Load GL/Open AR/Open AP/Asset/Inventory templates for 2026 data</t>
  </si>
  <si>
    <t>Set Migration Key Date 31-Jan-2026</t>
  </si>
  <si>
    <t>Reverse Asset GLs/Migration Recon AR &amp; AP GLs/Inventory Autoposting GLs/Open GLs postings from Step 10</t>
  </si>
  <si>
    <t>Load GL/Open AR/Open AP/Asset GL/Inventory templates for Jan 2026 ONLY</t>
  </si>
  <si>
    <t>Set Migration Key Date 28-Feb-2026</t>
  </si>
  <si>
    <t>Load GL/Open AR/Open AP/Asset GL/Inventory templates for Feb 2026 ONLY</t>
  </si>
  <si>
    <t>Set Migration Key Date 31-March-2026</t>
  </si>
  <si>
    <t>Load GL/Open AR/Open AP/Asset GL/Inventory templates for March 2026 ONLY</t>
  </si>
  <si>
    <t>Set Migration Key Date 30-April-2026</t>
  </si>
  <si>
    <t>Load GL/Open AR/Open AP/Asset GL/Inventory templates for April 2026 ONLY</t>
  </si>
  <si>
    <t>Set Migration Key Date 31-May-2026</t>
  </si>
  <si>
    <t>Load GL/Open AR/Open AP/Asset GL/Inventory templates for May 2026 ONLY</t>
  </si>
  <si>
    <t>Set Migration Key Date 30-June-2026</t>
  </si>
  <si>
    <t>Load GL/Open AR/Open AP/Asset GL/Inventory templates for June 2026 ONLY</t>
  </si>
  <si>
    <t>Set Migration Key Date 31-July-2026</t>
  </si>
  <si>
    <t>Load GL/Open AR/Open AP/Asset GL/Inventory templates for July 2026 ONLY</t>
  </si>
  <si>
    <t>Recheck Inventory Autoposting GLs</t>
  </si>
  <si>
    <t>Load GL/Open AR/Open AP/Inventory templates for Aug 2026 ONLY + Asset balances template at the end of Aug 2026</t>
  </si>
  <si>
    <t>PC REQUIRED FOR ALL POSTINGS</t>
  </si>
  <si>
    <t>CURRENT</t>
  </si>
  <si>
    <t>Reversal Date
for Red cells</t>
  </si>
  <si>
    <t>Asset GLs</t>
  </si>
  <si>
    <t>Inventory Auto GLs</t>
  </si>
  <si>
    <t>Mig Inventory</t>
  </si>
  <si>
    <t>Inventory Manual GLs</t>
  </si>
  <si>
    <t>AP/AR Recon GLs</t>
  </si>
  <si>
    <t>Mig AP/AR GLs</t>
  </si>
  <si>
    <t>Open-items</t>
  </si>
  <si>
    <t>Non-Open items</t>
  </si>
  <si>
    <t>Expenses</t>
  </si>
  <si>
    <t>Direct
(Bal per GL)</t>
  </si>
  <si>
    <t>Direct
(Bal lump sum)</t>
  </si>
  <si>
    <t>via Asset</t>
  </si>
  <si>
    <t>via Inventory</t>
  </si>
  <si>
    <t>Direct
(Movements)</t>
  </si>
  <si>
    <t>via Open AP/AR
(Details)</t>
  </si>
  <si>
    <t>Direct
(All Details)</t>
  </si>
  <si>
    <t>TOBE</t>
  </si>
  <si>
    <t>Direct
(Delta per GL)*</t>
  </si>
  <si>
    <t>Direct
(Delta lump sum)</t>
  </si>
  <si>
    <t>Direct
(Delta per GL)</t>
  </si>
  <si>
    <t>xx</t>
  </si>
  <si>
    <t>All "xx" columns wont load Delta of Aug but when checking with final detail Aug amount, 2025 bals + 7 months loaded + Aug not load MUST = Final detail Aug amount</t>
  </si>
  <si>
    <t>Asset Class</t>
  </si>
  <si>
    <t>CC</t>
  </si>
  <si>
    <t>PC</t>
  </si>
  <si>
    <t>Acquistion GL</t>
  </si>
  <si>
    <t>Acquistion Amount</t>
  </si>
  <si>
    <t>Accum. Dep GL</t>
  </si>
  <si>
    <t>Dep Amount</t>
  </si>
  <si>
    <t>OE00119</t>
  </si>
  <si>
    <t>100OF01</t>
  </si>
  <si>
    <t>100OF01C00</t>
  </si>
  <si>
    <t>100OF01A00</t>
  </si>
  <si>
    <t>Append GL Template</t>
  </si>
  <si>
    <t>Jan</t>
  </si>
  <si>
    <t>Asset CC</t>
  </si>
  <si>
    <t>3 Asset Class</t>
  </si>
  <si>
    <t>2 GLs / Asset</t>
  </si>
  <si>
    <t>3 Acq GLs + 3 Accum. Dep GLs</t>
  </si>
  <si>
    <t>Feb</t>
  </si>
  <si>
    <t>8 lines for 8 months / GL</t>
  </si>
  <si>
    <t>Mar</t>
  </si>
  <si>
    <t>4 lines / GL</t>
  </si>
  <si>
    <t>Apr</t>
  </si>
  <si>
    <t>lines to append to GL template</t>
  </si>
  <si>
    <t>May</t>
  </si>
  <si>
    <t>Jun</t>
  </si>
  <si>
    <t>Jul</t>
  </si>
  <si>
    <t>Pivot Accum. Dep</t>
  </si>
  <si>
    <t>Aug</t>
  </si>
  <si>
    <t>Accum. Dep GL 1</t>
  </si>
  <si>
    <t>Sum</t>
  </si>
  <si>
    <t>PC2</t>
  </si>
  <si>
    <t>CC2</t>
  </si>
  <si>
    <t>Acquisition GL</t>
  </si>
  <si>
    <t>Accum. Dep GL 2</t>
  </si>
  <si>
    <t>Pivot Acquisition</t>
  </si>
  <si>
    <t>Acq GL 1</t>
  </si>
  <si>
    <t>Acq GL 2</t>
  </si>
  <si>
    <t>Acq GL 3</t>
  </si>
  <si>
    <r>
      <t xml:space="preserve">Reverse </t>
    </r>
    <r>
      <rPr>
        <b/>
        <sz val="11"/>
        <color rgb="FFFF0000"/>
        <rFont val="Aptos Narrow"/>
        <family val="2"/>
        <scheme val="minor"/>
      </rPr>
      <t xml:space="preserve">Asset GL (Step 5) / Open GLs (Step 2) postings in 7 months of 2026 + Asset GL / Open GLs in 2025 </t>
    </r>
    <r>
      <rPr>
        <b/>
        <sz val="11"/>
        <color rgb="FF00B050"/>
        <rFont val="Aptos Narrow"/>
        <family val="2"/>
        <scheme val="minor"/>
      </rPr>
      <t>with revesal posting date 31.08.2026</t>
    </r>
    <r>
      <rPr>
        <sz val="11"/>
        <color rgb="FFFF0000"/>
        <rFont val="Aptos Narrow"/>
        <family val="2"/>
        <scheme val="minor"/>
      </rPr>
      <t xml:space="preserve">
</t>
    </r>
    <r>
      <rPr>
        <b/>
        <sz val="11"/>
        <rFont val="Aptos Narrow"/>
        <family val="2"/>
        <scheme val="minor"/>
      </rPr>
      <t>Migration Recon AR &amp; AP (Step 1) will auto offset with Open AR &amp; AP templates</t>
    </r>
    <r>
      <rPr>
        <b/>
        <sz val="11"/>
        <color theme="1"/>
        <rFont val="Aptos Narrow"/>
        <family val="2"/>
        <scheme val="minor"/>
      </rPr>
      <t xml:space="preserve"> / Migration Inventory (Step 3+4) will auto offset with Inventory template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</si>
</sst>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Aptos Narrow"/>
      <family val="2"/>
      <scheme val="minor"/>
    </font>
    <font>
      <b/>
      <sz val="11"/>
      <color theme="1"/>
      <name val="Aptos Narrow"/>
      <family val="2"/>
      <scheme val="minor"/>
    </font>
    <font>
      <b/>
      <sz val="14"/>
      <color theme="1"/>
      <name val="Aptos Narrow"/>
      <family val="2"/>
      <scheme val="minor"/>
    </font>
    <font>
      <i/>
      <sz val="10"/>
      <color theme="1"/>
      <name val="Aptos Narrow"/>
      <family val="2"/>
      <scheme val="minor"/>
    </font>
    <font>
      <i/>
      <sz val="10"/>
      <color rgb="FFC00000"/>
      <name val="Aptos Narrow"/>
      <family val="2"/>
      <scheme val="minor"/>
    </font>
    <font>
      <sz val="8"/>
      <name val="Aptos Narrow"/>
      <family val="2"/>
      <scheme val="minor"/>
    </font>
    <font>
      <sz val="11"/>
      <color rgb="FFFF0000"/>
      <name val="Aptos Narrow"/>
      <family val="2"/>
      <scheme val="minor"/>
    </font>
    <font>
      <i/>
      <sz val="11"/>
      <color rgb="FF7030A0"/>
      <name val="Aptos Narrow"/>
      <family val="2"/>
      <scheme val="minor"/>
    </font>
    <font>
      <i/>
      <u/>
      <sz val="10"/>
      <color rgb="FFC00000"/>
      <name val="Aptos Narrow"/>
      <family val="2"/>
      <scheme val="minor"/>
    </font>
    <font>
      <sz val="11"/>
      <color rgb="FF0070C0"/>
      <name val="Aptos Narrow"/>
      <family val="2"/>
      <scheme val="minor"/>
    </font>
    <font>
      <b/>
      <i/>
      <sz val="11"/>
      <color theme="5" tint="-0.249977111117893"/>
      <name val="Aptos Narrow"/>
      <family val="2"/>
      <scheme val="minor"/>
    </font>
    <font>
      <b/>
      <sz val="11"/>
      <color theme="5" tint="-0.249977111117893"/>
      <name val="Aptos Narrow"/>
      <family val="2"/>
      <scheme val="minor"/>
    </font>
    <font>
      <sz val="11"/>
      <name val="Aptos Narrow"/>
      <family val="2"/>
      <scheme val="minor"/>
    </font>
    <font>
      <b/>
      <sz val="11"/>
      <color rgb="FFFF0000"/>
      <name val="Aptos Narrow"/>
      <family val="2"/>
      <scheme val="minor"/>
    </font>
    <font>
      <i/>
      <sz val="11"/>
      <color theme="1"/>
      <name val="Aptos Narrow"/>
      <family val="2"/>
      <scheme val="minor"/>
    </font>
    <font>
      <b/>
      <sz val="11"/>
      <color rgb="FF0070C0"/>
      <name val="Aptos Narrow"/>
      <family val="2"/>
      <scheme val="minor"/>
    </font>
    <font>
      <b/>
      <sz val="11"/>
      <color theme="0"/>
      <name val="Aptos Narrow"/>
      <family val="2"/>
      <scheme val="minor"/>
    </font>
    <font>
      <b/>
      <sz val="11"/>
      <name val="Aptos Narrow"/>
      <family val="2"/>
      <scheme val="minor"/>
    </font>
    <font>
      <sz val="11"/>
      <color theme="0"/>
      <name val="Aptos Narrow"/>
      <family val="2"/>
      <scheme val="minor"/>
    </font>
    <font>
      <b/>
      <sz val="11"/>
      <color rgb="FFC00000"/>
      <name val="Aptos Narrow"/>
      <family val="2"/>
      <scheme val="minor"/>
    </font>
    <font>
      <b/>
      <i/>
      <sz val="11"/>
      <color theme="1"/>
      <name val="Aptos Narrow"/>
      <family val="2"/>
      <scheme val="minor"/>
    </font>
    <font>
      <strike/>
      <sz val="11"/>
      <color theme="1"/>
      <name val="Aptos Narrow"/>
      <family val="2"/>
      <scheme val="minor"/>
    </font>
    <font>
      <strike/>
      <sz val="10"/>
      <color theme="1"/>
      <name val="Aptos Narrow"/>
      <family val="2"/>
      <scheme val="minor"/>
    </font>
    <font>
      <sz val="10"/>
      <color theme="1"/>
      <name val="Aptos Narrow"/>
      <family val="2"/>
      <scheme val="minor"/>
    </font>
    <font>
      <b/>
      <sz val="11"/>
      <color rgb="FF00B050"/>
      <name val="Aptos Narrow"/>
      <family val="2"/>
      <scheme val="minor"/>
    </font>
    <font>
      <b/>
      <sz val="11"/>
      <color theme="8" tint="-0.249977111117893"/>
      <name val="Aptos Narrow"/>
      <family val="2"/>
      <scheme val="minor"/>
    </font>
    <font>
      <sz val="11"/>
      <color theme="8" tint="-0.249977111117893"/>
      <name val="Aptos Narrow"/>
      <family val="2"/>
      <scheme val="minor"/>
    </font>
    <font>
      <b/>
      <sz val="11"/>
      <color theme="7" tint="-0.249977111117893"/>
      <name val="Aptos Narrow"/>
      <family val="2"/>
      <scheme val="minor"/>
    </font>
    <font>
      <b/>
      <i/>
      <u/>
      <sz val="11"/>
      <color theme="1"/>
      <name val="Aptos Narrow"/>
      <family val="2"/>
      <scheme val="minor"/>
    </font>
    <font>
      <b/>
      <sz val="10"/>
      <color theme="8" tint="-0.249977111117893"/>
      <name val="Aptos Narrow"/>
      <family val="2"/>
      <scheme val="minor"/>
    </font>
    <font>
      <strike/>
      <sz val="11"/>
      <name val="Aptos Narrow"/>
      <family val="2"/>
      <scheme val="minor"/>
    </font>
    <font>
      <b/>
      <i/>
      <sz val="10"/>
      <color rgb="FFC00000"/>
      <name val="Aptos Narrow"/>
      <family val="2"/>
      <scheme val="minor"/>
    </font>
    <font>
      <b/>
      <sz val="11"/>
      <color rgb="FF7030A0"/>
      <name val="Aptos Narrow"/>
      <family val="2"/>
      <scheme val="minor"/>
    </font>
    <font>
      <b/>
      <u/>
      <sz val="11"/>
      <color theme="1"/>
      <name val="Aptos Narrow"/>
      <family val="2"/>
      <scheme val="minor"/>
    </font>
    <font>
      <b/>
      <u/>
      <sz val="11"/>
      <color rgb="FF7030A0"/>
      <name val="Aptos Narrow"/>
      <family val="2"/>
      <scheme val="minor"/>
    </font>
    <font>
      <b/>
      <u/>
      <sz val="11"/>
      <color rgb="FFFF0000"/>
      <name val="Aptos Narrow"/>
      <family val="2"/>
      <scheme val="minor"/>
    </font>
    <font>
      <i/>
      <sz val="11"/>
      <name val="Aptos Narrow"/>
      <family val="2"/>
      <scheme val="minor"/>
    </font>
    <font>
      <sz val="8"/>
      <name val="Arial"/>
      <family val="2"/>
    </font>
    <font>
      <b/>
      <sz val="9"/>
      <name val="Arial"/>
      <family val="2"/>
    </font>
    <font>
      <b/>
      <sz val="9"/>
      <color rgb="FF0070C0"/>
      <name val="Arial"/>
      <family val="2"/>
    </font>
    <font>
      <b/>
      <sz val="9"/>
      <color theme="1"/>
      <name val="Arial"/>
      <family val="2"/>
    </font>
    <font>
      <sz val="10"/>
      <color theme="1"/>
      <name val="Arial"/>
      <family val="2"/>
    </font>
    <font>
      <b/>
      <sz val="10"/>
      <color theme="1"/>
      <name val="Arial"/>
      <family val="2"/>
    </font>
    <font>
      <b/>
      <sz val="9"/>
      <color rgb="FFFF0000"/>
      <name val="Arial"/>
      <family val="2"/>
    </font>
    <font>
      <b/>
      <sz val="10"/>
      <color theme="0"/>
      <name val="Arial"/>
      <family val="2"/>
    </font>
    <font>
      <sz val="11"/>
      <color rgb="FF000000"/>
      <name val="Aptos Narrow"/>
      <family val="2"/>
      <scheme val="minor"/>
    </font>
    <font>
      <sz val="10"/>
      <color rgb="FFFF0000"/>
      <name val="Arial"/>
      <family val="2"/>
    </font>
    <font>
      <b/>
      <sz val="10"/>
      <color theme="8" tint="0.39997558519241921"/>
      <name val="Arial"/>
      <family val="2"/>
    </font>
    <font>
      <sz val="10"/>
      <name val="Arial"/>
      <family val="2"/>
    </font>
    <font>
      <sz val="8"/>
      <color indexed="81"/>
      <name val="Tahoma"/>
      <family val="2"/>
    </font>
    <font>
      <sz val="11"/>
      <color rgb="FFC00000"/>
      <name val="Aptos Narrow"/>
      <family val="2"/>
      <scheme val="minor"/>
    </font>
    <font>
      <u/>
      <sz val="11"/>
      <color theme="1"/>
      <name val="Aptos Narrow"/>
      <family val="2"/>
      <scheme val="minor"/>
    </font>
    <font>
      <i/>
      <u/>
      <sz val="11"/>
      <color theme="1"/>
      <name val="Aptos Narrow"/>
      <family val="2"/>
      <scheme val="minor"/>
    </font>
    <font>
      <sz val="11"/>
      <color theme="8"/>
      <name val="Aptos Narrow"/>
      <family val="2"/>
      <scheme val="minor"/>
    </font>
    <font>
      <sz val="11"/>
      <color rgb="FF7030A0"/>
      <name val="Aptos Narrow"/>
      <family val="2"/>
      <scheme val="minor"/>
    </font>
    <font>
      <b/>
      <i/>
      <sz val="11"/>
      <color rgb="FF7030A0"/>
      <name val="Aptos Narrow"/>
      <family val="2"/>
      <scheme val="minor"/>
    </font>
    <font>
      <b/>
      <u/>
      <sz val="11"/>
      <color theme="0"/>
      <name val="Aptos Narrow"/>
      <family val="2"/>
      <scheme val="minor"/>
    </font>
    <font>
      <b/>
      <u/>
      <sz val="11"/>
      <name val="Aptos Narrow"/>
      <family val="2"/>
      <scheme val="minor"/>
    </font>
    <font>
      <u/>
      <sz val="11"/>
      <name val="Aptos Narrow"/>
      <family val="2"/>
      <scheme val="minor"/>
    </font>
    <font>
      <b/>
      <sz val="11"/>
      <color theme="8"/>
      <name val="Aptos Narrow"/>
      <family val="2"/>
      <scheme val="minor"/>
    </font>
    <font>
      <b/>
      <sz val="11"/>
      <color theme="6"/>
      <name val="Aptos Narrow"/>
      <family val="2"/>
      <scheme val="minor"/>
    </font>
    <font>
      <sz val="11"/>
      <color theme="5" tint="-0.249977111117893"/>
      <name val="Aptos Narrow"/>
      <family val="2"/>
      <scheme val="minor"/>
    </font>
    <font>
      <b/>
      <sz val="11"/>
      <color theme="7" tint="-0.499984740745262"/>
      <name val="Aptos Narrow"/>
      <family val="2"/>
      <scheme val="minor"/>
    </font>
    <font>
      <b/>
      <u/>
      <sz val="11"/>
      <color theme="7" tint="-0.499984740745262"/>
      <name val="Aptos Narrow"/>
      <family val="2"/>
      <scheme val="minor"/>
    </font>
    <font>
      <sz val="11"/>
      <color rgb="FF00B050"/>
      <name val="Aptos Narrow"/>
      <family val="2"/>
      <scheme val="minor"/>
    </font>
  </fonts>
  <fills count="33">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rgb="FF002060"/>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249977111117893"/>
        <bgColor indexed="64"/>
      </patternFill>
    </fill>
    <fill>
      <patternFill patternType="solid">
        <fgColor indexed="44"/>
        <bgColor indexed="64"/>
      </patternFill>
    </fill>
    <fill>
      <patternFill patternType="solid">
        <fgColor indexed="43"/>
        <bgColor indexed="64"/>
      </patternFill>
    </fill>
    <fill>
      <patternFill patternType="solid">
        <fgColor theme="4" tint="0.79998168889431442"/>
        <bgColor indexed="64"/>
      </patternFill>
    </fill>
    <fill>
      <patternFill patternType="solid">
        <fgColor rgb="FF99FF99"/>
        <bgColor indexed="64"/>
      </patternFill>
    </fill>
    <fill>
      <patternFill patternType="solid">
        <fgColor theme="9" tint="0.59999389629810485"/>
        <bgColor indexed="64"/>
      </patternFill>
    </fill>
    <fill>
      <patternFill patternType="solid">
        <fgColor rgb="FFEAEAEA"/>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0" tint="-0.14999847407452621"/>
        <bgColor indexed="64"/>
      </patternFill>
    </fill>
    <fill>
      <patternFill patternType="solid">
        <fgColor rgb="FF7030A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4" tint="0.59999389629810485"/>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37" fillId="0" borderId="0"/>
    <xf numFmtId="0" fontId="37" fillId="0" borderId="0"/>
    <xf numFmtId="0" fontId="41" fillId="0" borderId="0"/>
  </cellStyleXfs>
  <cellXfs count="643">
    <xf numFmtId="0" fontId="0" fillId="0" borderId="0" xfId="0"/>
    <xf numFmtId="0" fontId="0" fillId="0" borderId="0" xfId="0" applyAlignment="1">
      <alignment vertical="center"/>
    </xf>
    <xf numFmtId="0" fontId="0" fillId="0" borderId="0" xfId="0" applyAlignment="1">
      <alignment horizontal="center" vertical="center"/>
    </xf>
    <xf numFmtId="0" fontId="0" fillId="2" borderId="1" xfId="0" applyFill="1" applyBorder="1" applyAlignment="1">
      <alignment vertical="center"/>
    </xf>
    <xf numFmtId="14" fontId="0" fillId="2" borderId="1" xfId="0" quotePrefix="1" applyNumberFormat="1" applyFill="1" applyBorder="1" applyAlignment="1">
      <alignment horizontal="center" vertical="center"/>
    </xf>
    <xf numFmtId="0" fontId="0" fillId="2" borderId="1" xfId="0" applyFill="1" applyBorder="1" applyAlignment="1">
      <alignment horizontal="center" vertical="center"/>
    </xf>
    <xf numFmtId="0" fontId="0" fillId="2" borderId="1" xfId="0" quotePrefix="1" applyFill="1" applyBorder="1" applyAlignment="1">
      <alignment horizontal="center" vertical="center"/>
    </xf>
    <xf numFmtId="0" fontId="1" fillId="3" borderId="1" xfId="0" applyFont="1" applyFill="1" applyBorder="1" applyAlignment="1">
      <alignment horizontal="center" vertical="center"/>
    </xf>
    <xf numFmtId="0" fontId="0" fillId="0" borderId="0" xfId="0" quotePrefix="1" applyAlignment="1">
      <alignment horizontal="left" vertical="center"/>
    </xf>
    <xf numFmtId="0" fontId="0" fillId="5" borderId="1" xfId="0" applyFill="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0" fillId="0" borderId="5" xfId="0" applyBorder="1" applyAlignment="1">
      <alignment horizontal="center" vertical="center"/>
    </xf>
    <xf numFmtId="0" fontId="4" fillId="0" borderId="6" xfId="0" applyFont="1" applyBorder="1" applyAlignment="1">
      <alignment vertical="center"/>
    </xf>
    <xf numFmtId="0" fontId="4" fillId="0" borderId="6" xfId="0" applyFont="1" applyBorder="1" applyAlignment="1">
      <alignment horizontal="left" vertical="center"/>
    </xf>
    <xf numFmtId="0" fontId="0" fillId="0" borderId="6" xfId="0" applyBorder="1" applyAlignment="1">
      <alignment horizontal="center"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horizontal="center" vertical="center"/>
    </xf>
    <xf numFmtId="0" fontId="0" fillId="0" borderId="9" xfId="0" applyBorder="1" applyAlignment="1">
      <alignment vertical="center"/>
    </xf>
    <xf numFmtId="0" fontId="4" fillId="0" borderId="0" xfId="0" applyFont="1" applyAlignment="1">
      <alignment horizontal="left" vertical="center"/>
    </xf>
    <xf numFmtId="0" fontId="0" fillId="0" borderId="10" xfId="0" applyBorder="1" applyAlignment="1">
      <alignment horizontal="center" vertical="center"/>
    </xf>
    <xf numFmtId="0" fontId="4" fillId="0" borderId="11" xfId="0" applyFont="1" applyBorder="1" applyAlignment="1">
      <alignment vertical="center"/>
    </xf>
    <xf numFmtId="0" fontId="0" fillId="0" borderId="11" xfId="0" applyBorder="1" applyAlignment="1">
      <alignment horizontal="center" vertical="center"/>
    </xf>
    <xf numFmtId="0" fontId="4" fillId="2" borderId="0" xfId="0" applyFont="1" applyFill="1" applyAlignment="1">
      <alignment vertical="center"/>
    </xf>
    <xf numFmtId="0" fontId="4" fillId="4" borderId="11" xfId="0" applyFont="1" applyFill="1" applyBorder="1" applyAlignment="1">
      <alignment horizontal="left" vertical="center"/>
    </xf>
    <xf numFmtId="0" fontId="0" fillId="4" borderId="11" xfId="0" applyFill="1" applyBorder="1" applyAlignment="1">
      <alignment horizontal="center" vertical="center"/>
    </xf>
    <xf numFmtId="0" fontId="0" fillId="2" borderId="0" xfId="0" applyFill="1" applyAlignment="1">
      <alignment horizontal="center" vertical="center"/>
    </xf>
    <xf numFmtId="0" fontId="0" fillId="4" borderId="11" xfId="0" applyFill="1" applyBorder="1" applyAlignment="1">
      <alignment vertical="center"/>
    </xf>
    <xf numFmtId="0" fontId="0" fillId="4" borderId="12" xfId="0" applyFill="1" applyBorder="1" applyAlignment="1">
      <alignment vertical="center"/>
    </xf>
    <xf numFmtId="0" fontId="0" fillId="2" borderId="0" xfId="0" applyFill="1" applyAlignment="1">
      <alignment vertical="center"/>
    </xf>
    <xf numFmtId="0" fontId="0" fillId="2" borderId="9" xfId="0" applyFill="1" applyBorder="1" applyAlignment="1">
      <alignment vertical="center"/>
    </xf>
    <xf numFmtId="0" fontId="0" fillId="6" borderId="1" xfId="0" applyFill="1" applyBorder="1" applyAlignment="1">
      <alignment vertical="center"/>
    </xf>
    <xf numFmtId="0" fontId="0" fillId="0" borderId="0" xfId="0" quotePrefix="1"/>
    <xf numFmtId="0" fontId="6" fillId="0" borderId="0" xfId="0" applyFont="1"/>
    <xf numFmtId="0" fontId="4" fillId="4" borderId="0" xfId="0" applyFont="1" applyFill="1" applyAlignment="1">
      <alignment horizontal="left" vertical="center"/>
    </xf>
    <xf numFmtId="0" fontId="0" fillId="4" borderId="0" xfId="0" applyFill="1" applyAlignment="1">
      <alignment horizontal="center" vertical="center"/>
    </xf>
    <xf numFmtId="0" fontId="0" fillId="4" borderId="0" xfId="0" applyFill="1" applyAlignment="1">
      <alignment vertical="center"/>
    </xf>
    <xf numFmtId="0" fontId="0" fillId="4" borderId="9" xfId="0" applyFill="1" applyBorder="1" applyAlignment="1">
      <alignment vertical="center"/>
    </xf>
    <xf numFmtId="0" fontId="7" fillId="0" borderId="0" xfId="0" applyFont="1" applyAlignment="1">
      <alignment vertical="center"/>
    </xf>
    <xf numFmtId="0" fontId="0" fillId="0" borderId="1" xfId="0" applyBorder="1" applyAlignment="1">
      <alignment vertical="center"/>
    </xf>
    <xf numFmtId="14" fontId="0" fillId="0" borderId="1" xfId="0" quotePrefix="1" applyNumberFormat="1"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4" fillId="0" borderId="5" xfId="0" applyFont="1" applyBorder="1" applyAlignment="1">
      <alignment vertical="center"/>
    </xf>
    <xf numFmtId="0" fontId="4" fillId="0" borderId="8" xfId="0" applyFont="1" applyBorder="1" applyAlignment="1">
      <alignment vertical="center"/>
    </xf>
    <xf numFmtId="0" fontId="4" fillId="0" borderId="10" xfId="0" applyFont="1" applyBorder="1" applyAlignment="1">
      <alignment vertical="center"/>
    </xf>
    <xf numFmtId="0" fontId="0" fillId="0" borderId="8" xfId="0" applyBorder="1" applyAlignment="1">
      <alignment vertical="center"/>
    </xf>
    <xf numFmtId="0" fontId="3" fillId="0" borderId="14" xfId="0" applyFont="1" applyBorder="1" applyAlignment="1">
      <alignment vertical="center" wrapText="1"/>
    </xf>
    <xf numFmtId="0" fontId="0" fillId="0" borderId="13" xfId="0" applyBorder="1" applyAlignment="1">
      <alignment vertical="center"/>
    </xf>
    <xf numFmtId="0" fontId="3" fillId="0" borderId="15" xfId="0" applyFont="1" applyBorder="1" applyAlignment="1">
      <alignment vertical="center"/>
    </xf>
    <xf numFmtId="0" fontId="0" fillId="0" borderId="23" xfId="0" applyBorder="1" applyAlignment="1">
      <alignment vertical="center" wrapText="1"/>
    </xf>
    <xf numFmtId="0" fontId="3" fillId="0" borderId="29" xfId="0" applyFont="1" applyBorder="1" applyAlignment="1">
      <alignment vertical="center"/>
    </xf>
    <xf numFmtId="0" fontId="0" fillId="0" borderId="32" xfId="0" applyBorder="1" applyAlignment="1">
      <alignment vertical="center"/>
    </xf>
    <xf numFmtId="0" fontId="0" fillId="0" borderId="35" xfId="0" applyBorder="1" applyAlignment="1">
      <alignment vertical="center"/>
    </xf>
    <xf numFmtId="0" fontId="1" fillId="7" borderId="13" xfId="0" applyFont="1" applyFill="1" applyBorder="1" applyAlignment="1">
      <alignment horizontal="center" vertical="center"/>
    </xf>
    <xf numFmtId="0" fontId="1" fillId="8" borderId="13" xfId="0" applyFont="1" applyFill="1" applyBorder="1" applyAlignment="1">
      <alignment horizontal="center" vertical="center"/>
    </xf>
    <xf numFmtId="14" fontId="0" fillId="0" borderId="32" xfId="0" quotePrefix="1" applyNumberFormat="1" applyBorder="1" applyAlignment="1">
      <alignment horizontal="center" vertical="center"/>
    </xf>
    <xf numFmtId="0" fontId="0" fillId="0" borderId="41" xfId="0" applyBorder="1" applyAlignment="1">
      <alignment horizontal="center" vertical="center"/>
    </xf>
    <xf numFmtId="0" fontId="0" fillId="0" borderId="35" xfId="0" applyBorder="1" applyAlignment="1">
      <alignment horizontal="center" vertical="center"/>
    </xf>
    <xf numFmtId="0" fontId="0" fillId="0" borderId="43" xfId="0" quotePrefix="1" applyBorder="1" applyAlignment="1">
      <alignment horizontal="center" vertical="center"/>
    </xf>
    <xf numFmtId="0" fontId="1" fillId="0" borderId="0" xfId="0" applyFont="1" applyAlignment="1">
      <alignment vertical="center"/>
    </xf>
    <xf numFmtId="0" fontId="9" fillId="0" borderId="0" xfId="0" applyFont="1" applyAlignment="1">
      <alignment horizontal="center" vertical="center"/>
    </xf>
    <xf numFmtId="0" fontId="0" fillId="0" borderId="14" xfId="0" applyBorder="1" applyAlignment="1">
      <alignment vertical="center"/>
    </xf>
    <xf numFmtId="0" fontId="0" fillId="5" borderId="35" xfId="0" applyFill="1" applyBorder="1" applyAlignment="1">
      <alignment horizontal="center" vertical="center"/>
    </xf>
    <xf numFmtId="0" fontId="0" fillId="0" borderId="32" xfId="0" quotePrefix="1"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vertical="center"/>
    </xf>
    <xf numFmtId="0" fontId="0" fillId="0" borderId="36" xfId="0" applyBorder="1" applyAlignment="1">
      <alignment vertical="center"/>
    </xf>
    <xf numFmtId="0" fontId="0" fillId="0" borderId="33" xfId="0" applyBorder="1" applyAlignment="1">
      <alignment vertical="center"/>
    </xf>
    <xf numFmtId="0" fontId="0" fillId="5" borderId="32" xfId="0" applyFill="1" applyBorder="1" applyAlignment="1">
      <alignment horizontal="center" vertical="center"/>
    </xf>
    <xf numFmtId="0" fontId="0" fillId="0" borderId="46" xfId="0" applyBorder="1" applyAlignment="1">
      <alignment horizontal="center" vertical="center"/>
    </xf>
    <xf numFmtId="0" fontId="0" fillId="0" borderId="24" xfId="0" applyBorder="1" applyAlignment="1">
      <alignment vertical="center" wrapText="1"/>
    </xf>
    <xf numFmtId="0" fontId="10" fillId="0" borderId="0" xfId="0" applyFont="1" applyAlignment="1">
      <alignment vertical="center"/>
    </xf>
    <xf numFmtId="14" fontId="11" fillId="6" borderId="32" xfId="0" quotePrefix="1" applyNumberFormat="1" applyFont="1" applyFill="1" applyBorder="1" applyAlignment="1">
      <alignment horizontal="center" vertical="center"/>
    </xf>
    <xf numFmtId="0" fontId="0" fillId="0" borderId="20" xfId="0" applyBorder="1" applyAlignment="1">
      <alignment horizontal="center" vertical="center"/>
    </xf>
    <xf numFmtId="0" fontId="16" fillId="11" borderId="1" xfId="0" applyFont="1" applyFill="1" applyBorder="1" applyAlignment="1">
      <alignment horizontal="center" vertical="center"/>
    </xf>
    <xf numFmtId="0" fontId="15" fillId="0" borderId="0" xfId="0" applyFont="1" applyAlignment="1">
      <alignment horizontal="center" vertical="center"/>
    </xf>
    <xf numFmtId="0" fontId="14" fillId="0" borderId="0" xfId="0" applyFont="1" applyAlignment="1">
      <alignment vertical="center"/>
    </xf>
    <xf numFmtId="0" fontId="16" fillId="11" borderId="1" xfId="0" applyFont="1" applyFill="1" applyBorder="1" applyAlignment="1">
      <alignment vertical="center"/>
    </xf>
    <xf numFmtId="0" fontId="0" fillId="7" borderId="1" xfId="0" applyFill="1" applyBorder="1" applyAlignment="1">
      <alignment horizontal="center" vertical="center"/>
    </xf>
    <xf numFmtId="0" fontId="0" fillId="7" borderId="1" xfId="0" applyFill="1" applyBorder="1" applyAlignment="1">
      <alignment vertical="center"/>
    </xf>
    <xf numFmtId="0" fontId="0" fillId="7" borderId="0" xfId="0" applyFill="1" applyAlignment="1">
      <alignment vertical="center"/>
    </xf>
    <xf numFmtId="0" fontId="0" fillId="9" borderId="0" xfId="0" applyFill="1" applyAlignment="1">
      <alignment vertical="center"/>
    </xf>
    <xf numFmtId="0" fontId="0" fillId="0" borderId="5" xfId="0" applyBorder="1" applyAlignment="1">
      <alignment vertical="center"/>
    </xf>
    <xf numFmtId="0" fontId="6" fillId="0" borderId="7" xfId="0" applyFont="1" applyBorder="1" applyAlignment="1">
      <alignment vertical="center"/>
    </xf>
    <xf numFmtId="0" fontId="6" fillId="0" borderId="6" xfId="0" applyFont="1" applyBorder="1" applyAlignment="1">
      <alignment vertical="center"/>
    </xf>
    <xf numFmtId="0" fontId="0" fillId="6" borderId="1" xfId="0" applyFill="1" applyBorder="1" applyAlignment="1">
      <alignment horizontal="center" vertical="center"/>
    </xf>
    <xf numFmtId="0" fontId="6" fillId="0" borderId="9" xfId="0" applyFont="1" applyBorder="1" applyAlignment="1">
      <alignment vertical="center"/>
    </xf>
    <xf numFmtId="0" fontId="6" fillId="0" borderId="0" xfId="0" applyFont="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52" xfId="0" applyBorder="1" applyAlignment="1">
      <alignment vertical="center"/>
    </xf>
    <xf numFmtId="0" fontId="0" fillId="0" borderId="53" xfId="0" applyBorder="1" applyAlignment="1">
      <alignment vertical="center"/>
    </xf>
    <xf numFmtId="0" fontId="0" fillId="0" borderId="54" xfId="0" applyBorder="1" applyAlignment="1">
      <alignment vertical="center"/>
    </xf>
    <xf numFmtId="0" fontId="6" fillId="0" borderId="11" xfId="0" applyFont="1" applyBorder="1" applyAlignment="1">
      <alignment vertical="center"/>
    </xf>
    <xf numFmtId="0" fontId="15" fillId="10" borderId="1" xfId="0" applyFont="1" applyFill="1" applyBorder="1" applyAlignment="1">
      <alignment horizontal="center" vertical="center"/>
    </xf>
    <xf numFmtId="0" fontId="0" fillId="10" borderId="1" xfId="0" applyFill="1" applyBorder="1" applyAlignment="1">
      <alignment vertical="center"/>
    </xf>
    <xf numFmtId="0" fontId="1" fillId="0" borderId="16" xfId="0" applyFont="1" applyBorder="1" applyAlignment="1">
      <alignment vertical="center"/>
    </xf>
    <xf numFmtId="0" fontId="0" fillId="0" borderId="55" xfId="0" applyBorder="1" applyAlignment="1">
      <alignment vertical="center"/>
    </xf>
    <xf numFmtId="0" fontId="0" fillId="0" borderId="17" xfId="0" applyBorder="1" applyAlignment="1">
      <alignment vertical="center"/>
    </xf>
    <xf numFmtId="0" fontId="0" fillId="0" borderId="21" xfId="0" applyBorder="1" applyAlignment="1">
      <alignment vertical="center"/>
    </xf>
    <xf numFmtId="0" fontId="0" fillId="7" borderId="21" xfId="0" applyFill="1" applyBorder="1" applyAlignment="1">
      <alignment vertical="center"/>
    </xf>
    <xf numFmtId="0" fontId="0" fillId="9" borderId="21" xfId="0" applyFill="1" applyBorder="1" applyAlignment="1">
      <alignment vertical="center"/>
    </xf>
    <xf numFmtId="0" fontId="0" fillId="0" borderId="0" xfId="0" applyAlignment="1">
      <alignment horizontal="left" vertical="center"/>
    </xf>
    <xf numFmtId="0" fontId="0" fillId="0" borderId="20"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0" fillId="0" borderId="56" xfId="0" applyBorder="1" applyAlignment="1">
      <alignment vertical="center"/>
    </xf>
    <xf numFmtId="0" fontId="1" fillId="0" borderId="18" xfId="0" applyFont="1" applyBorder="1" applyAlignment="1">
      <alignment vertical="center"/>
    </xf>
    <xf numFmtId="0" fontId="18" fillId="11" borderId="0" xfId="0" applyFont="1" applyFill="1" applyAlignment="1">
      <alignment vertical="center"/>
    </xf>
    <xf numFmtId="0" fontId="16" fillId="11" borderId="0" xfId="0" applyFont="1" applyFill="1" applyAlignment="1">
      <alignment vertical="center"/>
    </xf>
    <xf numFmtId="0" fontId="16" fillId="11" borderId="0" xfId="0" applyFont="1" applyFill="1" applyAlignment="1">
      <alignment horizontal="center" vertical="center"/>
    </xf>
    <xf numFmtId="0" fontId="0" fillId="2" borderId="3" xfId="0" applyFill="1" applyBorder="1" applyAlignment="1">
      <alignment vertical="center"/>
    </xf>
    <xf numFmtId="0" fontId="0" fillId="2" borderId="57" xfId="0" applyFill="1" applyBorder="1" applyAlignment="1">
      <alignment vertical="center"/>
    </xf>
    <xf numFmtId="0" fontId="0" fillId="2" borderId="58" xfId="0" applyFill="1" applyBorder="1" applyAlignment="1">
      <alignment vertical="center"/>
    </xf>
    <xf numFmtId="0" fontId="15" fillId="2" borderId="59" xfId="0" applyFont="1" applyFill="1" applyBorder="1" applyAlignment="1">
      <alignment vertical="center"/>
    </xf>
    <xf numFmtId="0" fontId="0" fillId="2" borderId="50" xfId="0" applyFill="1" applyBorder="1" applyAlignment="1">
      <alignment vertical="center"/>
    </xf>
    <xf numFmtId="0" fontId="15" fillId="2" borderId="34" xfId="0" applyFont="1"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1" fillId="5" borderId="9" xfId="0" applyFont="1" applyFill="1" applyBorder="1" applyAlignment="1">
      <alignment vertical="center"/>
    </xf>
    <xf numFmtId="0" fontId="0" fillId="5" borderId="10" xfId="0" applyFill="1" applyBorder="1" applyAlignment="1">
      <alignment vertical="center"/>
    </xf>
    <xf numFmtId="0" fontId="0" fillId="5" borderId="11" xfId="0" applyFill="1" applyBorder="1" applyAlignment="1">
      <alignment vertical="center"/>
    </xf>
    <xf numFmtId="0" fontId="1" fillId="5" borderId="12" xfId="0" applyFont="1" applyFill="1" applyBorder="1" applyAlignment="1">
      <alignment vertical="center"/>
    </xf>
    <xf numFmtId="0" fontId="15" fillId="2" borderId="58" xfId="0" applyFont="1" applyFill="1" applyBorder="1" applyAlignment="1">
      <alignment horizontal="left" vertical="center"/>
    </xf>
    <xf numFmtId="0" fontId="0" fillId="2" borderId="10" xfId="0" applyFill="1" applyBorder="1" applyAlignment="1">
      <alignment vertical="center"/>
    </xf>
    <xf numFmtId="0" fontId="15" fillId="2" borderId="11" xfId="0" applyFont="1" applyFill="1" applyBorder="1" applyAlignment="1">
      <alignment horizontal="left" vertical="center"/>
    </xf>
    <xf numFmtId="0" fontId="0" fillId="2" borderId="11" xfId="0" applyFill="1" applyBorder="1" applyAlignment="1">
      <alignment vertical="center"/>
    </xf>
    <xf numFmtId="0" fontId="15" fillId="2" borderId="12" xfId="0" applyFont="1" applyFill="1" applyBorder="1" applyAlignment="1">
      <alignment vertical="center"/>
    </xf>
    <xf numFmtId="0" fontId="0" fillId="6" borderId="3" xfId="0" applyFill="1" applyBorder="1" applyAlignment="1">
      <alignment vertical="center"/>
    </xf>
    <xf numFmtId="0" fontId="6" fillId="2" borderId="3" xfId="0" applyFont="1" applyFill="1" applyBorder="1" applyAlignment="1">
      <alignment vertical="center"/>
    </xf>
    <xf numFmtId="0" fontId="12" fillId="7" borderId="3" xfId="0" applyFont="1" applyFill="1" applyBorder="1" applyAlignment="1">
      <alignment vertical="center"/>
    </xf>
    <xf numFmtId="0" fontId="0" fillId="7" borderId="3" xfId="0" applyFill="1" applyBorder="1" applyAlignment="1">
      <alignment vertical="center"/>
    </xf>
    <xf numFmtId="0" fontId="6" fillId="6" borderId="3" xfId="0" applyFont="1" applyFill="1" applyBorder="1" applyAlignment="1">
      <alignment vertical="center"/>
    </xf>
    <xf numFmtId="0" fontId="0" fillId="9" borderId="58" xfId="0" applyFill="1" applyBorder="1" applyAlignment="1">
      <alignment vertical="center"/>
    </xf>
    <xf numFmtId="0" fontId="0" fillId="2" borderId="8" xfId="0" applyFill="1" applyBorder="1" applyAlignment="1">
      <alignment vertical="center"/>
    </xf>
    <xf numFmtId="0" fontId="15" fillId="2" borderId="9" xfId="0" applyFont="1" applyFill="1" applyBorder="1" applyAlignment="1">
      <alignment vertical="center"/>
    </xf>
    <xf numFmtId="0" fontId="0" fillId="6" borderId="50" xfId="0" applyFill="1" applyBorder="1" applyAlignment="1">
      <alignment vertical="center"/>
    </xf>
    <xf numFmtId="0" fontId="15" fillId="6" borderId="34" xfId="0" applyFont="1" applyFill="1" applyBorder="1" applyAlignment="1">
      <alignment vertical="center"/>
    </xf>
    <xf numFmtId="0" fontId="0" fillId="6" borderId="10" xfId="0" applyFill="1" applyBorder="1" applyAlignment="1">
      <alignment vertical="center"/>
    </xf>
    <xf numFmtId="0" fontId="0" fillId="6" borderId="11" xfId="0" applyFill="1" applyBorder="1" applyAlignment="1">
      <alignment vertical="center"/>
    </xf>
    <xf numFmtId="0" fontId="15" fillId="6" borderId="12" xfId="0" applyFont="1" applyFill="1" applyBorder="1" applyAlignment="1">
      <alignment vertical="center"/>
    </xf>
    <xf numFmtId="0" fontId="0" fillId="5" borderId="5" xfId="0" applyFill="1" applyBorder="1" applyAlignment="1">
      <alignment vertical="center"/>
    </xf>
    <xf numFmtId="0" fontId="0" fillId="5" borderId="6" xfId="0" applyFill="1" applyBorder="1" applyAlignment="1">
      <alignment vertical="center"/>
    </xf>
    <xf numFmtId="0" fontId="0" fillId="5" borderId="7" xfId="0" applyFill="1" applyBorder="1" applyAlignment="1">
      <alignment vertical="center"/>
    </xf>
    <xf numFmtId="0" fontId="0" fillId="5" borderId="9" xfId="0" applyFill="1" applyBorder="1" applyAlignment="1">
      <alignment vertical="center"/>
    </xf>
    <xf numFmtId="0" fontId="0" fillId="5" borderId="12" xfId="0" applyFill="1" applyBorder="1" applyAlignment="1">
      <alignment vertical="center"/>
    </xf>
    <xf numFmtId="0" fontId="6" fillId="2" borderId="58" xfId="0" applyFont="1" applyFill="1" applyBorder="1" applyAlignment="1">
      <alignment vertical="center"/>
    </xf>
    <xf numFmtId="0" fontId="0" fillId="7" borderId="50" xfId="0" applyFill="1" applyBorder="1" applyAlignment="1">
      <alignment vertical="center"/>
    </xf>
    <xf numFmtId="0" fontId="15" fillId="7" borderId="34" xfId="0" applyFont="1" applyFill="1" applyBorder="1" applyAlignment="1">
      <alignment vertical="center"/>
    </xf>
    <xf numFmtId="0" fontId="0" fillId="7" borderId="10" xfId="0" applyFill="1" applyBorder="1" applyAlignment="1">
      <alignment vertical="center"/>
    </xf>
    <xf numFmtId="0" fontId="12" fillId="7" borderId="11" xfId="0" applyFont="1" applyFill="1" applyBorder="1" applyAlignment="1">
      <alignment vertical="center"/>
    </xf>
    <xf numFmtId="0" fontId="0" fillId="7" borderId="11" xfId="0" applyFill="1" applyBorder="1" applyAlignment="1">
      <alignment vertical="center"/>
    </xf>
    <xf numFmtId="0" fontId="15" fillId="7" borderId="12" xfId="0" applyFont="1" applyFill="1" applyBorder="1" applyAlignment="1">
      <alignment vertical="center"/>
    </xf>
    <xf numFmtId="0" fontId="6" fillId="2" borderId="11" xfId="0" applyFont="1" applyFill="1" applyBorder="1" applyAlignment="1">
      <alignment vertical="center"/>
    </xf>
    <xf numFmtId="0" fontId="0" fillId="2" borderId="5" xfId="0" applyFill="1" applyBorder="1" applyAlignment="1">
      <alignment vertical="center"/>
    </xf>
    <xf numFmtId="0" fontId="0" fillId="2" borderId="6" xfId="0" applyFill="1" applyBorder="1" applyAlignment="1">
      <alignment vertical="center"/>
    </xf>
    <xf numFmtId="0" fontId="15" fillId="2" borderId="7" xfId="0" applyFont="1" applyFill="1" applyBorder="1" applyAlignment="1">
      <alignment vertical="center"/>
    </xf>
    <xf numFmtId="0" fontId="6" fillId="6" borderId="11" xfId="0" applyFont="1" applyFill="1" applyBorder="1" applyAlignment="1">
      <alignment vertical="center"/>
    </xf>
    <xf numFmtId="0" fontId="0" fillId="7" borderId="57" xfId="0" applyFill="1" applyBorder="1" applyAlignment="1">
      <alignment vertical="center"/>
    </xf>
    <xf numFmtId="0" fontId="0" fillId="7" borderId="58" xfId="0" applyFill="1" applyBorder="1" applyAlignment="1">
      <alignment vertical="center"/>
    </xf>
    <xf numFmtId="0" fontId="15" fillId="7" borderId="59" xfId="0" applyFont="1" applyFill="1" applyBorder="1" applyAlignment="1">
      <alignment vertical="center"/>
    </xf>
    <xf numFmtId="0" fontId="17" fillId="0" borderId="0" xfId="0" applyFont="1" applyAlignment="1">
      <alignment vertical="center"/>
    </xf>
    <xf numFmtId="0" fontId="1" fillId="0" borderId="0" xfId="0" applyFont="1" applyAlignment="1">
      <alignment horizontal="center" vertical="center"/>
    </xf>
    <xf numFmtId="0" fontId="0" fillId="4" borderId="10" xfId="0" applyFill="1" applyBorder="1" applyAlignment="1">
      <alignment vertical="center"/>
    </xf>
    <xf numFmtId="0" fontId="21" fillId="0" borderId="0" xfId="0" applyFont="1" applyAlignment="1">
      <alignment vertical="center"/>
    </xf>
    <xf numFmtId="0" fontId="0" fillId="4" borderId="11" xfId="0" applyFill="1" applyBorder="1" applyAlignment="1">
      <alignment vertical="center" wrapText="1"/>
    </xf>
    <xf numFmtId="0" fontId="21" fillId="0" borderId="11" xfId="0" applyFont="1" applyBorder="1" applyAlignment="1">
      <alignment vertical="center"/>
    </xf>
    <xf numFmtId="0" fontId="0" fillId="9" borderId="8" xfId="0" applyFill="1" applyBorder="1" applyAlignment="1">
      <alignment vertical="center"/>
    </xf>
    <xf numFmtId="0" fontId="0" fillId="9" borderId="6" xfId="0" applyFill="1" applyBorder="1" applyAlignment="1">
      <alignment vertical="center"/>
    </xf>
    <xf numFmtId="0" fontId="0" fillId="9" borderId="5" xfId="0" applyFill="1" applyBorder="1" applyAlignment="1">
      <alignment vertical="center"/>
    </xf>
    <xf numFmtId="0" fontId="22" fillId="0" borderId="0" xfId="0" applyFont="1" applyAlignment="1">
      <alignment vertical="center"/>
    </xf>
    <xf numFmtId="0" fontId="23" fillId="9" borderId="0" xfId="0" applyFont="1" applyFill="1" applyAlignment="1">
      <alignment vertical="center"/>
    </xf>
    <xf numFmtId="0" fontId="0" fillId="9" borderId="10" xfId="0" applyFill="1" applyBorder="1" applyAlignment="1">
      <alignment vertical="center"/>
    </xf>
    <xf numFmtId="0" fontId="0" fillId="9" borderId="11" xfId="0" applyFill="1" applyBorder="1" applyAlignment="1">
      <alignment vertical="center"/>
    </xf>
    <xf numFmtId="0" fontId="0" fillId="9" borderId="6" xfId="0" applyFill="1" applyBorder="1" applyAlignment="1">
      <alignment vertical="center" wrapText="1"/>
    </xf>
    <xf numFmtId="0" fontId="1" fillId="9" borderId="0" xfId="0" applyFont="1" applyFill="1" applyAlignment="1">
      <alignment horizontal="center" vertical="center"/>
    </xf>
    <xf numFmtId="0" fontId="1" fillId="4" borderId="0" xfId="0" applyFont="1" applyFill="1" applyAlignment="1">
      <alignment horizontal="center" vertical="center" wrapText="1"/>
    </xf>
    <xf numFmtId="0" fontId="0" fillId="12" borderId="10" xfId="0" applyFill="1" applyBorder="1" applyAlignment="1">
      <alignment vertical="center"/>
    </xf>
    <xf numFmtId="0" fontId="0" fillId="12" borderId="11" xfId="0" applyFill="1" applyBorder="1" applyAlignment="1">
      <alignment vertical="center"/>
    </xf>
    <xf numFmtId="0" fontId="1" fillId="12" borderId="0" xfId="0" applyFont="1" applyFill="1" applyAlignment="1">
      <alignment horizontal="center" vertical="center"/>
    </xf>
    <xf numFmtId="0" fontId="1" fillId="8" borderId="0" xfId="0" applyFont="1" applyFill="1" applyAlignment="1">
      <alignment horizontal="center" vertical="center"/>
    </xf>
    <xf numFmtId="0" fontId="0" fillId="8" borderId="10" xfId="0" applyFill="1" applyBorder="1" applyAlignment="1">
      <alignment vertical="center"/>
    </xf>
    <xf numFmtId="0" fontId="0" fillId="8" borderId="11" xfId="0" applyFill="1" applyBorder="1" applyAlignment="1">
      <alignment vertical="center"/>
    </xf>
    <xf numFmtId="0" fontId="0" fillId="0" borderId="9" xfId="0" applyBorder="1" applyAlignment="1">
      <alignment horizontal="center" vertical="center"/>
    </xf>
    <xf numFmtId="0" fontId="28" fillId="0" borderId="0" xfId="0" applyFont="1" applyAlignment="1">
      <alignment vertical="center"/>
    </xf>
    <xf numFmtId="0" fontId="21" fillId="0" borderId="6" xfId="0" applyFont="1" applyBorder="1" applyAlignment="1">
      <alignment vertical="center"/>
    </xf>
    <xf numFmtId="0" fontId="24" fillId="0" borderId="0" xfId="0" applyFont="1" applyAlignment="1">
      <alignment horizontal="center" vertical="center"/>
    </xf>
    <xf numFmtId="0" fontId="0" fillId="9" borderId="6" xfId="0" applyFill="1" applyBorder="1" applyAlignment="1">
      <alignment horizontal="center" vertical="center"/>
    </xf>
    <xf numFmtId="0" fontId="21" fillId="0" borderId="0" xfId="0" applyFont="1" applyAlignment="1">
      <alignment horizontal="center" vertical="center"/>
    </xf>
    <xf numFmtId="0" fontId="0" fillId="9" borderId="11" xfId="0" applyFill="1" applyBorder="1" applyAlignment="1">
      <alignment horizontal="center" vertical="center"/>
    </xf>
    <xf numFmtId="0" fontId="0" fillId="12" borderId="11" xfId="0" applyFill="1" applyBorder="1" applyAlignment="1">
      <alignment horizontal="center" vertical="center"/>
    </xf>
    <xf numFmtId="0" fontId="0" fillId="8" borderId="11" xfId="0" applyFill="1" applyBorder="1" applyAlignment="1">
      <alignment horizontal="center" vertical="center"/>
    </xf>
    <xf numFmtId="0" fontId="0" fillId="4" borderId="11" xfId="0" applyFill="1" applyBorder="1" applyAlignment="1">
      <alignment horizontal="center" vertical="center" wrapText="1"/>
    </xf>
    <xf numFmtId="0" fontId="0" fillId="9" borderId="0" xfId="0" applyFill="1" applyAlignment="1">
      <alignment horizontal="center" vertical="center"/>
    </xf>
    <xf numFmtId="0" fontId="21" fillId="0" borderId="11" xfId="0" applyFont="1" applyBorder="1" applyAlignment="1">
      <alignment horizontal="center" vertical="center"/>
    </xf>
    <xf numFmtId="0" fontId="21" fillId="0" borderId="6" xfId="0" applyFont="1" applyBorder="1" applyAlignment="1">
      <alignment horizontal="center" vertical="center"/>
    </xf>
    <xf numFmtId="0" fontId="13" fillId="0" borderId="0" xfId="0" applyFont="1" applyAlignment="1">
      <alignment vertical="center" wrapText="1"/>
    </xf>
    <xf numFmtId="0" fontId="24" fillId="0" borderId="0" xfId="0" applyFont="1" applyAlignment="1">
      <alignment vertical="center" wrapText="1"/>
    </xf>
    <xf numFmtId="0" fontId="27" fillId="9" borderId="7" xfId="0" applyFont="1" applyFill="1" applyBorder="1" applyAlignment="1">
      <alignment horizontal="center" vertical="center"/>
    </xf>
    <xf numFmtId="0" fontId="21" fillId="0" borderId="9" xfId="0" applyFont="1" applyBorder="1" applyAlignment="1">
      <alignment horizontal="center" vertical="center"/>
    </xf>
    <xf numFmtId="0" fontId="25" fillId="9" borderId="12" xfId="0" applyFont="1" applyFill="1" applyBorder="1" applyAlignment="1">
      <alignment horizontal="center" vertical="center"/>
    </xf>
    <xf numFmtId="0" fontId="25" fillId="4" borderId="12" xfId="0" applyFont="1" applyFill="1" applyBorder="1" applyAlignment="1">
      <alignment horizontal="center" vertical="center"/>
    </xf>
    <xf numFmtId="0" fontId="25" fillId="12" borderId="12" xfId="0" applyFont="1" applyFill="1" applyBorder="1" applyAlignment="1">
      <alignment horizontal="center" vertical="center"/>
    </xf>
    <xf numFmtId="0" fontId="25" fillId="8" borderId="12" xfId="0" applyFont="1" applyFill="1" applyBorder="1" applyAlignment="1">
      <alignment horizontal="center" vertical="center"/>
    </xf>
    <xf numFmtId="0" fontId="25" fillId="9" borderId="9" xfId="0" applyFont="1" applyFill="1" applyBorder="1" applyAlignment="1">
      <alignment horizontal="center" vertical="center"/>
    </xf>
    <xf numFmtId="0" fontId="21" fillId="0" borderId="12" xfId="0" applyFont="1" applyBorder="1" applyAlignment="1">
      <alignment horizontal="center" vertical="center"/>
    </xf>
    <xf numFmtId="0" fontId="30" fillId="0" borderId="7" xfId="0" applyFont="1" applyBorder="1" applyAlignment="1">
      <alignment horizontal="center" vertical="center"/>
    </xf>
    <xf numFmtId="0" fontId="4" fillId="2" borderId="11" xfId="0" applyFont="1" applyFill="1" applyBorder="1" applyAlignment="1">
      <alignment vertical="center"/>
    </xf>
    <xf numFmtId="0" fontId="0" fillId="2" borderId="11" xfId="0" applyFill="1" applyBorder="1" applyAlignment="1">
      <alignment horizontal="center" vertical="center"/>
    </xf>
    <xf numFmtId="0" fontId="0" fillId="2" borderId="12" xfId="0" applyFill="1" applyBorder="1" applyAlignment="1">
      <alignment vertical="center"/>
    </xf>
    <xf numFmtId="0" fontId="9" fillId="0" borderId="0" xfId="0" applyFont="1" applyAlignment="1">
      <alignment vertical="center"/>
    </xf>
    <xf numFmtId="0" fontId="0" fillId="6" borderId="0" xfId="0" applyFill="1" applyAlignment="1">
      <alignment vertical="center"/>
    </xf>
    <xf numFmtId="0" fontId="32" fillId="0" borderId="0" xfId="0" applyFont="1" applyAlignment="1">
      <alignment vertical="center"/>
    </xf>
    <xf numFmtId="0" fontId="17" fillId="0" borderId="0" xfId="0" applyFont="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15" fillId="0" borderId="0" xfId="0" applyFont="1" applyAlignment="1">
      <alignment vertical="center"/>
    </xf>
    <xf numFmtId="0" fontId="0" fillId="6" borderId="8" xfId="0" applyFill="1" applyBorder="1" applyAlignment="1">
      <alignment vertical="center"/>
    </xf>
    <xf numFmtId="0" fontId="15" fillId="0" borderId="11" xfId="0" applyFont="1" applyBorder="1" applyAlignment="1">
      <alignment vertical="center"/>
    </xf>
    <xf numFmtId="0" fontId="0" fillId="9" borderId="7" xfId="0" applyFill="1" applyBorder="1" applyAlignment="1">
      <alignment vertical="center"/>
    </xf>
    <xf numFmtId="0" fontId="1" fillId="9" borderId="5" xfId="0" applyFont="1" applyFill="1" applyBorder="1" applyAlignment="1">
      <alignment horizontal="left" vertical="center"/>
    </xf>
    <xf numFmtId="0" fontId="1" fillId="9" borderId="0" xfId="0" applyFont="1" applyFill="1" applyAlignment="1">
      <alignment horizontal="left" vertical="center"/>
    </xf>
    <xf numFmtId="0" fontId="0" fillId="6" borderId="0" xfId="0" applyFill="1" applyAlignment="1">
      <alignment horizontal="center" vertical="center" wrapText="1"/>
    </xf>
    <xf numFmtId="0" fontId="6" fillId="0" borderId="8" xfId="0" applyFont="1" applyBorder="1" applyAlignment="1">
      <alignment vertical="center"/>
    </xf>
    <xf numFmtId="0" fontId="1" fillId="0" borderId="11" xfId="0" applyFont="1" applyBorder="1" applyAlignment="1">
      <alignment horizontal="center" vertical="center"/>
    </xf>
    <xf numFmtId="0" fontId="0" fillId="9" borderId="9" xfId="0" applyFill="1" applyBorder="1" applyAlignment="1">
      <alignment vertical="center"/>
    </xf>
    <xf numFmtId="0" fontId="13" fillId="0" borderId="5" xfId="0" applyFont="1" applyBorder="1" applyAlignment="1">
      <alignment vertical="center" wrapText="1"/>
    </xf>
    <xf numFmtId="0" fontId="13" fillId="0" borderId="5" xfId="0" applyFont="1" applyBorder="1" applyAlignment="1">
      <alignment vertical="center"/>
    </xf>
    <xf numFmtId="0" fontId="32" fillId="0" borderId="11" xfId="0" applyFont="1" applyBorder="1" applyAlignment="1">
      <alignment vertical="center"/>
    </xf>
    <xf numFmtId="0" fontId="0" fillId="7" borderId="8" xfId="0" applyFill="1" applyBorder="1" applyAlignment="1">
      <alignment vertical="center"/>
    </xf>
    <xf numFmtId="0" fontId="34" fillId="0" borderId="0" xfId="0" applyFont="1" applyAlignment="1">
      <alignment vertical="center"/>
    </xf>
    <xf numFmtId="0" fontId="33" fillId="0" borderId="0" xfId="0" applyFont="1" applyAlignment="1">
      <alignment vertical="center"/>
    </xf>
    <xf numFmtId="0" fontId="6" fillId="8" borderId="0" xfId="0" applyFont="1" applyFill="1" applyAlignment="1">
      <alignment vertical="center"/>
    </xf>
    <xf numFmtId="0" fontId="0" fillId="8" borderId="0" xfId="0" applyFill="1" applyAlignment="1">
      <alignment vertical="center"/>
    </xf>
    <xf numFmtId="0" fontId="1" fillId="4" borderId="0" xfId="0" applyFont="1" applyFill="1" applyAlignment="1">
      <alignment horizontal="center" vertical="center"/>
    </xf>
    <xf numFmtId="0" fontId="0" fillId="13" borderId="0" xfId="0" applyFill="1" applyAlignment="1">
      <alignment vertical="center"/>
    </xf>
    <xf numFmtId="0" fontId="6" fillId="13" borderId="0" xfId="0" applyFont="1" applyFill="1" applyAlignment="1">
      <alignment vertical="center"/>
    </xf>
    <xf numFmtId="0" fontId="20" fillId="0" borderId="0" xfId="0" applyFont="1" applyAlignment="1">
      <alignment horizontal="center" vertical="center"/>
    </xf>
    <xf numFmtId="0" fontId="6" fillId="9" borderId="0" xfId="0" applyFont="1" applyFill="1" applyAlignment="1">
      <alignment vertical="center"/>
    </xf>
    <xf numFmtId="0" fontId="1" fillId="7" borderId="0" xfId="0" applyFont="1" applyFill="1" applyAlignment="1">
      <alignment horizontal="center" vertical="center"/>
    </xf>
    <xf numFmtId="0" fontId="0" fillId="0" borderId="0" xfId="0" applyAlignment="1">
      <alignment vertical="center" wrapText="1"/>
    </xf>
    <xf numFmtId="0" fontId="12" fillId="14" borderId="0" xfId="0" applyFont="1" applyFill="1" applyAlignment="1">
      <alignment vertical="center"/>
    </xf>
    <xf numFmtId="0" fontId="0" fillId="14" borderId="0" xfId="0" applyFill="1" applyAlignment="1">
      <alignment vertical="center"/>
    </xf>
    <xf numFmtId="0" fontId="0" fillId="14" borderId="0" xfId="0" applyFill="1"/>
    <xf numFmtId="0" fontId="0" fillId="14" borderId="0" xfId="0" quotePrefix="1" applyFill="1" applyAlignment="1">
      <alignment vertical="center"/>
    </xf>
    <xf numFmtId="0" fontId="36" fillId="0" borderId="0" xfId="0" applyFont="1" applyAlignment="1">
      <alignment vertical="center"/>
    </xf>
    <xf numFmtId="49" fontId="38" fillId="15" borderId="2" xfId="1" applyNumberFormat="1" applyFont="1" applyFill="1" applyBorder="1"/>
    <xf numFmtId="49" fontId="38" fillId="15" borderId="3" xfId="1" applyNumberFormat="1" applyFont="1" applyFill="1" applyBorder="1" applyAlignment="1">
      <alignment horizontal="center"/>
    </xf>
    <xf numFmtId="49" fontId="38" fillId="16" borderId="2" xfId="2" applyNumberFormat="1" applyFont="1" applyFill="1" applyBorder="1"/>
    <xf numFmtId="49" fontId="39" fillId="16" borderId="2" xfId="2" applyNumberFormat="1" applyFont="1" applyFill="1" applyBorder="1"/>
    <xf numFmtId="49" fontId="38" fillId="16" borderId="3" xfId="2" applyNumberFormat="1" applyFont="1" applyFill="1" applyBorder="1"/>
    <xf numFmtId="49" fontId="40" fillId="16" borderId="4" xfId="2" applyNumberFormat="1" applyFont="1" applyFill="1" applyBorder="1"/>
    <xf numFmtId="49" fontId="40" fillId="16" borderId="3" xfId="2" applyNumberFormat="1" applyFont="1" applyFill="1" applyBorder="1"/>
    <xf numFmtId="49" fontId="38" fillId="17" borderId="2" xfId="2" applyNumberFormat="1" applyFont="1" applyFill="1" applyBorder="1"/>
    <xf numFmtId="49" fontId="38" fillId="17" borderId="3" xfId="2" applyNumberFormat="1" applyFont="1" applyFill="1" applyBorder="1"/>
    <xf numFmtId="49" fontId="40" fillId="18" borderId="2" xfId="2" applyNumberFormat="1" applyFont="1" applyFill="1" applyBorder="1"/>
    <xf numFmtId="49" fontId="38" fillId="18" borderId="3" xfId="2" applyNumberFormat="1" applyFont="1" applyFill="1" applyBorder="1"/>
    <xf numFmtId="0" fontId="42" fillId="19" borderId="16" xfId="3" applyFont="1" applyFill="1" applyBorder="1" applyAlignment="1">
      <alignment horizontal="left"/>
    </xf>
    <xf numFmtId="0" fontId="42" fillId="19" borderId="55" xfId="3" applyFont="1" applyFill="1" applyBorder="1" applyAlignment="1">
      <alignment horizontal="left"/>
    </xf>
    <xf numFmtId="0" fontId="41" fillId="19" borderId="55" xfId="3" applyFill="1" applyBorder="1" applyAlignment="1">
      <alignment horizontal="center"/>
    </xf>
    <xf numFmtId="0" fontId="41" fillId="19" borderId="17" xfId="3" applyFill="1" applyBorder="1" applyAlignment="1">
      <alignment horizontal="center"/>
    </xf>
    <xf numFmtId="0" fontId="41" fillId="0" borderId="0" xfId="3" applyAlignment="1">
      <alignment horizontal="center"/>
    </xf>
    <xf numFmtId="49" fontId="43" fillId="15" borderId="13" xfId="1" applyNumberFormat="1" applyFont="1" applyFill="1" applyBorder="1" applyAlignment="1">
      <alignment horizontal="center" wrapText="1"/>
    </xf>
    <xf numFmtId="49" fontId="43" fillId="16" borderId="13" xfId="2" applyNumberFormat="1" applyFont="1" applyFill="1" applyBorder="1" applyAlignment="1">
      <alignment wrapText="1"/>
    </xf>
    <xf numFmtId="49" fontId="40" fillId="9" borderId="20" xfId="2" applyNumberFormat="1" applyFont="1" applyFill="1" applyBorder="1" applyAlignment="1">
      <alignment wrapText="1"/>
    </xf>
    <xf numFmtId="49" fontId="40" fillId="16" borderId="20" xfId="2" applyNumberFormat="1" applyFont="1" applyFill="1" applyBorder="1" applyAlignment="1">
      <alignment wrapText="1"/>
    </xf>
    <xf numFmtId="2" fontId="38" fillId="17" borderId="2" xfId="2" applyNumberFormat="1" applyFont="1" applyFill="1" applyBorder="1" applyAlignment="1">
      <alignment horizontal="center" wrapText="1"/>
    </xf>
    <xf numFmtId="2" fontId="38" fillId="18" borderId="2" xfId="2" applyNumberFormat="1" applyFont="1" applyFill="1" applyBorder="1" applyAlignment="1">
      <alignment horizontal="center" wrapText="1"/>
    </xf>
    <xf numFmtId="0" fontId="42" fillId="19" borderId="13" xfId="3" applyFont="1" applyFill="1" applyBorder="1" applyAlignment="1">
      <alignment horizontal="center" wrapText="1"/>
    </xf>
    <xf numFmtId="0" fontId="41" fillId="0" borderId="0" xfId="3" applyAlignment="1">
      <alignment horizontal="center" wrapText="1"/>
    </xf>
    <xf numFmtId="49" fontId="43" fillId="15" borderId="15" xfId="1" applyNumberFormat="1" applyFont="1" applyFill="1" applyBorder="1" applyAlignment="1">
      <alignment horizontal="center"/>
    </xf>
    <xf numFmtId="49" fontId="43" fillId="16" borderId="15" xfId="2" applyNumberFormat="1" applyFont="1" applyFill="1" applyBorder="1"/>
    <xf numFmtId="49" fontId="40" fillId="9" borderId="20" xfId="2" applyNumberFormat="1" applyFont="1" applyFill="1" applyBorder="1"/>
    <xf numFmtId="49" fontId="40" fillId="16" borderId="20" xfId="2" applyNumberFormat="1" applyFont="1" applyFill="1" applyBorder="1"/>
    <xf numFmtId="0" fontId="38" fillId="17" borderId="20" xfId="2" applyFont="1" applyFill="1" applyBorder="1" applyAlignment="1">
      <alignment horizontal="center"/>
    </xf>
    <xf numFmtId="0" fontId="38" fillId="18" borderId="20" xfId="2" applyFont="1" applyFill="1" applyBorder="1" applyAlignment="1">
      <alignment horizontal="center"/>
    </xf>
    <xf numFmtId="0" fontId="42" fillId="19" borderId="14" xfId="3" applyFont="1" applyFill="1" applyBorder="1"/>
    <xf numFmtId="0" fontId="41" fillId="0" borderId="0" xfId="3"/>
    <xf numFmtId="0" fontId="41" fillId="0" borderId="1" xfId="3" applyBorder="1" applyAlignment="1">
      <alignment horizontal="center"/>
    </xf>
    <xf numFmtId="14" fontId="41" fillId="0" borderId="1" xfId="3" applyNumberFormat="1" applyBorder="1" applyAlignment="1">
      <alignment horizontal="center"/>
    </xf>
    <xf numFmtId="0" fontId="41" fillId="0" borderId="1" xfId="3" applyBorder="1"/>
    <xf numFmtId="4" fontId="41" fillId="0" borderId="1" xfId="3" applyNumberFormat="1" applyBorder="1"/>
    <xf numFmtId="4" fontId="41" fillId="0" borderId="1" xfId="3" applyNumberFormat="1" applyBorder="1" applyAlignment="1">
      <alignment horizontal="right"/>
    </xf>
    <xf numFmtId="4" fontId="41" fillId="2" borderId="1" xfId="3" applyNumberFormat="1" applyFill="1" applyBorder="1"/>
    <xf numFmtId="4" fontId="41" fillId="20" borderId="1" xfId="3" applyNumberFormat="1" applyFill="1" applyBorder="1"/>
    <xf numFmtId="0" fontId="42" fillId="4" borderId="2" xfId="3" applyFont="1" applyFill="1" applyBorder="1" applyAlignment="1">
      <alignment horizontal="center" vertical="center"/>
    </xf>
    <xf numFmtId="0" fontId="42" fillId="4" borderId="3" xfId="3" applyFont="1" applyFill="1" applyBorder="1" applyAlignment="1">
      <alignment vertical="center"/>
    </xf>
    <xf numFmtId="0" fontId="41" fillId="4" borderId="3" xfId="3" applyFill="1" applyBorder="1" applyAlignment="1">
      <alignment vertical="center"/>
    </xf>
    <xf numFmtId="0" fontId="41" fillId="4" borderId="4" xfId="3" applyFill="1" applyBorder="1" applyAlignment="1">
      <alignment vertical="center"/>
    </xf>
    <xf numFmtId="0" fontId="41" fillId="0" borderId="0" xfId="3" applyAlignment="1">
      <alignment vertical="center"/>
    </xf>
    <xf numFmtId="0" fontId="44" fillId="21" borderId="60" xfId="3" applyFont="1" applyFill="1" applyBorder="1"/>
    <xf numFmtId="14" fontId="45" fillId="0" borderId="60" xfId="3" applyNumberFormat="1" applyFont="1" applyBorder="1" applyAlignment="1">
      <alignment vertical="top"/>
    </xf>
    <xf numFmtId="0" fontId="45" fillId="0" borderId="60" xfId="3" applyFont="1" applyBorder="1" applyAlignment="1">
      <alignment vertical="top"/>
    </xf>
    <xf numFmtId="4" fontId="45" fillId="0" borderId="60" xfId="3" applyNumberFormat="1" applyFont="1" applyBorder="1" applyAlignment="1">
      <alignment vertical="top"/>
    </xf>
    <xf numFmtId="0" fontId="41" fillId="0" borderId="60" xfId="3" applyBorder="1"/>
    <xf numFmtId="4" fontId="45" fillId="0" borderId="60" xfId="3" quotePrefix="1" applyNumberFormat="1" applyFont="1" applyBorder="1" applyAlignment="1">
      <alignment vertical="top"/>
    </xf>
    <xf numFmtId="0" fontId="41" fillId="0" borderId="0" xfId="3" applyAlignment="1">
      <alignment horizontal="left" indent="3"/>
    </xf>
    <xf numFmtId="0" fontId="42" fillId="22" borderId="2" xfId="3" applyFont="1" applyFill="1" applyBorder="1" applyAlignment="1">
      <alignment horizontal="center" vertical="center"/>
    </xf>
    <xf numFmtId="0" fontId="42" fillId="22" borderId="3" xfId="3" applyFont="1" applyFill="1" applyBorder="1" applyAlignment="1">
      <alignment vertical="center"/>
    </xf>
    <xf numFmtId="0" fontId="41" fillId="22" borderId="3" xfId="3" applyFill="1" applyBorder="1" applyAlignment="1">
      <alignment vertical="center"/>
    </xf>
    <xf numFmtId="0" fontId="41" fillId="22" borderId="4" xfId="3" applyFill="1" applyBorder="1" applyAlignment="1">
      <alignment vertical="center"/>
    </xf>
    <xf numFmtId="0" fontId="42" fillId="0" borderId="0" xfId="3" applyFont="1" applyAlignment="1">
      <alignment horizontal="center" vertical="center"/>
    </xf>
    <xf numFmtId="0" fontId="42" fillId="23" borderId="5" xfId="3" applyFont="1" applyFill="1" applyBorder="1" applyAlignment="1">
      <alignment horizontal="center" vertical="center"/>
    </xf>
    <xf numFmtId="0" fontId="42" fillId="23" borderId="61" xfId="3" applyFont="1" applyFill="1" applyBorder="1" applyAlignment="1">
      <alignment horizontal="center" vertical="center"/>
    </xf>
    <xf numFmtId="0" fontId="41" fillId="0" borderId="0" xfId="3" applyAlignment="1">
      <alignment horizontal="center" vertical="center" wrapText="1"/>
    </xf>
    <xf numFmtId="0" fontId="42" fillId="0" borderId="1" xfId="3" applyFont="1" applyBorder="1" applyAlignment="1">
      <alignment horizontal="center" vertical="center" wrapText="1"/>
    </xf>
    <xf numFmtId="0" fontId="42" fillId="0" borderId="2" xfId="3" applyFont="1" applyBorder="1" applyAlignment="1">
      <alignment horizontal="center" vertical="center" wrapText="1"/>
    </xf>
    <xf numFmtId="0" fontId="42" fillId="0" borderId="4" xfId="3" applyFont="1" applyBorder="1" applyAlignment="1">
      <alignment horizontal="center" vertical="center" wrapText="1"/>
    </xf>
    <xf numFmtId="0" fontId="46" fillId="0" borderId="62" xfId="3" applyFont="1" applyBorder="1" applyAlignment="1">
      <alignment vertical="center"/>
    </xf>
    <xf numFmtId="0" fontId="42" fillId="0" borderId="62" xfId="3" applyFont="1" applyBorder="1" applyAlignment="1">
      <alignment horizontal="center" vertical="center"/>
    </xf>
    <xf numFmtId="0" fontId="42" fillId="0" borderId="1" xfId="3" applyFont="1" applyBorder="1"/>
    <xf numFmtId="0" fontId="41" fillId="0" borderId="2" xfId="3" applyBorder="1"/>
    <xf numFmtId="0" fontId="41" fillId="0" borderId="4" xfId="3" applyBorder="1"/>
    <xf numFmtId="0" fontId="46" fillId="0" borderId="63" xfId="3" applyFont="1" applyBorder="1" applyAlignment="1">
      <alignment vertical="center"/>
    </xf>
    <xf numFmtId="0" fontId="42" fillId="0" borderId="63" xfId="3" applyFont="1" applyBorder="1" applyAlignment="1">
      <alignment horizontal="center" vertical="center"/>
    </xf>
    <xf numFmtId="0" fontId="42" fillId="23" borderId="64" xfId="3" applyFont="1" applyFill="1" applyBorder="1" applyAlignment="1">
      <alignment horizontal="center" vertical="center"/>
    </xf>
    <xf numFmtId="0" fontId="46" fillId="0" borderId="61" xfId="3" quotePrefix="1" applyFont="1" applyBorder="1" applyAlignment="1">
      <alignment vertical="center"/>
    </xf>
    <xf numFmtId="0" fontId="47" fillId="0" borderId="7" xfId="3" applyFont="1" applyBorder="1" applyAlignment="1">
      <alignment vertical="center"/>
    </xf>
    <xf numFmtId="0" fontId="41" fillId="0" borderId="5" xfId="3" applyBorder="1"/>
    <xf numFmtId="0" fontId="41" fillId="7" borderId="7" xfId="3" applyFill="1" applyBorder="1" applyAlignment="1">
      <alignment horizontal="center" vertical="center"/>
    </xf>
    <xf numFmtId="0" fontId="42" fillId="18" borderId="2" xfId="3" applyFont="1" applyFill="1" applyBorder="1" applyAlignment="1">
      <alignment horizontal="center" vertical="center"/>
    </xf>
    <xf numFmtId="0" fontId="42" fillId="18" borderId="3" xfId="3" applyFont="1" applyFill="1" applyBorder="1" applyAlignment="1">
      <alignment vertical="center"/>
    </xf>
    <xf numFmtId="0" fontId="41" fillId="18" borderId="3" xfId="3" applyFill="1" applyBorder="1" applyAlignment="1">
      <alignment vertical="center"/>
    </xf>
    <xf numFmtId="0" fontId="41" fillId="18" borderId="4" xfId="3" applyFill="1" applyBorder="1" applyAlignment="1">
      <alignment vertical="center"/>
    </xf>
    <xf numFmtId="0" fontId="41" fillId="0" borderId="62" xfId="3" quotePrefix="1" applyBorder="1" applyAlignment="1">
      <alignment vertical="center"/>
    </xf>
    <xf numFmtId="0" fontId="48" fillId="0" borderId="9" xfId="3" applyFont="1" applyBorder="1" applyAlignment="1">
      <alignment vertical="center"/>
    </xf>
    <xf numFmtId="0" fontId="41" fillId="2" borderId="8" xfId="3" applyFill="1" applyBorder="1"/>
    <xf numFmtId="0" fontId="41" fillId="7" borderId="9" xfId="3" applyFill="1" applyBorder="1" applyAlignment="1">
      <alignment horizontal="center" vertical="center"/>
    </xf>
    <xf numFmtId="0" fontId="42" fillId="0" borderId="0" xfId="3" applyFont="1"/>
    <xf numFmtId="0" fontId="46" fillId="0" borderId="62" xfId="3" quotePrefix="1" applyFont="1" applyBorder="1" applyAlignment="1">
      <alignment vertical="center"/>
    </xf>
    <xf numFmtId="0" fontId="47" fillId="0" borderId="9" xfId="3" applyFont="1" applyBorder="1" applyAlignment="1">
      <alignment vertical="center"/>
    </xf>
    <xf numFmtId="0" fontId="41" fillId="0" borderId="8" xfId="3" applyBorder="1"/>
    <xf numFmtId="0" fontId="42" fillId="0" borderId="1" xfId="3" applyFont="1" applyBorder="1" applyAlignment="1">
      <alignment wrapText="1"/>
    </xf>
    <xf numFmtId="0" fontId="42" fillId="0" borderId="2" xfId="3" applyFont="1" applyBorder="1" applyAlignment="1">
      <alignment wrapText="1"/>
    </xf>
    <xf numFmtId="0" fontId="42" fillId="0" borderId="4" xfId="3" applyFont="1" applyBorder="1" applyAlignment="1">
      <alignment wrapText="1"/>
    </xf>
    <xf numFmtId="0" fontId="41" fillId="0" borderId="9" xfId="3" applyBorder="1" applyAlignment="1">
      <alignment vertical="center"/>
    </xf>
    <xf numFmtId="0" fontId="46" fillId="0" borderId="63" xfId="3" quotePrefix="1" applyFont="1" applyBorder="1" applyAlignment="1">
      <alignment vertical="center"/>
    </xf>
    <xf numFmtId="0" fontId="46" fillId="0" borderId="12" xfId="3" applyFont="1" applyBorder="1" applyAlignment="1">
      <alignment vertical="center"/>
    </xf>
    <xf numFmtId="0" fontId="41" fillId="2" borderId="10" xfId="3" applyFill="1" applyBorder="1"/>
    <xf numFmtId="0" fontId="41" fillId="7" borderId="12" xfId="3" applyFill="1" applyBorder="1" applyAlignment="1">
      <alignment horizontal="center" vertical="center"/>
    </xf>
    <xf numFmtId="0" fontId="46" fillId="0" borderId="7" xfId="3" quotePrefix="1" applyFont="1" applyBorder="1" applyAlignment="1">
      <alignment vertical="center"/>
    </xf>
    <xf numFmtId="0" fontId="41" fillId="2" borderId="6" xfId="3" applyFill="1" applyBorder="1"/>
    <xf numFmtId="0" fontId="46" fillId="0" borderId="12" xfId="3" quotePrefix="1" applyFont="1" applyBorder="1" applyAlignment="1">
      <alignment vertical="center"/>
    </xf>
    <xf numFmtId="0" fontId="41" fillId="2" borderId="11" xfId="3" applyFill="1" applyBorder="1"/>
    <xf numFmtId="0" fontId="41" fillId="0" borderId="0" xfId="3" applyAlignment="1">
      <alignment wrapText="1"/>
    </xf>
    <xf numFmtId="0" fontId="42" fillId="24" borderId="1" xfId="3" applyFont="1" applyFill="1" applyBorder="1" applyAlignment="1">
      <alignment wrapText="1"/>
    </xf>
    <xf numFmtId="0" fontId="42" fillId="24" borderId="2" xfId="3" applyFont="1" applyFill="1" applyBorder="1" applyAlignment="1">
      <alignment wrapText="1"/>
    </xf>
    <xf numFmtId="0" fontId="42" fillId="24" borderId="4" xfId="3" applyFont="1" applyFill="1" applyBorder="1" applyAlignment="1">
      <alignment wrapText="1"/>
    </xf>
    <xf numFmtId="0" fontId="42" fillId="24" borderId="1" xfId="3" applyFont="1" applyFill="1" applyBorder="1" applyAlignment="1">
      <alignment horizontal="center" vertical="center" wrapText="1"/>
    </xf>
    <xf numFmtId="0" fontId="47" fillId="0" borderId="62" xfId="3" applyFont="1" applyBorder="1" applyAlignment="1">
      <alignment vertical="center"/>
    </xf>
    <xf numFmtId="0" fontId="41" fillId="4" borderId="62" xfId="3" applyFill="1" applyBorder="1" applyAlignment="1">
      <alignment vertical="center"/>
    </xf>
    <xf numFmtId="0" fontId="41" fillId="0" borderId="0" xfId="3" applyAlignment="1">
      <alignment horizontal="center" vertical="center"/>
    </xf>
    <xf numFmtId="0" fontId="42" fillId="23" borderId="7" xfId="3" applyFont="1" applyFill="1" applyBorder="1" applyAlignment="1">
      <alignment horizontal="center" vertical="center"/>
    </xf>
    <xf numFmtId="0" fontId="41" fillId="4" borderId="62" xfId="3" quotePrefix="1" applyFill="1" applyBorder="1" applyAlignment="1">
      <alignment vertical="center"/>
    </xf>
    <xf numFmtId="0" fontId="48" fillId="4" borderId="9" xfId="3" applyFont="1" applyFill="1" applyBorder="1" applyAlignment="1">
      <alignment vertical="center"/>
    </xf>
    <xf numFmtId="0" fontId="41" fillId="4" borderId="9" xfId="3" applyFill="1" applyBorder="1" applyAlignment="1">
      <alignment vertical="center"/>
    </xf>
    <xf numFmtId="0" fontId="41" fillId="0" borderId="62" xfId="3" applyBorder="1" applyAlignment="1">
      <alignment vertical="center"/>
    </xf>
    <xf numFmtId="0" fontId="41" fillId="0" borderId="63" xfId="3" applyBorder="1" applyAlignment="1">
      <alignment vertical="center"/>
    </xf>
    <xf numFmtId="0" fontId="41" fillId="4" borderId="12" xfId="3" applyFill="1" applyBorder="1" applyAlignment="1">
      <alignment vertical="center"/>
    </xf>
    <xf numFmtId="0" fontId="42" fillId="25" borderId="2" xfId="3" applyFont="1" applyFill="1" applyBorder="1" applyAlignment="1">
      <alignment horizontal="center" vertical="center"/>
    </xf>
    <xf numFmtId="0" fontId="42" fillId="25" borderId="3" xfId="3" applyFont="1" applyFill="1" applyBorder="1" applyAlignment="1">
      <alignment vertical="center"/>
    </xf>
    <xf numFmtId="0" fontId="41" fillId="25" borderId="3" xfId="3" applyFill="1" applyBorder="1" applyAlignment="1">
      <alignment vertical="center"/>
    </xf>
    <xf numFmtId="0" fontId="41" fillId="25" borderId="4" xfId="3" applyFill="1" applyBorder="1" applyAlignment="1">
      <alignment vertical="center"/>
    </xf>
    <xf numFmtId="0" fontId="52" fillId="0" borderId="0" xfId="0" applyFont="1" applyAlignment="1">
      <alignment vertical="center"/>
    </xf>
    <xf numFmtId="0" fontId="0" fillId="0" borderId="0" xfId="0" quotePrefix="1" applyAlignment="1">
      <alignment vertical="center"/>
    </xf>
    <xf numFmtId="0" fontId="55" fillId="0" borderId="0" xfId="0" applyFont="1" applyAlignment="1">
      <alignment vertical="center"/>
    </xf>
    <xf numFmtId="0" fontId="54" fillId="0" borderId="0" xfId="0" applyFont="1" applyAlignment="1">
      <alignment vertical="center"/>
    </xf>
    <xf numFmtId="0" fontId="12" fillId="0" borderId="0" xfId="0" applyFont="1" applyAlignment="1">
      <alignment vertical="center"/>
    </xf>
    <xf numFmtId="0" fontId="50" fillId="0" borderId="0" xfId="0" applyFont="1" applyAlignment="1">
      <alignment vertical="center"/>
    </xf>
    <xf numFmtId="0" fontId="53" fillId="0" borderId="0" xfId="0" applyFont="1" applyAlignment="1">
      <alignment horizontal="center" vertical="center"/>
    </xf>
    <xf numFmtId="0" fontId="12" fillId="2" borderId="0" xfId="0" applyFont="1" applyFill="1" applyAlignment="1">
      <alignment vertical="center"/>
    </xf>
    <xf numFmtId="0" fontId="1" fillId="26" borderId="0" xfId="0" applyFont="1" applyFill="1" applyAlignment="1">
      <alignment vertical="center"/>
    </xf>
    <xf numFmtId="0" fontId="17" fillId="26" borderId="0" xfId="0" applyFont="1" applyFill="1" applyAlignment="1">
      <alignment vertical="center"/>
    </xf>
    <xf numFmtId="0" fontId="18" fillId="27" borderId="0" xfId="0" applyFont="1" applyFill="1"/>
    <xf numFmtId="0" fontId="18" fillId="27" borderId="0" xfId="0" applyFont="1" applyFill="1" applyAlignment="1">
      <alignment vertical="center"/>
    </xf>
    <xf numFmtId="0" fontId="56" fillId="0" borderId="0" xfId="0" applyFont="1" applyAlignment="1">
      <alignment vertical="center"/>
    </xf>
    <xf numFmtId="0" fontId="18" fillId="0" borderId="0" xfId="0" applyFont="1"/>
    <xf numFmtId="0" fontId="18" fillId="0" borderId="0" xfId="0" applyFont="1" applyAlignment="1">
      <alignment vertical="center"/>
    </xf>
    <xf numFmtId="0" fontId="57" fillId="0" borderId="0" xfId="0" applyFont="1" applyAlignment="1">
      <alignment vertical="center"/>
    </xf>
    <xf numFmtId="0" fontId="12" fillId="0" borderId="0" xfId="0" applyFont="1"/>
    <xf numFmtId="0" fontId="0" fillId="0" borderId="0" xfId="0" applyAlignment="1">
      <alignment horizontal="center"/>
    </xf>
    <xf numFmtId="0" fontId="56" fillId="27" borderId="0" xfId="0" applyFont="1" applyFill="1" applyAlignment="1">
      <alignment horizontal="center" vertical="center"/>
    </xf>
    <xf numFmtId="0" fontId="12" fillId="0" borderId="0" xfId="0" applyFont="1" applyAlignment="1">
      <alignment horizontal="center" vertical="center"/>
    </xf>
    <xf numFmtId="0" fontId="57" fillId="0" borderId="0" xfId="0" applyFont="1" applyAlignment="1">
      <alignment horizontal="center" vertical="center"/>
    </xf>
    <xf numFmtId="0" fontId="33" fillId="0" borderId="0" xfId="0" applyFont="1" applyAlignment="1">
      <alignment horizontal="center" vertical="center"/>
    </xf>
    <xf numFmtId="0" fontId="6" fillId="4" borderId="0" xfId="0" applyFont="1" applyFill="1" applyAlignment="1">
      <alignment vertical="center"/>
    </xf>
    <xf numFmtId="0" fontId="0" fillId="28" borderId="0" xfId="0" applyFill="1" applyAlignment="1">
      <alignment vertical="center"/>
    </xf>
    <xf numFmtId="0" fontId="1" fillId="0" borderId="0" xfId="0" applyFont="1"/>
    <xf numFmtId="0" fontId="61" fillId="0" borderId="0" xfId="0" applyFont="1"/>
    <xf numFmtId="0" fontId="12" fillId="4" borderId="0" xfId="0" applyFont="1" applyFill="1" applyAlignment="1">
      <alignment vertical="center"/>
    </xf>
    <xf numFmtId="0" fontId="12" fillId="9" borderId="0" xfId="0" applyFont="1" applyFill="1" applyAlignment="1">
      <alignment vertical="center"/>
    </xf>
    <xf numFmtId="0" fontId="62" fillId="0" borderId="0" xfId="0" applyFont="1" applyAlignment="1">
      <alignment vertical="center"/>
    </xf>
    <xf numFmtId="0" fontId="62" fillId="0" borderId="0" xfId="0" quotePrefix="1" applyFont="1" applyAlignment="1">
      <alignment vertical="center"/>
    </xf>
    <xf numFmtId="0" fontId="0" fillId="9" borderId="0" xfId="0" applyFill="1"/>
    <xf numFmtId="0" fontId="17" fillId="0" borderId="0" xfId="0" applyFont="1"/>
    <xf numFmtId="0" fontId="0" fillId="2" borderId="0" xfId="0" applyFill="1" applyAlignment="1">
      <alignment horizontal="center"/>
    </xf>
    <xf numFmtId="0" fontId="0" fillId="2" borderId="0" xfId="0" applyFill="1"/>
    <xf numFmtId="0" fontId="0" fillId="0" borderId="16" xfId="0" applyBorder="1"/>
    <xf numFmtId="0" fontId="0" fillId="0" borderId="55" xfId="0" applyBorder="1"/>
    <xf numFmtId="0" fontId="0" fillId="0" borderId="17" xfId="0" applyBorder="1"/>
    <xf numFmtId="0" fontId="0" fillId="0" borderId="18" xfId="0" applyBorder="1"/>
    <xf numFmtId="0" fontId="12" fillId="0" borderId="19" xfId="0" applyFont="1" applyBorder="1"/>
    <xf numFmtId="0" fontId="0" fillId="0" borderId="56" xfId="0" applyBorder="1"/>
    <xf numFmtId="0" fontId="12" fillId="0" borderId="55" xfId="0" applyFont="1" applyBorder="1"/>
    <xf numFmtId="0" fontId="1" fillId="6" borderId="0" xfId="0" applyFont="1" applyFill="1"/>
    <xf numFmtId="0" fontId="0" fillId="0" borderId="19" xfId="0" applyBorder="1"/>
    <xf numFmtId="0" fontId="1" fillId="7" borderId="0" xfId="0" applyFont="1" applyFill="1"/>
    <xf numFmtId="0" fontId="1" fillId="6" borderId="0" xfId="0" applyFont="1" applyFill="1" applyAlignment="1">
      <alignment horizontal="center"/>
    </xf>
    <xf numFmtId="0" fontId="1" fillId="7" borderId="0" xfId="0" applyFont="1" applyFill="1" applyAlignment="1">
      <alignment horizontal="center"/>
    </xf>
    <xf numFmtId="0" fontId="0" fillId="4" borderId="0" xfId="0" applyFill="1"/>
    <xf numFmtId="0" fontId="0" fillId="0" borderId="16" xfId="0" applyBorder="1" applyAlignment="1">
      <alignment horizontal="center"/>
    </xf>
    <xf numFmtId="0" fontId="0" fillId="0" borderId="55"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56" xfId="0" applyBorder="1" applyAlignment="1">
      <alignment horizontal="center"/>
    </xf>
    <xf numFmtId="0" fontId="0" fillId="0" borderId="2" xfId="0" applyBorder="1" applyAlignment="1">
      <alignment horizontal="center"/>
    </xf>
    <xf numFmtId="0" fontId="0" fillId="0" borderId="3" xfId="0" applyBorder="1"/>
    <xf numFmtId="0" fontId="0" fillId="0" borderId="3" xfId="0" applyBorder="1" applyAlignment="1">
      <alignment horizontal="center"/>
    </xf>
    <xf numFmtId="0" fontId="0" fillId="0" borderId="4"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28" borderId="0" xfId="0" applyFill="1"/>
    <xf numFmtId="0" fontId="0" fillId="28" borderId="0" xfId="0" applyFill="1" applyAlignment="1">
      <alignment horizontal="center"/>
    </xf>
    <xf numFmtId="0" fontId="12" fillId="4" borderId="19" xfId="0" applyFont="1" applyFill="1" applyBorder="1"/>
    <xf numFmtId="0" fontId="12" fillId="4" borderId="55" xfId="0" applyFont="1" applyFill="1" applyBorder="1"/>
    <xf numFmtId="0" fontId="0" fillId="6" borderId="55" xfId="0" applyFill="1" applyBorder="1"/>
    <xf numFmtId="0" fontId="12" fillId="9" borderId="55" xfId="0" applyFont="1" applyFill="1" applyBorder="1"/>
    <xf numFmtId="0" fontId="0" fillId="9" borderId="19" xfId="0" applyFill="1" applyBorder="1"/>
    <xf numFmtId="0" fontId="12" fillId="9" borderId="19" xfId="0" applyFont="1" applyFill="1" applyBorder="1"/>
    <xf numFmtId="0" fontId="0" fillId="6" borderId="19" xfId="0" applyFill="1" applyBorder="1"/>
    <xf numFmtId="0" fontId="0" fillId="0" borderId="20" xfId="0" applyBorder="1"/>
    <xf numFmtId="0" fontId="0" fillId="0" borderId="21" xfId="0" applyBorder="1"/>
    <xf numFmtId="0" fontId="0" fillId="10" borderId="0" xfId="0" applyFill="1"/>
    <xf numFmtId="0" fontId="0" fillId="10" borderId="0" xfId="0" applyFill="1" applyAlignment="1">
      <alignment horizontal="center"/>
    </xf>
    <xf numFmtId="0" fontId="0" fillId="10" borderId="55" xfId="0" applyFill="1" applyBorder="1"/>
    <xf numFmtId="0" fontId="0" fillId="10" borderId="55" xfId="0" applyFill="1" applyBorder="1" applyAlignment="1">
      <alignment horizontal="center"/>
    </xf>
    <xf numFmtId="0" fontId="13" fillId="0" borderId="16" xfId="0" applyFont="1" applyBorder="1" applyAlignment="1">
      <alignment horizontal="center"/>
    </xf>
    <xf numFmtId="0" fontId="13" fillId="0" borderId="20" xfId="0" applyFont="1" applyBorder="1" applyAlignment="1">
      <alignment horizontal="center"/>
    </xf>
    <xf numFmtId="0" fontId="13" fillId="0" borderId="18" xfId="0" applyFont="1" applyBorder="1" applyAlignment="1">
      <alignment horizontal="center"/>
    </xf>
    <xf numFmtId="0" fontId="0" fillId="5" borderId="18" xfId="0" applyFill="1" applyBorder="1"/>
    <xf numFmtId="0" fontId="0" fillId="5" borderId="16" xfId="0" applyFill="1" applyBorder="1"/>
    <xf numFmtId="0" fontId="64" fillId="0" borderId="0" xfId="0" applyFont="1"/>
    <xf numFmtId="0" fontId="64" fillId="0" borderId="55" xfId="0" applyFont="1" applyBorder="1"/>
    <xf numFmtId="0" fontId="0" fillId="4" borderId="21" xfId="0" applyFill="1" applyBorder="1"/>
    <xf numFmtId="0" fontId="0" fillId="9" borderId="21" xfId="0" applyFill="1" applyBorder="1"/>
    <xf numFmtId="0" fontId="64" fillId="9" borderId="0" xfId="0" applyFont="1" applyFill="1"/>
    <xf numFmtId="0" fontId="0" fillId="9" borderId="18" xfId="0" applyFill="1" applyBorder="1"/>
    <xf numFmtId="0" fontId="64" fillId="9" borderId="19" xfId="0" applyFont="1" applyFill="1" applyBorder="1"/>
    <xf numFmtId="0" fontId="0" fillId="9" borderId="56" xfId="0" applyFill="1" applyBorder="1"/>
    <xf numFmtId="0" fontId="0" fillId="6" borderId="18" xfId="0" applyFill="1" applyBorder="1"/>
    <xf numFmtId="0" fontId="0" fillId="6" borderId="56" xfId="0" applyFill="1" applyBorder="1"/>
    <xf numFmtId="0" fontId="0" fillId="0" borderId="0" xfId="0" applyAlignment="1">
      <alignment horizontal="left" vertical="center" inden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1" fillId="2" borderId="1"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14" xfId="0" applyBorder="1" applyAlignment="1">
      <alignment horizontal="center" vertical="center"/>
    </xf>
    <xf numFmtId="0" fontId="0" fillId="8" borderId="0" xfId="0" applyFill="1"/>
    <xf numFmtId="0" fontId="0" fillId="0" borderId="0" xfId="0" applyAlignment="1">
      <alignment horizontal="left"/>
    </xf>
    <xf numFmtId="0" fontId="1" fillId="8" borderId="0" xfId="0" applyFont="1" applyFill="1"/>
    <xf numFmtId="0" fontId="0" fillId="9" borderId="1" xfId="0" applyFill="1" applyBorder="1" applyAlignment="1">
      <alignment wrapText="1"/>
    </xf>
    <xf numFmtId="0" fontId="0" fillId="4" borderId="1" xfId="0" applyFill="1" applyBorder="1" applyAlignment="1">
      <alignment wrapText="1"/>
    </xf>
    <xf numFmtId="0" fontId="0" fillId="4" borderId="1" xfId="0" applyFill="1" applyBorder="1"/>
    <xf numFmtId="0" fontId="0" fillId="0" borderId="1" xfId="0" applyBorder="1"/>
    <xf numFmtId="0" fontId="21" fillId="7" borderId="1" xfId="0" applyFont="1" applyFill="1" applyBorder="1"/>
    <xf numFmtId="0" fontId="0" fillId="4" borderId="62" xfId="0" applyFill="1" applyBorder="1"/>
    <xf numFmtId="0" fontId="0" fillId="4" borderId="63" xfId="0" applyFill="1" applyBorder="1" applyAlignment="1">
      <alignment wrapText="1"/>
    </xf>
    <xf numFmtId="0" fontId="0" fillId="0" borderId="62" xfId="0" applyBorder="1"/>
    <xf numFmtId="0" fontId="21" fillId="7" borderId="62" xfId="0" applyFont="1" applyFill="1" applyBorder="1"/>
    <xf numFmtId="0" fontId="0" fillId="0" borderId="63" xfId="0" applyBorder="1"/>
    <xf numFmtId="0" fontId="0" fillId="0" borderId="0" xfId="0" applyAlignment="1">
      <alignment horizontal="left" vertical="center" indent="2"/>
    </xf>
    <xf numFmtId="0" fontId="1" fillId="0" borderId="0" xfId="0" applyFont="1" applyAlignment="1">
      <alignment horizontal="left" vertical="center" indent="2"/>
    </xf>
    <xf numFmtId="0" fontId="1" fillId="0" borderId="0" xfId="0" applyFont="1" applyAlignment="1">
      <alignment horizontal="center" vertical="center" wrapText="1"/>
    </xf>
    <xf numFmtId="0" fontId="1" fillId="9" borderId="1" xfId="0" applyFont="1" applyFill="1" applyBorder="1" applyAlignment="1">
      <alignment horizontal="center" vertical="center"/>
    </xf>
    <xf numFmtId="0" fontId="1" fillId="2" borderId="17" xfId="0" applyFont="1" applyFill="1" applyBorder="1" applyAlignment="1">
      <alignment horizontal="center" vertical="center"/>
    </xf>
    <xf numFmtId="0" fontId="1" fillId="6" borderId="13" xfId="0" applyFont="1" applyFill="1" applyBorder="1" applyAlignment="1">
      <alignment horizontal="center" vertical="center"/>
    </xf>
    <xf numFmtId="0" fontId="1" fillId="7" borderId="1" xfId="0" applyFont="1" applyFill="1" applyBorder="1" applyAlignment="1">
      <alignment horizontal="center" vertical="center"/>
    </xf>
    <xf numFmtId="15" fontId="0" fillId="0" borderId="1" xfId="0" applyNumberFormat="1" applyBorder="1" applyAlignment="1">
      <alignment horizontal="left" vertical="center" indent="2"/>
    </xf>
    <xf numFmtId="0" fontId="6" fillId="0" borderId="13" xfId="0" applyFont="1" applyBorder="1" applyAlignment="1">
      <alignment horizontal="center" vertical="center" wrapText="1"/>
    </xf>
    <xf numFmtId="0" fontId="0" fillId="5" borderId="13" xfId="0" applyFill="1" applyBorder="1" applyAlignment="1">
      <alignment horizontal="center" vertical="center"/>
    </xf>
    <xf numFmtId="16" fontId="1" fillId="7" borderId="4" xfId="0" applyNumberFormat="1" applyFont="1" applyFill="1" applyBorder="1" applyAlignment="1">
      <alignment horizontal="center" vertical="center"/>
    </xf>
    <xf numFmtId="16" fontId="1" fillId="7" borderId="14" xfId="0" applyNumberFormat="1" applyFont="1" applyFill="1" applyBorder="1" applyAlignment="1">
      <alignment horizontal="center" vertical="center"/>
    </xf>
    <xf numFmtId="0" fontId="0" fillId="5" borderId="1" xfId="0" applyFill="1" applyBorder="1" applyAlignment="1">
      <alignment horizontal="left" vertical="center" indent="2"/>
    </xf>
    <xf numFmtId="0" fontId="0" fillId="5" borderId="14" xfId="0" applyFill="1" applyBorder="1" applyAlignment="1">
      <alignment horizontal="center" vertical="center"/>
    </xf>
    <xf numFmtId="0" fontId="0" fillId="0" borderId="56" xfId="0" applyBorder="1" applyAlignment="1">
      <alignment horizontal="center" vertical="center" wrapText="1"/>
    </xf>
    <xf numFmtId="0" fontId="6" fillId="0" borderId="1" xfId="0" applyFont="1" applyBorder="1" applyAlignment="1">
      <alignment horizontal="center" vertical="center" wrapText="1"/>
    </xf>
    <xf numFmtId="0" fontId="32" fillId="32" borderId="1" xfId="0" applyFont="1" applyFill="1" applyBorder="1" applyAlignment="1">
      <alignment horizontal="center" vertical="center" wrapText="1"/>
    </xf>
    <xf numFmtId="0" fontId="12" fillId="0" borderId="1" xfId="0" applyFont="1" applyBorder="1" applyAlignment="1">
      <alignment horizontal="center" vertical="center" wrapText="1"/>
    </xf>
    <xf numFmtId="16" fontId="1" fillId="7" borderId="1" xfId="0" applyNumberFormat="1" applyFont="1" applyFill="1" applyBorder="1" applyAlignment="1">
      <alignment horizontal="center" vertical="center"/>
    </xf>
    <xf numFmtId="0" fontId="0" fillId="0" borderId="4" xfId="0" applyBorder="1" applyAlignment="1">
      <alignment horizontal="center" vertical="center" wrapText="1"/>
    </xf>
    <xf numFmtId="0" fontId="28" fillId="0" borderId="0" xfId="0" applyFont="1" applyAlignment="1">
      <alignment horizontal="left" vertical="center" indent="2"/>
    </xf>
    <xf numFmtId="0" fontId="0" fillId="6" borderId="0" xfId="0" applyFill="1"/>
    <xf numFmtId="0" fontId="0" fillId="0" borderId="5" xfId="0" applyBorder="1"/>
    <xf numFmtId="0" fontId="0" fillId="0" borderId="6" xfId="0" applyBorder="1"/>
    <xf numFmtId="0" fontId="0" fillId="0" borderId="7" xfId="0" applyBorder="1"/>
    <xf numFmtId="0" fontId="21" fillId="0" borderId="0" xfId="0" applyFont="1"/>
    <xf numFmtId="0" fontId="0" fillId="0" borderId="8" xfId="0" applyBorder="1"/>
    <xf numFmtId="0" fontId="0" fillId="0" borderId="9" xfId="0" applyBorder="1"/>
    <xf numFmtId="0" fontId="0" fillId="5" borderId="0" xfId="0" applyFill="1"/>
    <xf numFmtId="0" fontId="0" fillId="5" borderId="0" xfId="0" applyFill="1" applyAlignment="1">
      <alignment horizontal="center" vertical="center"/>
    </xf>
    <xf numFmtId="0" fontId="21" fillId="5" borderId="0" xfId="0" applyFont="1" applyFill="1"/>
    <xf numFmtId="0" fontId="21" fillId="5"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6" fillId="4" borderId="13"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6" fillId="32" borderId="13" xfId="0" applyFont="1" applyFill="1" applyBorder="1" applyAlignment="1">
      <alignment horizontal="center" vertical="center" wrapText="1"/>
    </xf>
    <xf numFmtId="0" fontId="6" fillId="32" borderId="15" xfId="0" applyFont="1" applyFill="1" applyBorder="1" applyAlignment="1">
      <alignment horizontal="center" vertical="center" wrapText="1"/>
    </xf>
    <xf numFmtId="0" fontId="6" fillId="32" borderId="14" xfId="0" applyFont="1" applyFill="1" applyBorder="1" applyAlignment="1">
      <alignment horizontal="center" vertical="center" wrapText="1"/>
    </xf>
    <xf numFmtId="0" fontId="0" fillId="5" borderId="13" xfId="0" applyFill="1" applyBorder="1" applyAlignment="1">
      <alignment horizontal="center" vertical="center"/>
    </xf>
    <xf numFmtId="0" fontId="0" fillId="5" borderId="15" xfId="0" applyFill="1" applyBorder="1" applyAlignment="1">
      <alignment horizontal="center" vertical="center"/>
    </xf>
    <xf numFmtId="0" fontId="0" fillId="5" borderId="14" xfId="0" applyFill="1" applyBorder="1" applyAlignment="1">
      <alignment horizontal="center" vertical="center"/>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12" fillId="4" borderId="13"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0" fillId="5" borderId="1" xfId="0" applyFill="1" applyBorder="1" applyAlignment="1">
      <alignment horizontal="center" vertical="center" wrapText="1"/>
    </xf>
    <xf numFmtId="16" fontId="1" fillId="7" borderId="17" xfId="0" applyNumberFormat="1" applyFont="1" applyFill="1" applyBorder="1" applyAlignment="1">
      <alignment horizontal="center" vertical="center"/>
    </xf>
    <xf numFmtId="16" fontId="1" fillId="7" borderId="14" xfId="0" applyNumberFormat="1" applyFont="1" applyFill="1" applyBorder="1" applyAlignment="1">
      <alignment horizontal="center" vertical="center"/>
    </xf>
    <xf numFmtId="0" fontId="2" fillId="30" borderId="2" xfId="0" applyFont="1" applyFill="1" applyBorder="1" applyAlignment="1">
      <alignment horizontal="center" vertical="center"/>
    </xf>
    <xf numFmtId="0" fontId="2" fillId="30" borderId="3" xfId="0" applyFont="1" applyFill="1" applyBorder="1" applyAlignment="1">
      <alignment horizontal="center" vertical="center"/>
    </xf>
    <xf numFmtId="0" fontId="2" fillId="30" borderId="4" xfId="0" applyFont="1" applyFill="1" applyBorder="1" applyAlignment="1">
      <alignment horizontal="center" vertical="center"/>
    </xf>
    <xf numFmtId="0" fontId="2" fillId="31" borderId="1" xfId="0" applyFont="1" applyFill="1" applyBorder="1" applyAlignment="1">
      <alignment horizontal="center" vertical="center"/>
    </xf>
    <xf numFmtId="0" fontId="16" fillId="29" borderId="0" xfId="0" applyFont="1" applyFill="1" applyAlignment="1">
      <alignment horizontal="center" vertical="center"/>
    </xf>
    <xf numFmtId="0" fontId="0" fillId="5" borderId="1" xfId="0" applyFill="1" applyBorder="1" applyAlignment="1">
      <alignment horizontal="center" vertical="center"/>
    </xf>
    <xf numFmtId="0" fontId="0" fillId="7" borderId="0" xfId="0" applyFill="1" applyAlignment="1">
      <alignment horizontal="center"/>
    </xf>
    <xf numFmtId="0" fontId="0" fillId="7" borderId="0" xfId="0" applyFill="1" applyAlignment="1">
      <alignment horizontal="center" vertical="center"/>
    </xf>
    <xf numFmtId="0" fontId="1" fillId="6" borderId="0" xfId="0" applyFont="1" applyFill="1" applyAlignment="1">
      <alignment horizontal="center" vertical="center"/>
    </xf>
    <xf numFmtId="0" fontId="2" fillId="6" borderId="52" xfId="0" applyFont="1" applyFill="1" applyBorder="1" applyAlignment="1">
      <alignment horizontal="center" vertical="center"/>
    </xf>
    <xf numFmtId="0" fontId="2" fillId="6" borderId="53" xfId="0" applyFont="1" applyFill="1" applyBorder="1" applyAlignment="1">
      <alignment horizontal="center" vertical="center"/>
    </xf>
    <xf numFmtId="0" fontId="2" fillId="6" borderId="54" xfId="0" applyFont="1" applyFill="1" applyBorder="1" applyAlignment="1">
      <alignment horizontal="center" vertical="center"/>
    </xf>
    <xf numFmtId="0" fontId="1" fillId="0" borderId="0" xfId="0" applyFont="1" applyAlignment="1">
      <alignment horizontal="left" vertical="center" wrapText="1"/>
    </xf>
    <xf numFmtId="0" fontId="0" fillId="9" borderId="0" xfId="0" quotePrefix="1" applyFill="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1" fillId="2" borderId="17" xfId="0" applyFont="1" applyFill="1" applyBorder="1" applyAlignment="1">
      <alignment horizontal="left" vertical="center" wrapText="1"/>
    </xf>
    <xf numFmtId="0" fontId="1" fillId="2" borderId="56" xfId="0" applyFont="1" applyFill="1" applyBorder="1" applyAlignment="1">
      <alignment horizontal="left" vertical="center"/>
    </xf>
    <xf numFmtId="0" fontId="1" fillId="6" borderId="17" xfId="0" applyFont="1" applyFill="1" applyBorder="1" applyAlignment="1">
      <alignment horizontal="left" vertical="center"/>
    </xf>
    <xf numFmtId="0" fontId="1" fillId="6" borderId="21" xfId="0" applyFont="1" applyFill="1" applyBorder="1" applyAlignment="1">
      <alignment horizontal="left" vertical="center"/>
    </xf>
    <xf numFmtId="0" fontId="1" fillId="6" borderId="56" xfId="0" applyFont="1" applyFill="1" applyBorder="1" applyAlignment="1">
      <alignment horizontal="left" vertical="center"/>
    </xf>
    <xf numFmtId="0" fontId="1" fillId="2" borderId="21" xfId="0" applyFont="1" applyFill="1" applyBorder="1" applyAlignment="1">
      <alignment horizontal="left" vertical="center" wrapText="1"/>
    </xf>
    <xf numFmtId="0" fontId="1" fillId="2" borderId="21" xfId="0" applyFont="1" applyFill="1" applyBorder="1" applyAlignment="1">
      <alignment horizontal="left" vertical="center"/>
    </xf>
    <xf numFmtId="0" fontId="13" fillId="6" borderId="0" xfId="0" applyFont="1" applyFill="1" applyAlignment="1">
      <alignment horizontal="center" vertical="center"/>
    </xf>
    <xf numFmtId="0" fontId="1" fillId="2" borderId="1"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14" xfId="0" applyFont="1" applyFill="1" applyBorder="1" applyAlignment="1">
      <alignment horizontal="center" vertical="center"/>
    </xf>
    <xf numFmtId="0" fontId="1" fillId="7" borderId="13" xfId="0" applyFont="1" applyFill="1" applyBorder="1" applyAlignment="1">
      <alignment horizontal="center" vertical="center"/>
    </xf>
    <xf numFmtId="0" fontId="1" fillId="7" borderId="14" xfId="0" applyFont="1" applyFill="1" applyBorder="1" applyAlignment="1">
      <alignment horizontal="center" vertical="center"/>
    </xf>
    <xf numFmtId="0" fontId="1" fillId="7" borderId="15" xfId="0" applyFont="1" applyFill="1" applyBorder="1" applyAlignment="1">
      <alignment horizontal="center" vertical="center"/>
    </xf>
    <xf numFmtId="0" fontId="1" fillId="10" borderId="13" xfId="0" applyFont="1" applyFill="1" applyBorder="1" applyAlignment="1">
      <alignment horizontal="center" vertical="center"/>
    </xf>
    <xf numFmtId="0" fontId="1" fillId="10" borderId="15" xfId="0" applyFont="1" applyFill="1" applyBorder="1" applyAlignment="1">
      <alignment horizontal="center" vertical="center"/>
    </xf>
    <xf numFmtId="0" fontId="1" fillId="10" borderId="14" xfId="0" applyFont="1" applyFill="1" applyBorder="1" applyAlignment="1">
      <alignment horizontal="center" vertical="center"/>
    </xf>
    <xf numFmtId="0" fontId="4" fillId="0" borderId="0" xfId="0" applyFont="1" applyAlignment="1">
      <alignment horizontal="left" vertical="center" wrapText="1"/>
    </xf>
    <xf numFmtId="0" fontId="0" fillId="0" borderId="22"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1" fillId="3" borderId="23" xfId="0" applyFont="1" applyFill="1" applyBorder="1" applyAlignment="1">
      <alignment horizontal="center" vertical="center" wrapText="1"/>
    </xf>
    <xf numFmtId="0" fontId="1" fillId="3" borderId="29" xfId="0" applyFont="1" applyFill="1" applyBorder="1" applyAlignment="1">
      <alignment horizontal="center" vertical="center"/>
    </xf>
    <xf numFmtId="17" fontId="1" fillId="3" borderId="47" xfId="0" applyNumberFormat="1" applyFont="1" applyFill="1" applyBorder="1" applyAlignment="1">
      <alignment horizontal="center" vertical="center" wrapText="1"/>
    </xf>
    <xf numFmtId="17" fontId="1" fillId="3" borderId="48" xfId="0" applyNumberFormat="1" applyFont="1" applyFill="1" applyBorder="1" applyAlignment="1">
      <alignment horizontal="center" vertical="center"/>
    </xf>
    <xf numFmtId="0" fontId="0" fillId="0" borderId="25" xfId="0" applyBorder="1" applyAlignment="1">
      <alignment horizontal="center" vertical="center"/>
    </xf>
    <xf numFmtId="0" fontId="0" fillId="0" borderId="45" xfId="0" applyBorder="1" applyAlignment="1">
      <alignment horizontal="center" vertical="center"/>
    </xf>
    <xf numFmtId="0" fontId="2" fillId="3" borderId="22" xfId="0" applyFont="1" applyFill="1" applyBorder="1" applyAlignment="1">
      <alignment horizontal="center" vertical="center"/>
    </xf>
    <xf numFmtId="0" fontId="2" fillId="3" borderId="32" xfId="0" applyFont="1" applyFill="1" applyBorder="1" applyAlignment="1">
      <alignment horizontal="center" vertical="center"/>
    </xf>
    <xf numFmtId="0" fontId="2" fillId="3" borderId="28" xfId="0" applyFont="1" applyFill="1" applyBorder="1" applyAlignment="1">
      <alignment horizontal="center" vertical="center"/>
    </xf>
    <xf numFmtId="0" fontId="2" fillId="3" borderId="35" xfId="0" applyFont="1" applyFill="1" applyBorder="1" applyAlignment="1">
      <alignment horizontal="center" vertical="center"/>
    </xf>
    <xf numFmtId="0" fontId="0" fillId="0" borderId="28" xfId="0" applyBorder="1" applyAlignment="1">
      <alignment horizontal="center" vertical="center"/>
    </xf>
    <xf numFmtId="0" fontId="0" fillId="0" borderId="47" xfId="0" applyBorder="1" applyAlignment="1">
      <alignment horizontal="center" vertical="center"/>
    </xf>
    <xf numFmtId="0" fontId="0" fillId="0" borderId="49" xfId="0" applyBorder="1" applyAlignment="1">
      <alignment horizontal="center" vertical="center"/>
    </xf>
    <xf numFmtId="0" fontId="0" fillId="0" borderId="48"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vertical="center"/>
    </xf>
    <xf numFmtId="0" fontId="0" fillId="5" borderId="17" xfId="0" applyFill="1" applyBorder="1" applyAlignment="1">
      <alignment horizontal="center" vertical="center"/>
    </xf>
    <xf numFmtId="0" fontId="0" fillId="5" borderId="21" xfId="0" applyFill="1" applyBorder="1" applyAlignment="1">
      <alignment horizontal="center" vertical="center"/>
    </xf>
    <xf numFmtId="0" fontId="0" fillId="5" borderId="31" xfId="0" applyFill="1" applyBorder="1" applyAlignment="1">
      <alignment horizontal="center" vertical="center"/>
    </xf>
    <xf numFmtId="14" fontId="0" fillId="0" borderId="47" xfId="0" quotePrefix="1" applyNumberFormat="1" applyBorder="1" applyAlignment="1">
      <alignment horizontal="center" vertical="center"/>
    </xf>
    <xf numFmtId="14" fontId="0" fillId="0" borderId="49" xfId="0" quotePrefix="1" applyNumberFormat="1" applyBorder="1" applyAlignment="1">
      <alignment horizontal="center" vertical="center"/>
    </xf>
    <xf numFmtId="14" fontId="0" fillId="0" borderId="48" xfId="0" quotePrefix="1" applyNumberFormat="1" applyBorder="1" applyAlignment="1">
      <alignment horizontal="center" vertical="center"/>
    </xf>
    <xf numFmtId="14" fontId="11" fillId="6" borderId="23" xfId="0" quotePrefix="1" applyNumberFormat="1" applyFont="1" applyFill="1" applyBorder="1" applyAlignment="1">
      <alignment horizontal="center" vertical="center"/>
    </xf>
    <xf numFmtId="14" fontId="11" fillId="6" borderId="15" xfId="0" quotePrefix="1" applyNumberFormat="1" applyFont="1" applyFill="1" applyBorder="1" applyAlignment="1">
      <alignment horizontal="center" vertical="center"/>
    </xf>
    <xf numFmtId="14" fontId="11" fillId="6" borderId="29" xfId="0" quotePrefix="1" applyNumberFormat="1" applyFont="1" applyFill="1" applyBorder="1" applyAlignment="1">
      <alignment horizontal="center" vertical="center"/>
    </xf>
    <xf numFmtId="0" fontId="0" fillId="0" borderId="47" xfId="0" quotePrefix="1" applyBorder="1" applyAlignment="1">
      <alignment horizontal="center" vertical="center"/>
    </xf>
    <xf numFmtId="0" fontId="0" fillId="0" borderId="49" xfId="0" quotePrefix="1" applyBorder="1" applyAlignment="1">
      <alignment horizontal="center" vertical="center"/>
    </xf>
    <xf numFmtId="0" fontId="0" fillId="0" borderId="48" xfId="0" quotePrefix="1" applyBorder="1" applyAlignment="1">
      <alignment horizontal="center" vertical="center"/>
    </xf>
    <xf numFmtId="0" fontId="12" fillId="0" borderId="13" xfId="0" applyFont="1" applyBorder="1" applyAlignment="1">
      <alignment horizontal="center" vertical="center"/>
    </xf>
    <xf numFmtId="0" fontId="12" fillId="0" borderId="15" xfId="0" applyFont="1" applyBorder="1" applyAlignment="1">
      <alignment horizontal="center" vertical="center"/>
    </xf>
    <xf numFmtId="0" fontId="12" fillId="0" borderId="14" xfId="0" applyFont="1" applyBorder="1" applyAlignment="1">
      <alignment horizontal="center" vertical="center"/>
    </xf>
    <xf numFmtId="0" fontId="2" fillId="3" borderId="1" xfId="0" applyFont="1" applyFill="1" applyBorder="1" applyAlignment="1">
      <alignment horizontal="center" vertical="center"/>
    </xf>
    <xf numFmtId="0" fontId="2" fillId="3" borderId="13" xfId="0" applyFont="1" applyFill="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2" xfId="0" applyBorder="1" applyAlignment="1">
      <alignment horizontal="center" vertical="center"/>
    </xf>
    <xf numFmtId="0" fontId="0" fillId="0" borderId="44" xfId="0" applyBorder="1" applyAlignment="1">
      <alignment horizontal="center" vertical="center"/>
    </xf>
    <xf numFmtId="0" fontId="0" fillId="0" borderId="24" xfId="0" quotePrefix="1" applyBorder="1" applyAlignment="1">
      <alignment horizontal="center" vertical="center"/>
    </xf>
    <xf numFmtId="0" fontId="0" fillId="0" borderId="6" xfId="0" quotePrefix="1" applyBorder="1" applyAlignment="1">
      <alignment horizontal="center" vertical="center"/>
    </xf>
    <xf numFmtId="0" fontId="0" fillId="0" borderId="7" xfId="0" quotePrefix="1" applyBorder="1" applyAlignment="1">
      <alignment horizontal="center" vertical="center"/>
    </xf>
    <xf numFmtId="0" fontId="0" fillId="0" borderId="18" xfId="0" quotePrefix="1" applyBorder="1" applyAlignment="1">
      <alignment horizontal="center" vertical="center"/>
    </xf>
    <xf numFmtId="0" fontId="0" fillId="0" borderId="19" xfId="0" quotePrefix="1" applyBorder="1" applyAlignment="1">
      <alignment horizontal="center" vertical="center"/>
    </xf>
    <xf numFmtId="0" fontId="0" fillId="0" borderId="26" xfId="0" quotePrefix="1" applyBorder="1" applyAlignment="1">
      <alignment horizontal="center" vertical="center"/>
    </xf>
    <xf numFmtId="0" fontId="0" fillId="0" borderId="16" xfId="0" applyBorder="1" applyAlignment="1">
      <alignment horizontal="center" vertical="center"/>
    </xf>
    <xf numFmtId="0" fontId="0" fillId="0" borderId="27" xfId="0" applyBorder="1" applyAlignment="1">
      <alignment horizontal="center" vertical="center"/>
    </xf>
    <xf numFmtId="0" fontId="0" fillId="0" borderId="20"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12" xfId="0" applyBorder="1" applyAlignment="1">
      <alignment horizontal="center" vertical="center"/>
    </xf>
    <xf numFmtId="0" fontId="0" fillId="5" borderId="16" xfId="0" applyFill="1" applyBorder="1" applyAlignment="1">
      <alignment horizontal="center" vertical="center"/>
    </xf>
    <xf numFmtId="0" fontId="0" fillId="5" borderId="20" xfId="0" applyFill="1" applyBorder="1" applyAlignment="1">
      <alignment horizontal="center" vertical="center"/>
    </xf>
    <xf numFmtId="0" fontId="0" fillId="5" borderId="30" xfId="0" applyFill="1" applyBorder="1" applyAlignment="1">
      <alignment horizontal="center" vertical="center"/>
    </xf>
    <xf numFmtId="0" fontId="0" fillId="5" borderId="35" xfId="0"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17" fontId="1" fillId="3" borderId="2" xfId="0" applyNumberFormat="1" applyFont="1" applyFill="1" applyBorder="1" applyAlignment="1">
      <alignment horizontal="center" vertical="center"/>
    </xf>
    <xf numFmtId="17" fontId="1" fillId="3" borderId="4" xfId="0" applyNumberFormat="1" applyFont="1" applyFill="1" applyBorder="1" applyAlignment="1">
      <alignment horizontal="center" vertical="center"/>
    </xf>
    <xf numFmtId="14" fontId="0" fillId="0" borderId="18" xfId="0" quotePrefix="1" applyNumberFormat="1" applyBorder="1" applyAlignment="1">
      <alignment horizontal="center" vertical="center"/>
    </xf>
    <xf numFmtId="14" fontId="0" fillId="0" borderId="19" xfId="0" quotePrefix="1" applyNumberFormat="1" applyBorder="1" applyAlignment="1">
      <alignment horizontal="center" vertical="center"/>
    </xf>
    <xf numFmtId="14" fontId="0" fillId="0" borderId="26" xfId="0" quotePrefix="1" applyNumberFormat="1" applyBorder="1" applyAlignment="1">
      <alignment horizontal="center" vertical="center"/>
    </xf>
    <xf numFmtId="14" fontId="0" fillId="0" borderId="2" xfId="0" quotePrefix="1" applyNumberFormat="1" applyBorder="1" applyAlignment="1">
      <alignment horizontal="center" vertical="center"/>
    </xf>
    <xf numFmtId="14" fontId="0" fillId="0" borderId="3" xfId="0" quotePrefix="1" applyNumberFormat="1" applyBorder="1" applyAlignment="1">
      <alignment horizontal="center" vertical="center"/>
    </xf>
    <xf numFmtId="14" fontId="0" fillId="0" borderId="34" xfId="0" quotePrefix="1" applyNumberFormat="1" applyBorder="1" applyAlignment="1">
      <alignment horizontal="center" vertical="center"/>
    </xf>
    <xf numFmtId="14" fontId="0" fillId="0" borderId="36" xfId="0" quotePrefix="1" applyNumberFormat="1" applyBorder="1" applyAlignment="1">
      <alignment horizontal="center" vertical="center"/>
    </xf>
    <xf numFmtId="14" fontId="0" fillId="0" borderId="37" xfId="0" quotePrefix="1" applyNumberFormat="1" applyBorder="1" applyAlignment="1">
      <alignment horizontal="center" vertical="center"/>
    </xf>
    <xf numFmtId="14" fontId="0" fillId="0" borderId="38" xfId="0" quotePrefix="1" applyNumberFormat="1" applyBorder="1" applyAlignment="1">
      <alignment horizontal="center" vertical="center"/>
    </xf>
    <xf numFmtId="17" fontId="1" fillId="3" borderId="3"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0" xfId="0" applyBorder="1" applyAlignment="1">
      <alignment horizontal="left" vertical="top" wrapText="1"/>
    </xf>
    <xf numFmtId="0" fontId="0" fillId="0" borderId="0" xfId="0" applyAlignment="1">
      <alignment horizontal="left" vertical="top" wrapText="1"/>
    </xf>
  </cellXfs>
  <cellStyles count="4">
    <cellStyle name="Normal" xfId="0" builtinId="0"/>
    <cellStyle name="Normal 2" xfId="1" xr:uid="{D843E9BE-6B2E-4D4F-B31F-7B04B0F415E1}"/>
    <cellStyle name="Normal 3" xfId="2" xr:uid="{574A0B19-910B-4115-B698-4C6351B99DED}"/>
    <cellStyle name="Normal 4" xfId="3" xr:uid="{86152D64-73D1-4792-88BA-5489CAE7F62C}"/>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6803</xdr:colOff>
      <xdr:row>2</xdr:row>
      <xdr:rowOff>43542</xdr:rowOff>
    </xdr:from>
    <xdr:to>
      <xdr:col>15</xdr:col>
      <xdr:colOff>6802</xdr:colOff>
      <xdr:row>13</xdr:row>
      <xdr:rowOff>7938</xdr:rowOff>
    </xdr:to>
    <xdr:pic>
      <xdr:nvPicPr>
        <xdr:cNvPr id="2" name="Picture 2">
          <a:extLst>
            <a:ext uri="{FF2B5EF4-FFF2-40B4-BE49-F238E27FC236}">
              <a16:creationId xmlns:a16="http://schemas.microsoft.com/office/drawing/2014/main" id="{212B57D4-F283-4392-BEC2-8721069C5A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7991" y="527730"/>
          <a:ext cx="13676311" cy="3909333"/>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114852</xdr:colOff>
      <xdr:row>84</xdr:row>
      <xdr:rowOff>26502</xdr:rowOff>
    </xdr:from>
    <xdr:to>
      <xdr:col>7</xdr:col>
      <xdr:colOff>194366</xdr:colOff>
      <xdr:row>86</xdr:row>
      <xdr:rowOff>8831</xdr:rowOff>
    </xdr:to>
    <xdr:sp macro="" textlink="">
      <xdr:nvSpPr>
        <xdr:cNvPr id="2" name="Right Brace 1">
          <a:extLst>
            <a:ext uri="{FF2B5EF4-FFF2-40B4-BE49-F238E27FC236}">
              <a16:creationId xmlns:a16="http://schemas.microsoft.com/office/drawing/2014/main" id="{7F5BF411-DB96-4627-955D-0D41F1F16D17}"/>
            </a:ext>
          </a:extLst>
        </xdr:cNvPr>
        <xdr:cNvSpPr/>
      </xdr:nvSpPr>
      <xdr:spPr>
        <a:xfrm>
          <a:off x="8604802" y="15498277"/>
          <a:ext cx="79514" cy="363329"/>
        </a:xfrm>
        <a:prstGeom prst="rightBrace">
          <a:avLst>
            <a:gd name="adj1" fmla="val 52451"/>
            <a:gd name="adj2" fmla="val 48889"/>
          </a:avLst>
        </a:prstGeom>
        <a:ln w="15875">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9</xdr:col>
      <xdr:colOff>53010</xdr:colOff>
      <xdr:row>137</xdr:row>
      <xdr:rowOff>0</xdr:rowOff>
    </xdr:from>
    <xdr:to>
      <xdr:col>9</xdr:col>
      <xdr:colOff>132524</xdr:colOff>
      <xdr:row>139</xdr:row>
      <xdr:rowOff>35338</xdr:rowOff>
    </xdr:to>
    <xdr:sp macro="" textlink="">
      <xdr:nvSpPr>
        <xdr:cNvPr id="3" name="Right Brace 2">
          <a:extLst>
            <a:ext uri="{FF2B5EF4-FFF2-40B4-BE49-F238E27FC236}">
              <a16:creationId xmlns:a16="http://schemas.microsoft.com/office/drawing/2014/main" id="{9994D861-AB38-4745-9D80-9A4A58535D52}"/>
            </a:ext>
          </a:extLst>
        </xdr:cNvPr>
        <xdr:cNvSpPr/>
      </xdr:nvSpPr>
      <xdr:spPr>
        <a:xfrm>
          <a:off x="10568610" y="24599900"/>
          <a:ext cx="79514" cy="365538"/>
        </a:xfrm>
        <a:prstGeom prst="rightBrace">
          <a:avLst>
            <a:gd name="adj1" fmla="val 52451"/>
            <a:gd name="adj2" fmla="val 48889"/>
          </a:avLst>
        </a:prstGeom>
        <a:ln w="15875">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9</xdr:col>
      <xdr:colOff>220870</xdr:colOff>
      <xdr:row>137</xdr:row>
      <xdr:rowOff>35340</xdr:rowOff>
    </xdr:from>
    <xdr:to>
      <xdr:col>16</xdr:col>
      <xdr:colOff>750957</xdr:colOff>
      <xdr:row>139</xdr:row>
      <xdr:rowOff>61844</xdr:rowOff>
    </xdr:to>
    <xdr:sp macro="" textlink="">
      <xdr:nvSpPr>
        <xdr:cNvPr id="4" name="TextBox 3">
          <a:extLst>
            <a:ext uri="{FF2B5EF4-FFF2-40B4-BE49-F238E27FC236}">
              <a16:creationId xmlns:a16="http://schemas.microsoft.com/office/drawing/2014/main" id="{5427FFD7-60B8-4365-9192-D84D7EF47BC5}"/>
            </a:ext>
          </a:extLst>
        </xdr:cNvPr>
        <xdr:cNvSpPr txBox="1"/>
      </xdr:nvSpPr>
      <xdr:spPr>
        <a:xfrm>
          <a:off x="10739645" y="24635240"/>
          <a:ext cx="1228587" cy="3567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Net WIP zero</a:t>
          </a:r>
        </a:p>
      </xdr:txBody>
    </xdr:sp>
    <xdr:clientData/>
  </xdr:twoCellAnchor>
  <xdr:twoCellAnchor>
    <xdr:from>
      <xdr:col>9</xdr:col>
      <xdr:colOff>61845</xdr:colOff>
      <xdr:row>143</xdr:row>
      <xdr:rowOff>26504</xdr:rowOff>
    </xdr:from>
    <xdr:to>
      <xdr:col>9</xdr:col>
      <xdr:colOff>141359</xdr:colOff>
      <xdr:row>145</xdr:row>
      <xdr:rowOff>61842</xdr:rowOff>
    </xdr:to>
    <xdr:sp macro="" textlink="">
      <xdr:nvSpPr>
        <xdr:cNvPr id="5" name="Right Brace 4">
          <a:extLst>
            <a:ext uri="{FF2B5EF4-FFF2-40B4-BE49-F238E27FC236}">
              <a16:creationId xmlns:a16="http://schemas.microsoft.com/office/drawing/2014/main" id="{8D1BE96E-4A01-4FB0-A5C7-0D4054C383A4}"/>
            </a:ext>
          </a:extLst>
        </xdr:cNvPr>
        <xdr:cNvSpPr/>
      </xdr:nvSpPr>
      <xdr:spPr>
        <a:xfrm>
          <a:off x="10577445" y="25620179"/>
          <a:ext cx="82689" cy="362363"/>
        </a:xfrm>
        <a:prstGeom prst="rightBrace">
          <a:avLst>
            <a:gd name="adj1" fmla="val 52451"/>
            <a:gd name="adj2" fmla="val 48889"/>
          </a:avLst>
        </a:prstGeom>
        <a:ln w="15875">
          <a:solidFill>
            <a:schemeClr val="accent2">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9</xdr:col>
      <xdr:colOff>176696</xdr:colOff>
      <xdr:row>143</xdr:row>
      <xdr:rowOff>79514</xdr:rowOff>
    </xdr:from>
    <xdr:to>
      <xdr:col>16</xdr:col>
      <xdr:colOff>706783</xdr:colOff>
      <xdr:row>145</xdr:row>
      <xdr:rowOff>106018</xdr:rowOff>
    </xdr:to>
    <xdr:sp macro="" textlink="">
      <xdr:nvSpPr>
        <xdr:cNvPr id="6" name="TextBox 5">
          <a:extLst>
            <a:ext uri="{FF2B5EF4-FFF2-40B4-BE49-F238E27FC236}">
              <a16:creationId xmlns:a16="http://schemas.microsoft.com/office/drawing/2014/main" id="{A74C6E50-A835-458B-A693-3D268616902F}"/>
            </a:ext>
          </a:extLst>
        </xdr:cNvPr>
        <xdr:cNvSpPr txBox="1"/>
      </xdr:nvSpPr>
      <xdr:spPr>
        <a:xfrm>
          <a:off x="10695471" y="25670014"/>
          <a:ext cx="1244462" cy="3598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Net Input cost zero</a:t>
          </a:r>
        </a:p>
      </xdr:txBody>
    </xdr:sp>
    <xdr:clientData/>
  </xdr:twoCellAnchor>
</xdr:wsDr>
</file>

<file path=xl/persons/person.xml><?xml version="1.0" encoding="utf-8"?>
<personList xmlns="http://schemas.microsoft.com/office/spreadsheetml/2018/threadedcomments" xmlns:x="http://schemas.openxmlformats.org/spreadsheetml/2006/main">
  <person displayName="Hoang Quoc Dat Kenway" id="{2920EFAE-7A21-43FB-8C0D-D5DAB7101B10}" userId="S::quocdat.hoang@stengg.com::a802ecaa-97f9-4122-bc68-f1bb3347832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3" dT="2026-09-18T06:54:39.32" personId="{2920EFAE-7A21-43FB-8C0D-D5DAB7101B10}" id="{2140F5B6-4A02-4C6C-B9B9-153AEF80B352}">
    <text>Load lump sum per month (Delta only)
GL AP: Dr 9*0 / Cr 9*1
Open AP later: Dr 9*1 / Cr AP
GL AR: Dr 9*2 / Cr 9*0
Open AR later: Dr AR / Cr 9*2</text>
  </threadedComment>
  <threadedComment ref="G4" dT="2026-09-18T06:59:15.48" personId="{2920EFAE-7A21-43FB-8C0D-D5DAB7101B10}" id="{D7B531F6-9ED3-42FE-A85D-B1BF2C0E5773}">
    <text>&gt; Open GL load per month in Lump sum (Delta only):
Dr/Cr Open GL
Cr/Dr GL Mig
At cutoff date reverse them all then load the detail OI on cutoff date</text>
  </threadedComment>
  <threadedComment ref="G5" dT="2026-09-18T06:59:15.48" personId="{2920EFAE-7A21-43FB-8C0D-D5DAB7101B10}" id="{ECA6D598-E7F4-4E9D-AC5D-838EC801C6D2}">
    <text>&gt; Inventory same as Open AR &amp; Open AP Lump sum (Delta only):
Dr Inventory Mig
Cr GL Mig
Auto offset against Inventory balance temp later:
Dr Inventory
Cr Inventory Mig</text>
  </threadedComment>
  <threadedComment ref="G30" dT="2026-09-22T03:49:04.24" personId="{2920EFAE-7A21-43FB-8C0D-D5DAB7101B10}" id="{E703D027-638D-4AF5-9148-E4E6C5E10AC8}">
    <text>1 &amp; 3+4 no reversal due to not touching GL directly (If compare the Total of 9*1/*2/*5/*6/*3 with Actual AR/AP/Inventory posted then you will see a gap of missing on Aug postings but since these are Mig GLs so summing them up with 9*0 still balance to 0 with or without Aug postings)
2 &amp; 5 reversal due to direct post on Asset GLs &amp; Open GLs</text>
  </threadedComment>
</ThreadedComments>
</file>

<file path=xl/threadedComments/threadedComment2.xml><?xml version="1.0" encoding="utf-8"?>
<ThreadedComments xmlns="http://schemas.microsoft.com/office/spreadsheetml/2018/threadedcomments" xmlns:x="http://schemas.openxmlformats.org/spreadsheetml/2006/main">
  <threadedComment ref="E19" dT="2026-09-22T09:02:36.23" personId="{2920EFAE-7A21-43FB-8C0D-D5DAB7101B10}" id="{BACA6D4C-6C92-4E7B-94A4-14D1D9CD3CFF}">
    <text>ACN to sum Inventory lines of 2025 to put under Mig Inventory</text>
  </threadedComment>
  <threadedComment ref="C20" dT="2026-09-22T08:29:47.85" personId="{2920EFAE-7A21-43FB-8C0D-D5DAB7101B10}" id="{86699ABD-3DDE-4333-B68D-86AB6FA5253A}">
    <text>ACN has to prepare via Asset Class -&gt; GL Acq &amp; Accum.Dep -&gt; Group records by month -&gt; Populate the template</text>
  </threadedComment>
</ThreadedComments>
</file>

<file path=xl/threadedComments/threadedComment3.xml><?xml version="1.0" encoding="utf-8"?>
<ThreadedComments xmlns="http://schemas.microsoft.com/office/spreadsheetml/2018/threadedcomments" xmlns:x="http://schemas.openxmlformats.org/spreadsheetml/2006/main">
  <threadedComment ref="I8" dT="2026-06-26T09:03:26.70" personId="{2920EFAE-7A21-43FB-8C0D-D5DAB7101B10}" id="{97F691CF-38F9-412E-AFF2-AB14ECEEC2AD}">
    <text>This may differ from 31st Dec 2025 due to part of these open items get CLEARED in 2026</text>
  </threadedComment>
  <threadedComment ref="I18" dT="2026-06-26T09:03:30.25" personId="{2920EFAE-7A21-43FB-8C0D-D5DAB7101B10}" id="{332199AC-ED9E-49F2-A536-6F273647C445}">
    <text>This may differ from 31st Dec 2025 due to part of these open items get CLEARED in 2026</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5-25T04:35:48.78" personId="{2920EFAE-7A21-43FB-8C0D-D5DAB7101B10}" id="{38A44E51-1208-4877-8E14-E23CFE369053}">
    <text>FINDING:
Wrong understanding</text>
  </threadedComment>
  <threadedComment ref="C4" dT="2026-05-25T04:35:58.35" personId="{2920EFAE-7A21-43FB-8C0D-D5DAB7101B10}" id="{D359C89C-3A5A-4A09-B19A-66B8861148A3}">
    <text>FINDING:
Wrong understanding</text>
  </threadedComment>
  <threadedComment ref="D4" dT="2026-05-25T04:30:12.68" personId="{2920EFAE-7A21-43FB-8C0D-D5DAB7101B10}" id="{07818701-5D3F-481A-96CA-7D8EBACB7E9E}">
    <text>FINDING:
Missing / Wrongly fill with CC</text>
  </threadedComment>
  <threadedComment ref="E4" dT="2026-05-25T04:30:53.84" personId="{2920EFAE-7A21-43FB-8C0D-D5DAB7101B10}" id="{A9155D62-C2E3-4D41-9796-044F0F11BB65}">
    <text>FINDING:
Wrongly put for BS</text>
  </threadedComment>
  <threadedComment ref="F4" dT="2026-05-25T04:31:03.05" personId="{2920EFAE-7A21-43FB-8C0D-D5DAB7101B10}" id="{408E9B9D-97DE-4F47-A683-46FFC3B41462}">
    <text>FINDING:
Missing</text>
  </threadedComment>
  <threadedComment ref="G4" dT="2026-05-25T04:31:15.32" personId="{2920EFAE-7A21-43FB-8C0D-D5DAB7101B10}" id="{9D270AC8-0A8B-4363-8EE2-7BEFCF81D537}">
    <text>FINDING:
Missing</text>
  </threadedComment>
  <threadedComment ref="H4" dT="2026-05-25T04:31:22.45" personId="{2920EFAE-7A21-43FB-8C0D-D5DAB7101B10}" id="{FF6A6A58-1F1E-4339-B999-C37E05026D1A}">
    <text>FINDING:
Missing</text>
  </threadedComment>
  <threadedComment ref="I4" dT="2026-05-25T04:31:46.04" personId="{2920EFAE-7A21-43FB-8C0D-D5DAB7101B10}" id="{A42F0CA2-1B40-4746-BA75-DF1F403729AE}">
    <text>FINDING:
Wrongly selected</text>
  </threadedComment>
  <threadedComment ref="B32" dT="2026-05-25T04:35:25.29" personId="{2920EFAE-7A21-43FB-8C0D-D5DAB7101B10}" id="{7CA63F4A-12F7-4B05-9563-A8F2A6BFF1E0}">
    <text>FINDING:
Missing Asset SubNo.</text>
  </threadedComment>
  <threadedComment ref="C32" dT="2026-05-25T04:32:13.66" personId="{2920EFAE-7A21-43FB-8C0D-D5DAB7101B10}" id="{A73B61B3-0B76-4C08-9F6F-6195E6B302D9}">
    <text>FINDING:
Wrong understanding</text>
  </threadedComment>
  <threadedComment ref="D32" dT="2026-05-25T04:32:21.10" personId="{2920EFAE-7A21-43FB-8C0D-D5DAB7101B10}" id="{F9034908-F74B-4043-A9DC-72C9E0033C24}">
    <text>FINDING:
Missing</text>
  </threadedComment>
  <threadedComment ref="D38" dT="2026-05-25T04:32:36.87" personId="{2920EFAE-7A21-43FB-8C0D-D5DAB7101B10}" id="{8B090461-5618-432A-AC6A-744212C9C304}">
    <text>FINDING:
Wrong understanding</text>
  </threadedComment>
  <threadedComment ref="B44" dT="2026-05-25T04:34:56.31" personId="{2920EFAE-7A21-43FB-8C0D-D5DAB7101B10}" id="{C15A7600-92B5-4F4D-B509-CF7896BF58A0}">
    <text>FINDING:
Missing + Wrong understanding</text>
  </threadedComment>
  <threadedComment ref="E44" dT="2026-05-25T04:33:29.65" personId="{2920EFAE-7A21-43FB-8C0D-D5DAB7101B10}" id="{5B01ACEA-8673-4265-9483-F80D500B3E5F}">
    <text>FINDING:
Recheck understanding</text>
  </threadedComment>
  <threadedComment ref="F44" dT="2026-05-25T04:33:45.55" personId="{2920EFAE-7A21-43FB-8C0D-D5DAB7101B10}" id="{C83DE4A6-C738-401A-8F7B-AC07BCC5FE64}">
    <text>FINDING:
Wrong understanding</text>
  </threadedComment>
</ThreadedComments>
</file>

<file path=xl/threadedComments/threadedComment5.xml><?xml version="1.0" encoding="utf-8"?>
<ThreadedComments xmlns="http://schemas.microsoft.com/office/spreadsheetml/2018/threadedcomments" xmlns:x="http://schemas.openxmlformats.org/spreadsheetml/2006/main">
  <threadedComment ref="C17" dT="2026-04-07T00:59:03.13" personId="{2920EFAE-7A21-43FB-8C0D-D5DAB7101B10}" id="{FA784C6A-A253-4B1B-A59C-363C6A3F003D}">
    <text>1 Migration Open BS
1 Migration Normal AR
1 Migration Downpayment AR
1 Migration Normal AP
1 Migration Downpayment AP
1 Migration Inventory</text>
  </threadedComment>
</ThreadedComments>
</file>

<file path=xl/threadedComments/threadedComment6.xml><?xml version="1.0" encoding="utf-8"?>
<ThreadedComments xmlns="http://schemas.microsoft.com/office/spreadsheetml/2018/threadedcomments" xmlns:x="http://schemas.openxmlformats.org/spreadsheetml/2006/main">
  <threadedComment ref="C31" dT="2026-04-03T03:22:09.60" personId="{2920EFAE-7A21-43FB-8C0D-D5DAB7101B10}" id="{31A57323-7DF0-4B2F-9222-8FFF99F19E88}">
    <text>If needed then in 3 Migration Templates or 1 Migration Template with Sum, we will have to fill in Open items per month-end (6 months in total)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6A2B8-BB06-4C4C-A13E-978D709AE3D5}">
  <dimension ref="A2:I34"/>
  <sheetViews>
    <sheetView tabSelected="1" topLeftCell="C7" zoomScaleNormal="100" workbookViewId="0">
      <selection activeCell="G31" sqref="G31"/>
    </sheetView>
  </sheetViews>
  <sheetFormatPr defaultRowHeight="14.5" x14ac:dyDescent="0.35"/>
  <cols>
    <col min="1" max="1" width="4.453125" style="384" customWidth="1"/>
    <col min="2" max="2" width="88.54296875" bestFit="1" customWidth="1"/>
    <col min="3" max="3" width="17.6328125" customWidth="1"/>
    <col min="4" max="4" width="11.453125" customWidth="1"/>
    <col min="5" max="5" width="11.54296875" bestFit="1" customWidth="1"/>
    <col min="6" max="6" width="4.453125" style="2" customWidth="1"/>
    <col min="7" max="7" width="129.453125" bestFit="1" customWidth="1"/>
  </cols>
  <sheetData>
    <row r="2" spans="1:9" x14ac:dyDescent="0.35">
      <c r="B2" s="408" t="s">
        <v>1039</v>
      </c>
      <c r="C2" s="408" t="s">
        <v>1040</v>
      </c>
      <c r="E2" t="s">
        <v>1041</v>
      </c>
      <c r="G2" s="464" t="s">
        <v>1042</v>
      </c>
    </row>
    <row r="3" spans="1:9" ht="29" x14ac:dyDescent="0.35">
      <c r="A3" s="384">
        <v>1</v>
      </c>
      <c r="B3" s="40" t="s">
        <v>1043</v>
      </c>
      <c r="C3" t="s">
        <v>1044</v>
      </c>
      <c r="F3" s="2">
        <v>1</v>
      </c>
      <c r="G3" s="465" t="s">
        <v>1045</v>
      </c>
      <c r="I3" s="79" t="s">
        <v>1046</v>
      </c>
    </row>
    <row r="4" spans="1:9" ht="29" x14ac:dyDescent="0.35">
      <c r="A4" s="384">
        <v>2</v>
      </c>
      <c r="B4" s="40" t="s">
        <v>1047</v>
      </c>
      <c r="C4" t="s">
        <v>1048</v>
      </c>
      <c r="F4" s="2">
        <v>2</v>
      </c>
      <c r="G4" s="465" t="s">
        <v>1049</v>
      </c>
      <c r="I4" s="79" t="s">
        <v>1050</v>
      </c>
    </row>
    <row r="5" spans="1:9" ht="29" x14ac:dyDescent="0.35">
      <c r="A5" s="384">
        <v>3</v>
      </c>
      <c r="B5" s="40" t="s">
        <v>1051</v>
      </c>
      <c r="C5" t="s">
        <v>1048</v>
      </c>
      <c r="F5" s="2">
        <v>3</v>
      </c>
      <c r="G5" s="465" t="s">
        <v>1052</v>
      </c>
      <c r="I5" s="79" t="s">
        <v>1053</v>
      </c>
    </row>
    <row r="6" spans="1:9" ht="29" x14ac:dyDescent="0.35">
      <c r="A6" s="384">
        <v>4</v>
      </c>
      <c r="B6" s="40" t="s">
        <v>1054</v>
      </c>
      <c r="C6" t="s">
        <v>1048</v>
      </c>
      <c r="F6" s="2">
        <v>4</v>
      </c>
      <c r="G6" s="466" t="s">
        <v>1055</v>
      </c>
    </row>
    <row r="7" spans="1:9" ht="29" x14ac:dyDescent="0.35">
      <c r="A7" s="384">
        <v>5</v>
      </c>
      <c r="B7" s="40" t="s">
        <v>1056</v>
      </c>
      <c r="C7" t="s">
        <v>1057</v>
      </c>
      <c r="F7" s="2">
        <v>5</v>
      </c>
      <c r="G7" s="466" t="s">
        <v>1058</v>
      </c>
    </row>
    <row r="8" spans="1:9" x14ac:dyDescent="0.35">
      <c r="A8" s="384">
        <v>6</v>
      </c>
      <c r="B8" s="40" t="s">
        <v>1059</v>
      </c>
      <c r="C8" t="s">
        <v>1044</v>
      </c>
      <c r="F8" s="2">
        <v>6</v>
      </c>
      <c r="G8" s="467" t="s">
        <v>1060</v>
      </c>
    </row>
    <row r="9" spans="1:9" x14ac:dyDescent="0.35">
      <c r="A9" s="384">
        <v>7</v>
      </c>
      <c r="B9" s="40" t="s">
        <v>1061</v>
      </c>
      <c r="C9" t="s">
        <v>1048</v>
      </c>
      <c r="F9" s="2">
        <v>7</v>
      </c>
      <c r="G9" s="468" t="s">
        <v>1047</v>
      </c>
    </row>
    <row r="10" spans="1:9" x14ac:dyDescent="0.35">
      <c r="A10" s="384">
        <v>8</v>
      </c>
      <c r="B10" s="40" t="s">
        <v>1062</v>
      </c>
      <c r="C10" t="s">
        <v>1063</v>
      </c>
      <c r="F10" s="2">
        <v>8</v>
      </c>
      <c r="G10" s="468" t="s">
        <v>1051</v>
      </c>
    </row>
    <row r="11" spans="1:9" x14ac:dyDescent="0.35">
      <c r="A11" s="384">
        <v>9</v>
      </c>
      <c r="B11" s="40" t="s">
        <v>1064</v>
      </c>
      <c r="C11" t="s">
        <v>1048</v>
      </c>
      <c r="F11" s="2">
        <v>9</v>
      </c>
      <c r="G11" s="469" t="s">
        <v>1054</v>
      </c>
    </row>
    <row r="12" spans="1:9" x14ac:dyDescent="0.35">
      <c r="A12" s="384">
        <v>10</v>
      </c>
      <c r="B12" s="40" t="s">
        <v>1065</v>
      </c>
      <c r="C12" t="s">
        <v>1048</v>
      </c>
      <c r="F12" s="2">
        <v>10</v>
      </c>
      <c r="G12" s="468" t="s">
        <v>1056</v>
      </c>
    </row>
    <row r="13" spans="1:9" x14ac:dyDescent="0.35">
      <c r="A13" s="384">
        <v>11</v>
      </c>
      <c r="B13" s="40" t="s">
        <v>1066</v>
      </c>
      <c r="C13" t="s">
        <v>1048</v>
      </c>
      <c r="F13" s="2">
        <v>11</v>
      </c>
      <c r="G13" s="468" t="s">
        <v>1059</v>
      </c>
    </row>
    <row r="14" spans="1:9" x14ac:dyDescent="0.35">
      <c r="A14" s="384">
        <v>12</v>
      </c>
      <c r="B14" s="40" t="s">
        <v>1067</v>
      </c>
      <c r="C14" t="s">
        <v>1057</v>
      </c>
      <c r="F14" s="2">
        <v>12</v>
      </c>
      <c r="G14" s="468" t="s">
        <v>1068</v>
      </c>
    </row>
    <row r="15" spans="1:9" x14ac:dyDescent="0.35">
      <c r="F15" s="2">
        <v>13</v>
      </c>
      <c r="G15" s="469" t="s">
        <v>1069</v>
      </c>
    </row>
    <row r="16" spans="1:9" x14ac:dyDescent="0.35">
      <c r="F16" s="2">
        <v>14</v>
      </c>
      <c r="G16" s="470" t="s">
        <v>1070</v>
      </c>
    </row>
    <row r="17" spans="6:7" x14ac:dyDescent="0.35">
      <c r="F17" s="2">
        <v>15</v>
      </c>
      <c r="G17" s="470" t="s">
        <v>1071</v>
      </c>
    </row>
    <row r="18" spans="6:7" x14ac:dyDescent="0.35">
      <c r="F18" s="2">
        <v>16</v>
      </c>
      <c r="G18" s="470" t="s">
        <v>1072</v>
      </c>
    </row>
    <row r="19" spans="6:7" x14ac:dyDescent="0.35">
      <c r="F19" s="2">
        <v>17</v>
      </c>
      <c r="G19" s="470" t="s">
        <v>1073</v>
      </c>
    </row>
    <row r="20" spans="6:7" x14ac:dyDescent="0.35">
      <c r="F20" s="2">
        <v>18</v>
      </c>
      <c r="G20" s="470" t="s">
        <v>1074</v>
      </c>
    </row>
    <row r="21" spans="6:7" x14ac:dyDescent="0.35">
      <c r="F21" s="2">
        <v>19</v>
      </c>
      <c r="G21" s="470" t="s">
        <v>1075</v>
      </c>
    </row>
    <row r="22" spans="6:7" x14ac:dyDescent="0.35">
      <c r="F22" s="2">
        <v>20</v>
      </c>
      <c r="G22" s="470" t="s">
        <v>1076</v>
      </c>
    </row>
    <row r="23" spans="6:7" x14ac:dyDescent="0.35">
      <c r="F23" s="2">
        <v>21</v>
      </c>
      <c r="G23" s="470" t="s">
        <v>1077</v>
      </c>
    </row>
    <row r="24" spans="6:7" x14ac:dyDescent="0.35">
      <c r="F24" s="2">
        <v>22</v>
      </c>
      <c r="G24" s="470" t="s">
        <v>1078</v>
      </c>
    </row>
    <row r="25" spans="6:7" x14ac:dyDescent="0.35">
      <c r="F25" s="2">
        <v>23</v>
      </c>
      <c r="G25" s="470" t="s">
        <v>1079</v>
      </c>
    </row>
    <row r="26" spans="6:7" x14ac:dyDescent="0.35">
      <c r="F26" s="2">
        <v>24</v>
      </c>
      <c r="G26" s="470" t="s">
        <v>1080</v>
      </c>
    </row>
    <row r="27" spans="6:7" x14ac:dyDescent="0.35">
      <c r="F27" s="2">
        <v>25</v>
      </c>
      <c r="G27" s="470" t="s">
        <v>1081</v>
      </c>
    </row>
    <row r="28" spans="6:7" x14ac:dyDescent="0.35">
      <c r="F28" s="2">
        <v>26</v>
      </c>
      <c r="G28" s="470" t="s">
        <v>1082</v>
      </c>
    </row>
    <row r="29" spans="6:7" x14ac:dyDescent="0.35">
      <c r="F29" s="2">
        <v>27</v>
      </c>
      <c r="G29" s="470" t="s">
        <v>1061</v>
      </c>
    </row>
    <row r="30" spans="6:7" ht="29.5" thickBot="1" x14ac:dyDescent="0.4">
      <c r="F30" s="2">
        <v>29</v>
      </c>
      <c r="G30" s="471" t="s">
        <v>1148</v>
      </c>
    </row>
    <row r="31" spans="6:7" x14ac:dyDescent="0.35">
      <c r="F31" s="2">
        <v>30</v>
      </c>
      <c r="G31" s="472" t="s">
        <v>1064</v>
      </c>
    </row>
    <row r="32" spans="6:7" x14ac:dyDescent="0.35">
      <c r="F32" s="2">
        <v>31</v>
      </c>
      <c r="G32" s="472" t="s">
        <v>1065</v>
      </c>
    </row>
    <row r="33" spans="6:7" x14ac:dyDescent="0.35">
      <c r="F33" s="2">
        <v>32</v>
      </c>
      <c r="G33" s="473" t="s">
        <v>1083</v>
      </c>
    </row>
    <row r="34" spans="6:7" ht="15" thickBot="1" x14ac:dyDescent="0.4">
      <c r="F34" s="2">
        <v>33</v>
      </c>
      <c r="G34" s="474" t="s">
        <v>1084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0839-ABD2-46EC-AF2C-AE1F1E0BDECB}">
  <dimension ref="A1:M30"/>
  <sheetViews>
    <sheetView topLeftCell="A17" zoomScaleNormal="100" zoomScaleSheetLayoutView="93" workbookViewId="0"/>
  </sheetViews>
  <sheetFormatPr defaultColWidth="8.6328125" defaultRowHeight="14.5" x14ac:dyDescent="0.35"/>
  <cols>
    <col min="1" max="1" width="11.453125" style="2" bestFit="1" customWidth="1"/>
    <col min="2" max="2" width="12.453125" style="475" bestFit="1" customWidth="1"/>
    <col min="3" max="13" width="19.08984375" style="2" customWidth="1"/>
    <col min="14" max="16384" width="8.6328125" style="1"/>
  </cols>
  <sheetData>
    <row r="1" spans="1:13" x14ac:dyDescent="0.35">
      <c r="A1" s="535" t="s">
        <v>1085</v>
      </c>
      <c r="B1" s="535"/>
      <c r="C1" s="535"/>
      <c r="D1" s="535"/>
      <c r="E1" s="535"/>
      <c r="F1" s="535"/>
      <c r="G1" s="535"/>
      <c r="H1" s="535"/>
      <c r="I1" s="535"/>
      <c r="J1" s="535"/>
      <c r="K1" s="535"/>
      <c r="L1" s="535"/>
      <c r="M1" s="535"/>
    </row>
    <row r="2" spans="1:13" x14ac:dyDescent="0.35">
      <c r="A2" s="1"/>
      <c r="C2" s="62" t="s">
        <v>1086</v>
      </c>
    </row>
    <row r="3" spans="1:13" s="62" customFormat="1" ht="25.5" customHeight="1" x14ac:dyDescent="0.35">
      <c r="A3" s="166"/>
      <c r="B3" s="476"/>
      <c r="C3" s="531" t="s">
        <v>201</v>
      </c>
      <c r="D3" s="532"/>
      <c r="E3" s="532"/>
      <c r="F3" s="532"/>
      <c r="G3" s="532"/>
      <c r="H3" s="532"/>
      <c r="I3" s="532"/>
      <c r="J3" s="533"/>
      <c r="K3" s="534" t="s">
        <v>202</v>
      </c>
      <c r="L3" s="534"/>
      <c r="M3" s="534"/>
    </row>
    <row r="4" spans="1:13" s="62" customFormat="1" ht="31.5" customHeight="1" x14ac:dyDescent="0.35">
      <c r="A4" s="243" t="s">
        <v>316</v>
      </c>
      <c r="B4" s="477" t="s">
        <v>1087</v>
      </c>
      <c r="C4" s="459" t="s">
        <v>1088</v>
      </c>
      <c r="D4" s="459" t="s">
        <v>1089</v>
      </c>
      <c r="E4" s="478" t="s">
        <v>1090</v>
      </c>
      <c r="F4" s="459" t="s">
        <v>1091</v>
      </c>
      <c r="G4" s="459" t="s">
        <v>1092</v>
      </c>
      <c r="H4" s="478" t="s">
        <v>1093</v>
      </c>
      <c r="I4" s="479" t="s">
        <v>1094</v>
      </c>
      <c r="J4" s="460" t="s">
        <v>1095</v>
      </c>
      <c r="K4" s="480" t="s">
        <v>203</v>
      </c>
      <c r="L4" s="480" t="s">
        <v>624</v>
      </c>
      <c r="M4" s="480" t="s">
        <v>1096</v>
      </c>
    </row>
    <row r="5" spans="1:13" ht="29" x14ac:dyDescent="0.35">
      <c r="A5" s="481">
        <v>2025</v>
      </c>
      <c r="B5" s="482">
        <v>46265</v>
      </c>
      <c r="C5" s="483" t="s">
        <v>1097</v>
      </c>
      <c r="D5" s="483" t="s">
        <v>1097</v>
      </c>
      <c r="E5" s="484"/>
      <c r="F5" s="457" t="s">
        <v>1097</v>
      </c>
      <c r="G5" s="484"/>
      <c r="H5" s="483" t="s">
        <v>1098</v>
      </c>
      <c r="I5" s="483" t="s">
        <v>1097</v>
      </c>
      <c r="J5" s="457" t="s">
        <v>1097</v>
      </c>
      <c r="K5" s="484"/>
      <c r="L5" s="484"/>
      <c r="M5" s="484"/>
    </row>
    <row r="6" spans="1:13" ht="14.4" customHeight="1" x14ac:dyDescent="0.35">
      <c r="A6" s="485">
        <v>46053</v>
      </c>
      <c r="B6" s="482">
        <v>46265</v>
      </c>
      <c r="C6" s="536"/>
      <c r="D6" s="536"/>
      <c r="E6" s="536"/>
      <c r="F6" s="536"/>
      <c r="G6" s="536"/>
      <c r="H6" s="536"/>
      <c r="I6" s="536"/>
      <c r="J6" s="528"/>
      <c r="K6" s="528"/>
      <c r="L6" s="528"/>
      <c r="M6" s="528"/>
    </row>
    <row r="7" spans="1:13" x14ac:dyDescent="0.35">
      <c r="A7" s="485">
        <v>46081</v>
      </c>
      <c r="B7" s="482">
        <v>46265</v>
      </c>
      <c r="C7" s="536"/>
      <c r="D7" s="536"/>
      <c r="E7" s="536"/>
      <c r="F7" s="536"/>
      <c r="G7" s="536"/>
      <c r="H7" s="536"/>
      <c r="I7" s="536"/>
      <c r="J7" s="528"/>
      <c r="K7" s="528"/>
      <c r="L7" s="528"/>
      <c r="M7" s="528"/>
    </row>
    <row r="8" spans="1:13" x14ac:dyDescent="0.35">
      <c r="A8" s="485">
        <v>46112</v>
      </c>
      <c r="B8" s="482">
        <v>46265</v>
      </c>
      <c r="C8" s="536"/>
      <c r="D8" s="536"/>
      <c r="E8" s="536"/>
      <c r="F8" s="536"/>
      <c r="G8" s="536"/>
      <c r="H8" s="536"/>
      <c r="I8" s="536"/>
      <c r="J8" s="528"/>
      <c r="K8" s="528"/>
      <c r="L8" s="528"/>
      <c r="M8" s="528"/>
    </row>
    <row r="9" spans="1:13" x14ac:dyDescent="0.35">
      <c r="A9" s="485">
        <v>46142</v>
      </c>
      <c r="B9" s="482">
        <v>46265</v>
      </c>
      <c r="C9" s="536"/>
      <c r="D9" s="536"/>
      <c r="E9" s="536"/>
      <c r="F9" s="536"/>
      <c r="G9" s="536"/>
      <c r="H9" s="536"/>
      <c r="I9" s="536"/>
      <c r="J9" s="528"/>
      <c r="K9" s="528"/>
      <c r="L9" s="528"/>
      <c r="M9" s="528"/>
    </row>
    <row r="10" spans="1:13" x14ac:dyDescent="0.35">
      <c r="A10" s="485">
        <v>46173</v>
      </c>
      <c r="B10" s="482">
        <v>46265</v>
      </c>
      <c r="C10" s="536"/>
      <c r="D10" s="536"/>
      <c r="E10" s="536"/>
      <c r="F10" s="536"/>
      <c r="G10" s="536"/>
      <c r="H10" s="536"/>
      <c r="I10" s="536"/>
      <c r="J10" s="528"/>
      <c r="K10" s="528"/>
      <c r="L10" s="528"/>
      <c r="M10" s="528"/>
    </row>
    <row r="11" spans="1:13" x14ac:dyDescent="0.35">
      <c r="A11" s="485">
        <v>46203</v>
      </c>
      <c r="B11" s="482">
        <v>46265</v>
      </c>
      <c r="C11" s="536"/>
      <c r="D11" s="536"/>
      <c r="E11" s="536"/>
      <c r="F11" s="536"/>
      <c r="G11" s="536"/>
      <c r="H11" s="536"/>
      <c r="I11" s="536"/>
      <c r="J11" s="528"/>
      <c r="K11" s="528"/>
      <c r="L11" s="528"/>
      <c r="M11" s="528"/>
    </row>
    <row r="12" spans="1:13" x14ac:dyDescent="0.35">
      <c r="A12" s="485">
        <v>46234</v>
      </c>
      <c r="B12" s="482">
        <v>46265</v>
      </c>
      <c r="C12" s="536"/>
      <c r="D12" s="536"/>
      <c r="E12" s="536"/>
      <c r="F12" s="536"/>
      <c r="G12" s="536"/>
      <c r="H12" s="536"/>
      <c r="I12" s="536"/>
      <c r="J12" s="528"/>
      <c r="K12" s="528"/>
      <c r="L12" s="528"/>
      <c r="M12" s="528"/>
    </row>
    <row r="13" spans="1:13" x14ac:dyDescent="0.35">
      <c r="A13" s="529">
        <v>46265</v>
      </c>
      <c r="B13" s="482">
        <v>46265</v>
      </c>
      <c r="C13" s="536"/>
      <c r="D13" s="536"/>
      <c r="E13" s="536"/>
      <c r="F13" s="536"/>
      <c r="G13" s="536"/>
      <c r="H13" s="536"/>
      <c r="I13" s="536"/>
      <c r="J13" s="528"/>
      <c r="K13" s="528"/>
      <c r="L13" s="528"/>
      <c r="M13" s="528"/>
    </row>
    <row r="14" spans="1:13" ht="29" x14ac:dyDescent="0.35">
      <c r="A14" s="530"/>
      <c r="B14" s="487"/>
      <c r="C14" s="461" t="s">
        <v>1099</v>
      </c>
      <c r="D14" s="461" t="s">
        <v>1100</v>
      </c>
      <c r="E14" s="488"/>
      <c r="F14" s="458" t="s">
        <v>1101</v>
      </c>
      <c r="G14" s="458" t="s">
        <v>1102</v>
      </c>
      <c r="H14" s="488"/>
      <c r="I14" s="489" t="s">
        <v>1103</v>
      </c>
      <c r="J14" s="458" t="s">
        <v>1101</v>
      </c>
      <c r="K14" s="458" t="s">
        <v>1101</v>
      </c>
      <c r="L14" s="458" t="s">
        <v>1101</v>
      </c>
      <c r="M14" s="458" t="s">
        <v>1101</v>
      </c>
    </row>
    <row r="16" spans="1:13" x14ac:dyDescent="0.35">
      <c r="C16" s="62" t="s">
        <v>1104</v>
      </c>
    </row>
    <row r="17" spans="1:13" s="62" customFormat="1" ht="25.5" customHeight="1" x14ac:dyDescent="0.35">
      <c r="A17" s="166"/>
      <c r="B17" s="476"/>
      <c r="C17" s="531" t="s">
        <v>201</v>
      </c>
      <c r="D17" s="532"/>
      <c r="E17" s="532"/>
      <c r="F17" s="532"/>
      <c r="G17" s="532"/>
      <c r="H17" s="532"/>
      <c r="I17" s="532"/>
      <c r="J17" s="533"/>
      <c r="K17" s="534" t="s">
        <v>202</v>
      </c>
      <c r="L17" s="534"/>
      <c r="M17" s="534"/>
    </row>
    <row r="18" spans="1:13" s="62" customFormat="1" ht="31.5" customHeight="1" x14ac:dyDescent="0.35">
      <c r="A18" s="243" t="s">
        <v>316</v>
      </c>
      <c r="B18" s="477" t="s">
        <v>1087</v>
      </c>
      <c r="C18" s="459" t="s">
        <v>1088</v>
      </c>
      <c r="D18" s="459" t="s">
        <v>1089</v>
      </c>
      <c r="E18" s="478" t="s">
        <v>1090</v>
      </c>
      <c r="F18" s="459" t="s">
        <v>1091</v>
      </c>
      <c r="G18" s="459" t="s">
        <v>1092</v>
      </c>
      <c r="H18" s="478" t="s">
        <v>1093</v>
      </c>
      <c r="I18" s="479" t="s">
        <v>1094</v>
      </c>
      <c r="J18" s="460" t="s">
        <v>1095</v>
      </c>
      <c r="K18" s="480" t="s">
        <v>203</v>
      </c>
      <c r="L18" s="480" t="s">
        <v>624</v>
      </c>
      <c r="M18" s="480" t="s">
        <v>1096</v>
      </c>
    </row>
    <row r="19" spans="1:13" ht="29" x14ac:dyDescent="0.35">
      <c r="A19" s="481">
        <v>2025</v>
      </c>
      <c r="B19" s="482">
        <v>46265</v>
      </c>
      <c r="C19" s="490" t="s">
        <v>1097</v>
      </c>
      <c r="D19" s="9"/>
      <c r="E19" s="491" t="s">
        <v>1098</v>
      </c>
      <c r="F19" s="67" t="s">
        <v>1097</v>
      </c>
      <c r="G19" s="9"/>
      <c r="H19" s="492" t="s">
        <v>1098</v>
      </c>
      <c r="I19" s="490" t="s">
        <v>1097</v>
      </c>
      <c r="J19" s="67" t="s">
        <v>1097</v>
      </c>
      <c r="K19" s="9"/>
      <c r="L19" s="9"/>
      <c r="M19" s="9"/>
    </row>
    <row r="20" spans="1:13" ht="14.4" customHeight="1" x14ac:dyDescent="0.35">
      <c r="A20" s="493">
        <v>46053</v>
      </c>
      <c r="B20" s="482">
        <v>46265</v>
      </c>
      <c r="C20" s="516" t="s">
        <v>1105</v>
      </c>
      <c r="D20" s="519"/>
      <c r="E20" s="522" t="s">
        <v>1106</v>
      </c>
      <c r="F20" s="513" t="s">
        <v>1101</v>
      </c>
      <c r="G20" s="519"/>
      <c r="H20" s="525" t="s">
        <v>1106</v>
      </c>
      <c r="I20" s="510" t="s">
        <v>1107</v>
      </c>
      <c r="J20" s="513" t="s">
        <v>1101</v>
      </c>
      <c r="K20" s="513" t="s">
        <v>1101</v>
      </c>
      <c r="L20" s="513" t="s">
        <v>1101</v>
      </c>
      <c r="M20" s="513" t="s">
        <v>1101</v>
      </c>
    </row>
    <row r="21" spans="1:13" x14ac:dyDescent="0.35">
      <c r="A21" s="493">
        <v>46081</v>
      </c>
      <c r="B21" s="482">
        <v>46265</v>
      </c>
      <c r="C21" s="517"/>
      <c r="D21" s="520"/>
      <c r="E21" s="523"/>
      <c r="F21" s="514"/>
      <c r="G21" s="520"/>
      <c r="H21" s="526"/>
      <c r="I21" s="511"/>
      <c r="J21" s="514"/>
      <c r="K21" s="514"/>
      <c r="L21" s="514"/>
      <c r="M21" s="514"/>
    </row>
    <row r="22" spans="1:13" x14ac:dyDescent="0.35">
      <c r="A22" s="493">
        <v>46112</v>
      </c>
      <c r="B22" s="482">
        <v>46265</v>
      </c>
      <c r="C22" s="517"/>
      <c r="D22" s="520"/>
      <c r="E22" s="523"/>
      <c r="F22" s="514"/>
      <c r="G22" s="520"/>
      <c r="H22" s="526"/>
      <c r="I22" s="511"/>
      <c r="J22" s="514"/>
      <c r="K22" s="514"/>
      <c r="L22" s="514"/>
      <c r="M22" s="514"/>
    </row>
    <row r="23" spans="1:13" x14ac:dyDescent="0.35">
      <c r="A23" s="493">
        <v>46142</v>
      </c>
      <c r="B23" s="482">
        <v>46265</v>
      </c>
      <c r="C23" s="517"/>
      <c r="D23" s="520"/>
      <c r="E23" s="523"/>
      <c r="F23" s="514"/>
      <c r="G23" s="520"/>
      <c r="H23" s="526"/>
      <c r="I23" s="511"/>
      <c r="J23" s="514"/>
      <c r="K23" s="514"/>
      <c r="L23" s="514"/>
      <c r="M23" s="514"/>
    </row>
    <row r="24" spans="1:13" x14ac:dyDescent="0.35">
      <c r="A24" s="493">
        <v>46173</v>
      </c>
      <c r="B24" s="482">
        <v>46265</v>
      </c>
      <c r="C24" s="517"/>
      <c r="D24" s="520"/>
      <c r="E24" s="523"/>
      <c r="F24" s="514"/>
      <c r="G24" s="520"/>
      <c r="H24" s="526"/>
      <c r="I24" s="511"/>
      <c r="J24" s="514"/>
      <c r="K24" s="514"/>
      <c r="L24" s="514"/>
      <c r="M24" s="514"/>
    </row>
    <row r="25" spans="1:13" x14ac:dyDescent="0.35">
      <c r="A25" s="493">
        <v>46203</v>
      </c>
      <c r="B25" s="482">
        <v>46265</v>
      </c>
      <c r="C25" s="517"/>
      <c r="D25" s="520"/>
      <c r="E25" s="523"/>
      <c r="F25" s="514"/>
      <c r="G25" s="520"/>
      <c r="H25" s="526"/>
      <c r="I25" s="511"/>
      <c r="J25" s="514"/>
      <c r="K25" s="514"/>
      <c r="L25" s="514"/>
      <c r="M25" s="514"/>
    </row>
    <row r="26" spans="1:13" x14ac:dyDescent="0.35">
      <c r="A26" s="493">
        <v>46234</v>
      </c>
      <c r="B26" s="482">
        <v>46265</v>
      </c>
      <c r="C26" s="518"/>
      <c r="D26" s="521"/>
      <c r="E26" s="524"/>
      <c r="F26" s="515"/>
      <c r="G26" s="521"/>
      <c r="H26" s="527"/>
      <c r="I26" s="512"/>
      <c r="J26" s="515"/>
      <c r="K26" s="515"/>
      <c r="L26" s="515"/>
      <c r="M26" s="515"/>
    </row>
    <row r="27" spans="1:13" ht="29" x14ac:dyDescent="0.35">
      <c r="A27" s="486">
        <v>46265</v>
      </c>
      <c r="B27" s="487"/>
      <c r="C27" s="43" t="s">
        <v>1099</v>
      </c>
      <c r="D27" s="43" t="s">
        <v>1100</v>
      </c>
      <c r="E27" s="9"/>
      <c r="F27" s="67" t="s">
        <v>1101</v>
      </c>
      <c r="G27" s="67" t="s">
        <v>1102</v>
      </c>
      <c r="H27" s="9"/>
      <c r="I27" s="494" t="s">
        <v>1103</v>
      </c>
      <c r="J27" s="67" t="s">
        <v>1101</v>
      </c>
      <c r="K27" s="67" t="s">
        <v>1101</v>
      </c>
      <c r="L27" s="67" t="s">
        <v>1101</v>
      </c>
      <c r="M27" s="67" t="s">
        <v>1101</v>
      </c>
    </row>
    <row r="29" spans="1:13" x14ac:dyDescent="0.35">
      <c r="C29" s="2" t="s">
        <v>1108</v>
      </c>
      <c r="E29" s="2" t="s">
        <v>1108</v>
      </c>
      <c r="H29" s="2" t="s">
        <v>1108</v>
      </c>
      <c r="I29" s="2" t="s">
        <v>1108</v>
      </c>
    </row>
    <row r="30" spans="1:13" x14ac:dyDescent="0.35">
      <c r="B30" s="495" t="s">
        <v>1109</v>
      </c>
    </row>
  </sheetData>
  <mergeCells count="28">
    <mergeCell ref="A13:A14"/>
    <mergeCell ref="C17:J17"/>
    <mergeCell ref="K17:M17"/>
    <mergeCell ref="A1:M1"/>
    <mergeCell ref="C3:J3"/>
    <mergeCell ref="K3:M3"/>
    <mergeCell ref="C6:C13"/>
    <mergeCell ref="D6:D13"/>
    <mergeCell ref="E6:E13"/>
    <mergeCell ref="F6:F13"/>
    <mergeCell ref="G6:G13"/>
    <mergeCell ref="H6:H13"/>
    <mergeCell ref="I6:I13"/>
    <mergeCell ref="H20:H26"/>
    <mergeCell ref="J6:J13"/>
    <mergeCell ref="K6:K13"/>
    <mergeCell ref="L6:L13"/>
    <mergeCell ref="M6:M13"/>
    <mergeCell ref="C20:C26"/>
    <mergeCell ref="D20:D26"/>
    <mergeCell ref="E20:E26"/>
    <mergeCell ref="F20:F26"/>
    <mergeCell ref="G20:G26"/>
    <mergeCell ref="I20:I26"/>
    <mergeCell ref="J20:J26"/>
    <mergeCell ref="K20:K26"/>
    <mergeCell ref="L20:L26"/>
    <mergeCell ref="M20:M2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CC8C-40CC-4C73-BBF4-188676DA229F}">
  <dimension ref="A1:M32"/>
  <sheetViews>
    <sheetView topLeftCell="A7" zoomScale="110" zoomScaleNormal="110" workbookViewId="0"/>
  </sheetViews>
  <sheetFormatPr defaultRowHeight="14.5" x14ac:dyDescent="0.35"/>
  <cols>
    <col min="2" max="2" width="10.36328125" bestFit="1" customWidth="1"/>
    <col min="3" max="3" width="15.54296875" bestFit="1" customWidth="1"/>
    <col min="4" max="4" width="16.08984375" bestFit="1" customWidth="1"/>
    <col min="5" max="5" width="13.36328125" bestFit="1" customWidth="1"/>
    <col min="6" max="6" width="26.6328125" bestFit="1" customWidth="1"/>
    <col min="7" max="7" width="13.453125" bestFit="1" customWidth="1"/>
    <col min="8" max="8" width="11.36328125" customWidth="1"/>
    <col min="9" max="9" width="17.54296875" bestFit="1" customWidth="1"/>
    <col min="10" max="10" width="13.36328125" bestFit="1" customWidth="1"/>
    <col min="11" max="11" width="13.36328125" style="2" customWidth="1"/>
  </cols>
  <sheetData>
    <row r="1" spans="1:13" x14ac:dyDescent="0.35">
      <c r="A1" s="496" t="s">
        <v>86</v>
      </c>
      <c r="B1" s="496" t="s">
        <v>1110</v>
      </c>
      <c r="C1" s="496" t="s">
        <v>1111</v>
      </c>
      <c r="D1" s="496" t="s">
        <v>1112</v>
      </c>
      <c r="E1" s="496" t="s">
        <v>1113</v>
      </c>
      <c r="F1" s="496" t="s">
        <v>1114</v>
      </c>
      <c r="G1" s="496" t="s">
        <v>1115</v>
      </c>
      <c r="H1" s="496" t="s">
        <v>1116</v>
      </c>
    </row>
    <row r="2" spans="1:13" x14ac:dyDescent="0.35">
      <c r="A2" t="s">
        <v>1117</v>
      </c>
      <c r="B2" t="s">
        <v>1118</v>
      </c>
      <c r="E2" t="s">
        <v>1119</v>
      </c>
      <c r="G2" t="s">
        <v>1120</v>
      </c>
      <c r="H2">
        <v>-108</v>
      </c>
    </row>
    <row r="6" spans="1:13" x14ac:dyDescent="0.35">
      <c r="I6" t="s">
        <v>1121</v>
      </c>
    </row>
    <row r="7" spans="1:13" x14ac:dyDescent="0.35">
      <c r="J7" t="s">
        <v>1115</v>
      </c>
      <c r="K7" s="2" t="s">
        <v>439</v>
      </c>
      <c r="L7" t="s">
        <v>315</v>
      </c>
      <c r="M7" t="s">
        <v>1112</v>
      </c>
    </row>
    <row r="8" spans="1:13" x14ac:dyDescent="0.35">
      <c r="I8" t="s">
        <v>1122</v>
      </c>
      <c r="J8" t="s">
        <v>1120</v>
      </c>
      <c r="K8" s="2">
        <v>90000000</v>
      </c>
      <c r="L8">
        <f t="shared" ref="L8:L15" si="0">$H$2/8</f>
        <v>-13.5</v>
      </c>
      <c r="M8" t="s">
        <v>1123</v>
      </c>
    </row>
    <row r="9" spans="1:13" x14ac:dyDescent="0.35">
      <c r="C9" t="s">
        <v>1124</v>
      </c>
      <c r="D9" t="s">
        <v>1125</v>
      </c>
      <c r="E9" t="s">
        <v>1126</v>
      </c>
      <c r="I9" t="s">
        <v>1127</v>
      </c>
      <c r="J9" t="s">
        <v>1120</v>
      </c>
      <c r="K9" s="2">
        <v>90000000</v>
      </c>
      <c r="L9">
        <f t="shared" si="0"/>
        <v>-13.5</v>
      </c>
      <c r="M9" t="s">
        <v>1123</v>
      </c>
    </row>
    <row r="10" spans="1:13" x14ac:dyDescent="0.35">
      <c r="E10" t="s">
        <v>1128</v>
      </c>
      <c r="I10" t="s">
        <v>1129</v>
      </c>
      <c r="J10" t="s">
        <v>1120</v>
      </c>
      <c r="K10" s="2">
        <v>90000000</v>
      </c>
      <c r="L10">
        <f t="shared" si="0"/>
        <v>-13.5</v>
      </c>
      <c r="M10" t="s">
        <v>1123</v>
      </c>
    </row>
    <row r="11" spans="1:13" x14ac:dyDescent="0.35">
      <c r="E11" t="s">
        <v>1130</v>
      </c>
      <c r="I11" t="s">
        <v>1131</v>
      </c>
      <c r="J11" t="s">
        <v>1120</v>
      </c>
      <c r="K11" s="2">
        <v>90000000</v>
      </c>
      <c r="L11">
        <f t="shared" si="0"/>
        <v>-13.5</v>
      </c>
      <c r="M11" t="s">
        <v>1123</v>
      </c>
    </row>
    <row r="12" spans="1:13" x14ac:dyDescent="0.35">
      <c r="E12">
        <f xml:space="preserve"> 3 * 4 + 3 * 8</f>
        <v>36</v>
      </c>
      <c r="F12" t="s">
        <v>1132</v>
      </c>
      <c r="I12" t="s">
        <v>1133</v>
      </c>
      <c r="J12" t="s">
        <v>1120</v>
      </c>
      <c r="K12" s="2">
        <v>90000000</v>
      </c>
      <c r="L12">
        <f t="shared" si="0"/>
        <v>-13.5</v>
      </c>
      <c r="M12" t="s">
        <v>1123</v>
      </c>
    </row>
    <row r="13" spans="1:13" x14ac:dyDescent="0.35">
      <c r="I13" t="s">
        <v>1134</v>
      </c>
      <c r="J13" t="s">
        <v>1120</v>
      </c>
      <c r="K13" s="2">
        <v>90000000</v>
      </c>
      <c r="L13">
        <f t="shared" si="0"/>
        <v>-13.5</v>
      </c>
      <c r="M13" t="s">
        <v>1123</v>
      </c>
    </row>
    <row r="14" spans="1:13" ht="15" thickBot="1" x14ac:dyDescent="0.4">
      <c r="I14" t="s">
        <v>1135</v>
      </c>
      <c r="J14" t="s">
        <v>1120</v>
      </c>
      <c r="K14" s="2">
        <v>90000000</v>
      </c>
      <c r="L14">
        <f t="shared" si="0"/>
        <v>-13.5</v>
      </c>
      <c r="M14" t="s">
        <v>1123</v>
      </c>
    </row>
    <row r="15" spans="1:13" x14ac:dyDescent="0.35">
      <c r="C15" s="497" t="s">
        <v>1136</v>
      </c>
      <c r="D15" s="498"/>
      <c r="E15" s="498"/>
      <c r="F15" s="498"/>
      <c r="G15" s="499"/>
      <c r="I15" s="500" t="s">
        <v>1137</v>
      </c>
      <c r="J15" s="500" t="s">
        <v>1120</v>
      </c>
      <c r="K15" s="192">
        <v>90000000</v>
      </c>
      <c r="L15" s="500">
        <f t="shared" si="0"/>
        <v>-13.5</v>
      </c>
      <c r="M15" s="500" t="s">
        <v>1123</v>
      </c>
    </row>
    <row r="16" spans="1:13" x14ac:dyDescent="0.35">
      <c r="C16" s="501" t="s">
        <v>1138</v>
      </c>
      <c r="D16" t="s">
        <v>1122</v>
      </c>
      <c r="E16" t="s">
        <v>1112</v>
      </c>
      <c r="F16" t="s">
        <v>1111</v>
      </c>
      <c r="G16" s="502" t="s">
        <v>1139</v>
      </c>
    </row>
    <row r="17" spans="3:13" x14ac:dyDescent="0.35">
      <c r="C17" s="501" t="s">
        <v>1138</v>
      </c>
      <c r="D17" t="s">
        <v>1122</v>
      </c>
      <c r="E17" t="s">
        <v>1140</v>
      </c>
      <c r="F17" t="s">
        <v>1141</v>
      </c>
      <c r="G17" s="502" t="s">
        <v>1139</v>
      </c>
      <c r="I17" s="503"/>
      <c r="J17" s="503" t="s">
        <v>1142</v>
      </c>
      <c r="K17" s="504" t="s">
        <v>439</v>
      </c>
      <c r="L17" s="503" t="s">
        <v>315</v>
      </c>
      <c r="M17" s="503" t="s">
        <v>1112</v>
      </c>
    </row>
    <row r="18" spans="3:13" x14ac:dyDescent="0.35">
      <c r="C18" s="501" t="s">
        <v>1138</v>
      </c>
      <c r="D18" t="s">
        <v>1127</v>
      </c>
      <c r="E18" t="s">
        <v>1112</v>
      </c>
      <c r="F18" t="s">
        <v>1111</v>
      </c>
      <c r="G18" s="502" t="s">
        <v>1139</v>
      </c>
      <c r="I18" s="503" t="s">
        <v>1122</v>
      </c>
      <c r="J18" s="503"/>
      <c r="K18" s="504">
        <v>90000000</v>
      </c>
      <c r="L18" s="503"/>
      <c r="M18" s="503" t="s">
        <v>1123</v>
      </c>
    </row>
    <row r="19" spans="3:13" x14ac:dyDescent="0.35">
      <c r="C19" s="501" t="s">
        <v>1138</v>
      </c>
      <c r="D19" t="s">
        <v>1129</v>
      </c>
      <c r="E19" t="s">
        <v>1112</v>
      </c>
      <c r="F19" t="s">
        <v>1111</v>
      </c>
      <c r="G19" s="502" t="s">
        <v>1139</v>
      </c>
      <c r="I19" s="503" t="s">
        <v>1127</v>
      </c>
      <c r="J19" s="503"/>
      <c r="K19" s="504">
        <v>90000000</v>
      </c>
      <c r="L19" s="503"/>
      <c r="M19" s="503" t="s">
        <v>1123</v>
      </c>
    </row>
    <row r="20" spans="3:13" x14ac:dyDescent="0.35">
      <c r="C20" s="501" t="s">
        <v>1138</v>
      </c>
      <c r="D20" t="s">
        <v>1131</v>
      </c>
      <c r="E20" t="s">
        <v>1112</v>
      </c>
      <c r="F20" t="s">
        <v>1111</v>
      </c>
      <c r="G20" s="502" t="s">
        <v>1139</v>
      </c>
      <c r="I20" s="503" t="s">
        <v>1129</v>
      </c>
      <c r="J20" s="503"/>
      <c r="K20" s="504">
        <v>90000000</v>
      </c>
      <c r="L20" s="503"/>
      <c r="M20" s="503" t="s">
        <v>1123</v>
      </c>
    </row>
    <row r="21" spans="3:13" x14ac:dyDescent="0.35">
      <c r="C21" s="501" t="s">
        <v>1138</v>
      </c>
      <c r="D21" t="s">
        <v>1133</v>
      </c>
      <c r="E21" t="s">
        <v>1112</v>
      </c>
      <c r="F21" t="s">
        <v>1111</v>
      </c>
      <c r="G21" s="502" t="s">
        <v>1139</v>
      </c>
      <c r="I21" s="503" t="s">
        <v>1131</v>
      </c>
      <c r="J21" s="503"/>
      <c r="K21" s="504">
        <v>90000000</v>
      </c>
      <c r="L21" s="503"/>
      <c r="M21" s="503" t="s">
        <v>1123</v>
      </c>
    </row>
    <row r="22" spans="3:13" x14ac:dyDescent="0.35">
      <c r="C22" s="501" t="s">
        <v>1143</v>
      </c>
      <c r="D22" t="s">
        <v>1129</v>
      </c>
      <c r="E22" t="s">
        <v>1112</v>
      </c>
      <c r="F22" t="s">
        <v>1111</v>
      </c>
      <c r="G22" s="502" t="s">
        <v>1139</v>
      </c>
      <c r="I22" s="503" t="s">
        <v>1133</v>
      </c>
      <c r="J22" s="503"/>
      <c r="K22" s="504">
        <v>90000000</v>
      </c>
      <c r="L22" s="503"/>
      <c r="M22" s="503" t="s">
        <v>1123</v>
      </c>
    </row>
    <row r="23" spans="3:13" x14ac:dyDescent="0.35">
      <c r="C23" s="501" t="s">
        <v>1143</v>
      </c>
      <c r="D23" t="s">
        <v>1131</v>
      </c>
      <c r="E23" t="s">
        <v>1112</v>
      </c>
      <c r="F23" t="s">
        <v>1111</v>
      </c>
      <c r="G23" s="502" t="s">
        <v>1139</v>
      </c>
      <c r="I23" s="503" t="s">
        <v>1134</v>
      </c>
      <c r="J23" s="503"/>
      <c r="K23" s="504">
        <v>90000000</v>
      </c>
      <c r="L23" s="503"/>
      <c r="M23" s="503" t="s">
        <v>1123</v>
      </c>
    </row>
    <row r="24" spans="3:13" x14ac:dyDescent="0.35">
      <c r="C24" s="501" t="s">
        <v>1143</v>
      </c>
      <c r="D24" t="s">
        <v>1133</v>
      </c>
      <c r="E24" t="s">
        <v>1112</v>
      </c>
      <c r="F24" t="s">
        <v>1111</v>
      </c>
      <c r="G24" s="502" t="s">
        <v>1139</v>
      </c>
      <c r="I24" s="503" t="s">
        <v>1135</v>
      </c>
      <c r="J24" s="503"/>
      <c r="K24" s="504">
        <v>90000000</v>
      </c>
      <c r="L24" s="503"/>
      <c r="M24" s="503" t="s">
        <v>1123</v>
      </c>
    </row>
    <row r="25" spans="3:13" x14ac:dyDescent="0.35">
      <c r="C25" s="501"/>
      <c r="G25" s="502"/>
      <c r="I25" s="505" t="s">
        <v>1137</v>
      </c>
      <c r="J25" s="505"/>
      <c r="K25" s="506">
        <v>90000000</v>
      </c>
      <c r="L25" s="505"/>
      <c r="M25" s="505" t="s">
        <v>1123</v>
      </c>
    </row>
    <row r="26" spans="3:13" x14ac:dyDescent="0.35">
      <c r="C26" s="501" t="s">
        <v>1144</v>
      </c>
      <c r="G26" s="502"/>
    </row>
    <row r="27" spans="3:13" x14ac:dyDescent="0.35">
      <c r="C27" s="501" t="s">
        <v>1145</v>
      </c>
      <c r="D27" t="s">
        <v>1122</v>
      </c>
      <c r="E27" t="s">
        <v>1112</v>
      </c>
      <c r="F27" t="s">
        <v>1139</v>
      </c>
      <c r="G27" s="502"/>
    </row>
    <row r="28" spans="3:13" x14ac:dyDescent="0.35">
      <c r="C28" s="501" t="s">
        <v>1145</v>
      </c>
      <c r="D28" t="s">
        <v>1127</v>
      </c>
      <c r="E28" t="s">
        <v>1112</v>
      </c>
      <c r="F28" t="s">
        <v>1139</v>
      </c>
      <c r="G28" s="502"/>
    </row>
    <row r="29" spans="3:13" x14ac:dyDescent="0.35">
      <c r="C29" s="501" t="s">
        <v>1146</v>
      </c>
      <c r="D29" t="s">
        <v>1131</v>
      </c>
      <c r="E29" t="s">
        <v>1140</v>
      </c>
      <c r="F29" t="s">
        <v>1139</v>
      </c>
      <c r="G29" s="502"/>
    </row>
    <row r="30" spans="3:13" x14ac:dyDescent="0.35">
      <c r="C30" s="501" t="s">
        <v>1146</v>
      </c>
      <c r="D30" t="s">
        <v>1131</v>
      </c>
      <c r="E30" t="s">
        <v>1112</v>
      </c>
      <c r="F30" t="s">
        <v>1139</v>
      </c>
      <c r="G30" s="502"/>
    </row>
    <row r="31" spans="3:13" x14ac:dyDescent="0.35">
      <c r="C31" s="501" t="s">
        <v>1146</v>
      </c>
      <c r="D31" t="s">
        <v>1133</v>
      </c>
      <c r="E31" t="s">
        <v>1112</v>
      </c>
      <c r="F31" t="s">
        <v>1139</v>
      </c>
      <c r="G31" s="502"/>
    </row>
    <row r="32" spans="3:13" ht="15" thickBot="1" x14ac:dyDescent="0.4">
      <c r="C32" s="507" t="s">
        <v>1147</v>
      </c>
      <c r="D32" s="508" t="s">
        <v>1131</v>
      </c>
      <c r="E32" s="508" t="s">
        <v>1112</v>
      </c>
      <c r="F32" s="508" t="s">
        <v>1139</v>
      </c>
      <c r="G32" s="50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9ABF-A9FD-4A55-AAF0-9FD25D75AA0C}">
  <dimension ref="A1:R54"/>
  <sheetViews>
    <sheetView workbookViewId="0"/>
  </sheetViews>
  <sheetFormatPr defaultRowHeight="14.5" x14ac:dyDescent="0.35"/>
  <cols>
    <col min="1" max="1" width="12.08984375" bestFit="1" customWidth="1"/>
    <col min="2" max="2" width="3.1796875" bestFit="1" customWidth="1"/>
    <col min="7" max="7" width="4.08984375" bestFit="1" customWidth="1"/>
  </cols>
  <sheetData>
    <row r="1" spans="1:8" x14ac:dyDescent="0.35">
      <c r="A1" s="408" t="s">
        <v>932</v>
      </c>
    </row>
    <row r="2" spans="1:8" x14ac:dyDescent="0.35">
      <c r="B2" s="462" t="s">
        <v>509</v>
      </c>
      <c r="C2" t="s">
        <v>933</v>
      </c>
      <c r="G2" s="462" t="s">
        <v>514</v>
      </c>
      <c r="H2" t="s">
        <v>934</v>
      </c>
    </row>
    <row r="3" spans="1:8" x14ac:dyDescent="0.35">
      <c r="B3" s="462" t="s">
        <v>647</v>
      </c>
      <c r="C3" t="s">
        <v>935</v>
      </c>
      <c r="G3" s="462" t="s">
        <v>511</v>
      </c>
      <c r="H3" t="s">
        <v>936</v>
      </c>
    </row>
    <row r="4" spans="1:8" x14ac:dyDescent="0.35">
      <c r="B4" s="462" t="s">
        <v>510</v>
      </c>
      <c r="C4" t="s">
        <v>937</v>
      </c>
      <c r="G4" s="462" t="s">
        <v>938</v>
      </c>
      <c r="H4" t="s">
        <v>1026</v>
      </c>
    </row>
    <row r="5" spans="1:8" x14ac:dyDescent="0.35">
      <c r="B5" s="462" t="s">
        <v>648</v>
      </c>
      <c r="C5" t="s">
        <v>939</v>
      </c>
      <c r="G5" s="462" t="s">
        <v>940</v>
      </c>
      <c r="H5" t="s">
        <v>941</v>
      </c>
    </row>
    <row r="6" spans="1:8" x14ac:dyDescent="0.35">
      <c r="B6" s="462" t="s">
        <v>942</v>
      </c>
      <c r="C6" t="s">
        <v>943</v>
      </c>
      <c r="G6" s="462" t="s">
        <v>944</v>
      </c>
      <c r="H6" t="s">
        <v>945</v>
      </c>
    </row>
    <row r="7" spans="1:8" x14ac:dyDescent="0.35">
      <c r="B7" s="462" t="s">
        <v>946</v>
      </c>
      <c r="C7" t="s">
        <v>947</v>
      </c>
      <c r="G7" s="462" t="s">
        <v>948</v>
      </c>
      <c r="H7" t="s">
        <v>949</v>
      </c>
    </row>
    <row r="8" spans="1:8" x14ac:dyDescent="0.35">
      <c r="B8" s="462" t="s">
        <v>950</v>
      </c>
      <c r="C8" t="s">
        <v>951</v>
      </c>
      <c r="G8" s="462" t="s">
        <v>952</v>
      </c>
      <c r="H8" t="s">
        <v>953</v>
      </c>
    </row>
    <row r="9" spans="1:8" x14ac:dyDescent="0.35">
      <c r="B9" s="462" t="s">
        <v>954</v>
      </c>
      <c r="C9" t="s">
        <v>955</v>
      </c>
      <c r="G9" s="462" t="s">
        <v>956</v>
      </c>
      <c r="H9" t="s">
        <v>957</v>
      </c>
    </row>
    <row r="10" spans="1:8" x14ac:dyDescent="0.35">
      <c r="G10" s="462" t="s">
        <v>958</v>
      </c>
      <c r="H10" t="s">
        <v>959</v>
      </c>
    </row>
    <row r="11" spans="1:8" x14ac:dyDescent="0.35">
      <c r="G11" s="462" t="s">
        <v>1018</v>
      </c>
      <c r="H11" t="s">
        <v>1020</v>
      </c>
    </row>
    <row r="12" spans="1:8" x14ac:dyDescent="0.35">
      <c r="G12" s="462" t="s">
        <v>1019</v>
      </c>
      <c r="H12" t="s">
        <v>1021</v>
      </c>
    </row>
    <row r="13" spans="1:8" x14ac:dyDescent="0.35">
      <c r="G13" s="462" t="s">
        <v>1022</v>
      </c>
      <c r="H13" t="s">
        <v>1025</v>
      </c>
    </row>
    <row r="14" spans="1:8" x14ac:dyDescent="0.35">
      <c r="A14" s="408" t="s">
        <v>960</v>
      </c>
    </row>
    <row r="15" spans="1:8" x14ac:dyDescent="0.35">
      <c r="A15" s="391"/>
      <c r="B15" t="s">
        <v>1009</v>
      </c>
      <c r="C15" t="s">
        <v>1010</v>
      </c>
    </row>
    <row r="16" spans="1:8" x14ac:dyDescent="0.35">
      <c r="A16" s="391"/>
      <c r="C16" s="384" t="s">
        <v>1011</v>
      </c>
      <c r="D16" t="s">
        <v>1013</v>
      </c>
    </row>
    <row r="17" spans="1:18" x14ac:dyDescent="0.35">
      <c r="A17" s="391"/>
      <c r="C17" s="384" t="s">
        <v>1012</v>
      </c>
      <c r="D17" t="s">
        <v>1014</v>
      </c>
    </row>
    <row r="18" spans="1:18" x14ac:dyDescent="0.35">
      <c r="B18" t="s">
        <v>522</v>
      </c>
      <c r="C18" t="s">
        <v>765</v>
      </c>
    </row>
    <row r="19" spans="1:18" x14ac:dyDescent="0.35">
      <c r="C19" s="384" t="s">
        <v>961</v>
      </c>
      <c r="D19" s="384">
        <v>2025</v>
      </c>
    </row>
    <row r="20" spans="1:18" x14ac:dyDescent="0.35">
      <c r="D20" s="384" t="s">
        <v>962</v>
      </c>
      <c r="E20" t="s">
        <v>963</v>
      </c>
    </row>
    <row r="21" spans="1:18" x14ac:dyDescent="0.35">
      <c r="D21" s="384" t="s">
        <v>964</v>
      </c>
      <c r="E21" t="s">
        <v>965</v>
      </c>
    </row>
    <row r="22" spans="1:18" x14ac:dyDescent="0.35">
      <c r="D22" s="384" t="s">
        <v>966</v>
      </c>
      <c r="E22" t="s">
        <v>967</v>
      </c>
    </row>
    <row r="23" spans="1:18" x14ac:dyDescent="0.35">
      <c r="D23" s="384" t="s">
        <v>968</v>
      </c>
      <c r="E23" t="s">
        <v>969</v>
      </c>
    </row>
    <row r="24" spans="1:18" x14ac:dyDescent="0.35">
      <c r="C24" s="384" t="s">
        <v>970</v>
      </c>
      <c r="D24" s="384">
        <v>2026</v>
      </c>
    </row>
    <row r="25" spans="1:18" x14ac:dyDescent="0.35">
      <c r="D25" s="384" t="s">
        <v>971</v>
      </c>
      <c r="E25" t="s">
        <v>972</v>
      </c>
    </row>
    <row r="26" spans="1:18" x14ac:dyDescent="0.35">
      <c r="D26" s="384" t="s">
        <v>973</v>
      </c>
      <c r="E26" t="s">
        <v>974</v>
      </c>
    </row>
    <row r="27" spans="1:18" x14ac:dyDescent="0.35">
      <c r="D27" s="384" t="s">
        <v>975</v>
      </c>
      <c r="E27" t="s">
        <v>976</v>
      </c>
    </row>
    <row r="28" spans="1:18" x14ac:dyDescent="0.35">
      <c r="D28" s="384" t="s">
        <v>977</v>
      </c>
      <c r="E28" t="s">
        <v>1031</v>
      </c>
    </row>
    <row r="29" spans="1:18" x14ac:dyDescent="0.35">
      <c r="D29" s="384" t="s">
        <v>978</v>
      </c>
      <c r="E29" t="s">
        <v>979</v>
      </c>
    </row>
    <row r="30" spans="1:18" x14ac:dyDescent="0.35">
      <c r="D30" s="384" t="s">
        <v>980</v>
      </c>
      <c r="E30" t="s">
        <v>981</v>
      </c>
    </row>
    <row r="31" spans="1:18" x14ac:dyDescent="0.35">
      <c r="D31" s="384" t="s">
        <v>982</v>
      </c>
      <c r="E31" t="s">
        <v>983</v>
      </c>
    </row>
    <row r="32" spans="1:18" x14ac:dyDescent="0.35">
      <c r="D32" s="427" t="s">
        <v>984</v>
      </c>
      <c r="E32" s="426" t="s">
        <v>985</v>
      </c>
      <c r="F32" s="426"/>
      <c r="G32" s="426"/>
      <c r="H32" s="426"/>
      <c r="I32" s="426"/>
      <c r="J32" s="426"/>
      <c r="K32" s="426"/>
      <c r="L32" s="426"/>
      <c r="M32" s="426"/>
      <c r="N32" s="426"/>
      <c r="O32" s="426"/>
      <c r="P32" s="426"/>
      <c r="Q32" s="426"/>
      <c r="R32" s="426"/>
    </row>
    <row r="33" spans="2:18" x14ac:dyDescent="0.35">
      <c r="D33" s="427" t="s">
        <v>986</v>
      </c>
      <c r="E33" s="426" t="s">
        <v>987</v>
      </c>
      <c r="F33" s="426"/>
      <c r="G33" s="426"/>
      <c r="H33" s="426"/>
      <c r="I33" s="426"/>
      <c r="J33" s="426"/>
      <c r="K33" s="426"/>
      <c r="L33" s="426"/>
      <c r="M33" s="426"/>
      <c r="N33" s="426"/>
      <c r="O33" s="426"/>
      <c r="P33" s="426"/>
      <c r="Q33" s="426"/>
      <c r="R33" s="426"/>
    </row>
    <row r="34" spans="2:18" x14ac:dyDescent="0.35">
      <c r="D34" s="427" t="s">
        <v>988</v>
      </c>
      <c r="E34" s="426" t="s">
        <v>989</v>
      </c>
      <c r="F34" s="426"/>
      <c r="G34" s="426"/>
      <c r="H34" s="426"/>
      <c r="I34" s="426"/>
      <c r="J34" s="426"/>
      <c r="K34" s="426"/>
      <c r="L34" s="426"/>
      <c r="M34" s="426"/>
      <c r="N34" s="426"/>
      <c r="O34" s="426"/>
      <c r="P34" s="426"/>
      <c r="Q34" s="426"/>
      <c r="R34" s="426"/>
    </row>
    <row r="35" spans="2:18" x14ac:dyDescent="0.35">
      <c r="D35" s="427" t="s">
        <v>990</v>
      </c>
      <c r="E35" s="426" t="s">
        <v>1030</v>
      </c>
      <c r="F35" s="426"/>
      <c r="G35" s="426"/>
      <c r="H35" s="426"/>
      <c r="I35" s="426"/>
      <c r="J35" s="426"/>
      <c r="K35" s="426"/>
      <c r="L35" s="426"/>
      <c r="M35" s="426"/>
      <c r="N35" s="426"/>
      <c r="O35" s="426"/>
      <c r="P35" s="426"/>
      <c r="Q35" s="426"/>
      <c r="R35" s="426"/>
    </row>
    <row r="36" spans="2:18" x14ac:dyDescent="0.35">
      <c r="B36" t="s">
        <v>512</v>
      </c>
      <c r="C36" t="s">
        <v>778</v>
      </c>
    </row>
    <row r="37" spans="2:18" x14ac:dyDescent="0.35">
      <c r="C37" s="384" t="s">
        <v>991</v>
      </c>
      <c r="D37" s="463" t="s">
        <v>1033</v>
      </c>
    </row>
    <row r="38" spans="2:18" x14ac:dyDescent="0.35">
      <c r="C38" s="384" t="s">
        <v>1035</v>
      </c>
      <c r="D38" t="s">
        <v>992</v>
      </c>
    </row>
    <row r="39" spans="2:18" x14ac:dyDescent="0.35">
      <c r="B39" t="s">
        <v>513</v>
      </c>
      <c r="C39" t="s">
        <v>829</v>
      </c>
    </row>
    <row r="40" spans="2:18" x14ac:dyDescent="0.35">
      <c r="C40" s="384" t="s">
        <v>993</v>
      </c>
      <c r="D40" s="463" t="s">
        <v>1034</v>
      </c>
    </row>
    <row r="41" spans="2:18" x14ac:dyDescent="0.35">
      <c r="C41" s="384" t="s">
        <v>1036</v>
      </c>
      <c r="D41" t="s">
        <v>994</v>
      </c>
    </row>
    <row r="42" spans="2:18" x14ac:dyDescent="0.35">
      <c r="B42" t="s">
        <v>995</v>
      </c>
      <c r="C42" t="s">
        <v>120</v>
      </c>
    </row>
    <row r="43" spans="2:18" x14ac:dyDescent="0.35">
      <c r="C43" s="384" t="s">
        <v>996</v>
      </c>
      <c r="D43" t="s">
        <v>1032</v>
      </c>
    </row>
    <row r="44" spans="2:18" x14ac:dyDescent="0.35">
      <c r="C44" s="384" t="s">
        <v>998</v>
      </c>
      <c r="D44" t="s">
        <v>997</v>
      </c>
    </row>
    <row r="45" spans="2:18" x14ac:dyDescent="0.35">
      <c r="C45" s="384" t="s">
        <v>1000</v>
      </c>
      <c r="D45" t="s">
        <v>999</v>
      </c>
    </row>
    <row r="46" spans="2:18" x14ac:dyDescent="0.35">
      <c r="C46" s="384" t="s">
        <v>1002</v>
      </c>
      <c r="D46" t="s">
        <v>1001</v>
      </c>
    </row>
    <row r="47" spans="2:18" x14ac:dyDescent="0.35">
      <c r="C47" s="384" t="s">
        <v>1004</v>
      </c>
      <c r="D47" t="s">
        <v>1003</v>
      </c>
    </row>
    <row r="48" spans="2:18" x14ac:dyDescent="0.35">
      <c r="C48" s="384" t="s">
        <v>1037</v>
      </c>
      <c r="D48" t="s">
        <v>1038</v>
      </c>
    </row>
    <row r="49" spans="2:4" x14ac:dyDescent="0.35">
      <c r="B49" t="s">
        <v>1005</v>
      </c>
      <c r="C49" s="463" t="s">
        <v>1006</v>
      </c>
    </row>
    <row r="50" spans="2:4" x14ac:dyDescent="0.35">
      <c r="C50" s="384" t="s">
        <v>1007</v>
      </c>
      <c r="D50" t="s">
        <v>1008</v>
      </c>
    </row>
    <row r="51" spans="2:4" x14ac:dyDescent="0.35">
      <c r="B51" t="s">
        <v>1015</v>
      </c>
      <c r="C51" s="463" t="s">
        <v>1016</v>
      </c>
    </row>
    <row r="52" spans="2:4" x14ac:dyDescent="0.35">
      <c r="C52" s="384" t="s">
        <v>1017</v>
      </c>
      <c r="D52" t="s">
        <v>1029</v>
      </c>
    </row>
    <row r="53" spans="2:4" x14ac:dyDescent="0.35">
      <c r="C53" s="384" t="s">
        <v>1023</v>
      </c>
      <c r="D53" t="s">
        <v>1024</v>
      </c>
    </row>
    <row r="54" spans="2:4" x14ac:dyDescent="0.35">
      <c r="C54" s="384" t="s">
        <v>1027</v>
      </c>
      <c r="D54" t="s">
        <v>1028</v>
      </c>
    </row>
  </sheetData>
  <phoneticPr fontId="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099C-042F-4991-8A89-564D5145CEAC}">
  <dimension ref="A4:Q22"/>
  <sheetViews>
    <sheetView topLeftCell="E1" zoomScale="130" zoomScaleNormal="130" workbookViewId="0">
      <selection activeCell="E1" sqref="E1"/>
    </sheetView>
  </sheetViews>
  <sheetFormatPr defaultRowHeight="14.5" x14ac:dyDescent="0.35"/>
  <cols>
    <col min="2" max="2" width="18.1796875" customWidth="1"/>
    <col min="3" max="3" width="9.1796875" customWidth="1"/>
    <col min="4" max="4" width="11.1796875" customWidth="1"/>
    <col min="5" max="5" width="7" customWidth="1"/>
    <col min="6" max="6" width="12.1796875" bestFit="1" customWidth="1"/>
    <col min="7" max="7" width="13.54296875" bestFit="1" customWidth="1"/>
    <col min="8" max="8" width="31.81640625" bestFit="1" customWidth="1"/>
    <col min="9" max="9" width="5.81640625" customWidth="1"/>
    <col min="10" max="10" width="11.453125" customWidth="1"/>
    <col min="12" max="12" width="12.1796875" bestFit="1" customWidth="1"/>
    <col min="13" max="13" width="13.54296875" bestFit="1" customWidth="1"/>
    <col min="14" max="14" width="17.453125" bestFit="1" customWidth="1"/>
    <col min="16" max="16" width="11.54296875" customWidth="1"/>
    <col min="17" max="17" width="15.81640625" bestFit="1" customWidth="1"/>
  </cols>
  <sheetData>
    <row r="4" spans="1:17" x14ac:dyDescent="0.35">
      <c r="A4" s="401" t="s">
        <v>857</v>
      </c>
      <c r="B4" s="402"/>
      <c r="C4" s="402"/>
      <c r="D4" s="403"/>
      <c r="F4" t="s">
        <v>765</v>
      </c>
    </row>
    <row r="5" spans="1:17" x14ac:dyDescent="0.35">
      <c r="A5" s="435"/>
      <c r="D5" s="436"/>
      <c r="F5" s="537" t="s">
        <v>858</v>
      </c>
      <c r="G5" s="537"/>
      <c r="H5" s="537"/>
      <c r="I5" s="537"/>
      <c r="J5" s="537"/>
      <c r="M5" s="537" t="s">
        <v>859</v>
      </c>
      <c r="N5" s="537"/>
      <c r="O5" s="537"/>
      <c r="P5" s="537"/>
    </row>
    <row r="6" spans="1:17" x14ac:dyDescent="0.35">
      <c r="A6" s="435"/>
      <c r="D6" s="436"/>
      <c r="I6" s="446"/>
    </row>
    <row r="7" spans="1:17" x14ac:dyDescent="0.35">
      <c r="A7" s="435"/>
      <c r="B7" t="s">
        <v>860</v>
      </c>
      <c r="C7" t="s">
        <v>315</v>
      </c>
      <c r="D7" s="436" t="s">
        <v>861</v>
      </c>
      <c r="F7" s="401"/>
      <c r="G7" s="402" t="s">
        <v>862</v>
      </c>
      <c r="H7" s="402" t="s">
        <v>863</v>
      </c>
      <c r="I7" s="447">
        <f>SUM(I8:I11)</f>
        <v>515</v>
      </c>
      <c r="J7" s="403"/>
      <c r="K7" t="s">
        <v>864</v>
      </c>
      <c r="M7" s="401" t="s">
        <v>862</v>
      </c>
      <c r="N7" s="402" t="s">
        <v>863</v>
      </c>
      <c r="O7" s="447">
        <f>O12+O13</f>
        <v>1017</v>
      </c>
      <c r="P7" s="403"/>
      <c r="Q7" t="s">
        <v>865</v>
      </c>
    </row>
    <row r="8" spans="1:17" x14ac:dyDescent="0.35">
      <c r="A8" s="435">
        <v>2025</v>
      </c>
      <c r="B8" s="413" t="s">
        <v>866</v>
      </c>
      <c r="C8" s="413">
        <v>100</v>
      </c>
      <c r="D8" s="448" t="s">
        <v>348</v>
      </c>
      <c r="F8" s="435"/>
      <c r="H8" s="397" t="s">
        <v>867</v>
      </c>
      <c r="I8" s="397">
        <v>200</v>
      </c>
      <c r="J8" s="449" t="s">
        <v>305</v>
      </c>
      <c r="M8" s="435"/>
      <c r="N8" t="s">
        <v>868</v>
      </c>
      <c r="O8">
        <v>102</v>
      </c>
      <c r="P8" s="436" t="s">
        <v>305</v>
      </c>
    </row>
    <row r="9" spans="1:17" x14ac:dyDescent="0.35">
      <c r="A9" s="435"/>
      <c r="B9" s="413" t="s">
        <v>869</v>
      </c>
      <c r="C9" s="413">
        <v>101</v>
      </c>
      <c r="D9" s="448" t="s">
        <v>350</v>
      </c>
      <c r="F9" s="435"/>
      <c r="H9" t="s">
        <v>870</v>
      </c>
      <c r="I9">
        <v>104</v>
      </c>
      <c r="J9" s="436" t="s">
        <v>305</v>
      </c>
      <c r="M9" s="435"/>
      <c r="N9" t="s">
        <v>871</v>
      </c>
      <c r="O9">
        <v>104</v>
      </c>
      <c r="P9" s="436" t="s">
        <v>305</v>
      </c>
    </row>
    <row r="10" spans="1:17" x14ac:dyDescent="0.35">
      <c r="A10" s="435"/>
      <c r="B10" t="s">
        <v>872</v>
      </c>
      <c r="C10">
        <v>102</v>
      </c>
      <c r="D10" s="436"/>
      <c r="F10" s="435"/>
      <c r="H10" t="s">
        <v>873</v>
      </c>
      <c r="I10">
        <v>105</v>
      </c>
      <c r="J10" s="436" t="s">
        <v>305</v>
      </c>
      <c r="M10" s="435"/>
      <c r="N10" t="s">
        <v>874</v>
      </c>
      <c r="O10">
        <v>105</v>
      </c>
      <c r="P10" s="436" t="s">
        <v>305</v>
      </c>
    </row>
    <row r="11" spans="1:17" x14ac:dyDescent="0.35">
      <c r="A11" s="435"/>
      <c r="D11" s="436"/>
      <c r="F11" s="435"/>
      <c r="H11" t="s">
        <v>875</v>
      </c>
      <c r="I11">
        <v>106</v>
      </c>
      <c r="J11" s="436" t="s">
        <v>305</v>
      </c>
      <c r="M11" s="435"/>
      <c r="N11" t="s">
        <v>876</v>
      </c>
      <c r="O11">
        <v>106</v>
      </c>
      <c r="P11" s="436" t="s">
        <v>305</v>
      </c>
    </row>
    <row r="12" spans="1:17" x14ac:dyDescent="0.35">
      <c r="A12" s="435">
        <v>2026</v>
      </c>
      <c r="B12" s="413" t="s">
        <v>877</v>
      </c>
      <c r="C12" s="413">
        <f>-C8</f>
        <v>-100</v>
      </c>
      <c r="D12" s="448" t="s">
        <v>348</v>
      </c>
      <c r="F12" s="435"/>
      <c r="I12" s="446"/>
      <c r="J12" s="436"/>
      <c r="M12" s="435"/>
      <c r="O12" s="446">
        <f>SUM(O8:O11)</f>
        <v>417</v>
      </c>
      <c r="P12" s="436"/>
    </row>
    <row r="13" spans="1:17" x14ac:dyDescent="0.35">
      <c r="A13" s="435"/>
      <c r="B13" s="413" t="s">
        <v>878</v>
      </c>
      <c r="C13" s="413">
        <f>-C9</f>
        <v>-101</v>
      </c>
      <c r="D13" s="448" t="s">
        <v>350</v>
      </c>
      <c r="F13" s="435"/>
      <c r="G13" s="397" t="s">
        <v>879</v>
      </c>
      <c r="H13" s="397" t="s">
        <v>880</v>
      </c>
      <c r="I13" s="450">
        <f>SUM(C8:C10)</f>
        <v>303</v>
      </c>
      <c r="J13" s="449" t="s">
        <v>309</v>
      </c>
      <c r="M13" s="451" t="s">
        <v>879</v>
      </c>
      <c r="N13" s="432" t="s">
        <v>881</v>
      </c>
      <c r="O13" s="452">
        <v>600</v>
      </c>
      <c r="P13" s="453" t="s">
        <v>309</v>
      </c>
    </row>
    <row r="14" spans="1:17" x14ac:dyDescent="0.35">
      <c r="A14" s="435"/>
      <c r="B14" t="s">
        <v>882</v>
      </c>
      <c r="C14">
        <v>104</v>
      </c>
      <c r="D14" s="436"/>
      <c r="F14" s="454" t="s">
        <v>883</v>
      </c>
      <c r="G14" s="434" t="s">
        <v>879</v>
      </c>
      <c r="H14" s="434" t="s">
        <v>880</v>
      </c>
      <c r="I14" s="434">
        <v>-303</v>
      </c>
      <c r="J14" s="455" t="s">
        <v>305</v>
      </c>
    </row>
    <row r="15" spans="1:17" x14ac:dyDescent="0.35">
      <c r="A15" s="435"/>
      <c r="B15" t="s">
        <v>884</v>
      </c>
      <c r="C15">
        <v>105</v>
      </c>
      <c r="D15" s="436"/>
    </row>
    <row r="16" spans="1:17" x14ac:dyDescent="0.35">
      <c r="A16" s="404"/>
      <c r="B16" s="409" t="s">
        <v>885</v>
      </c>
      <c r="C16" s="409">
        <v>106</v>
      </c>
      <c r="D16" s="406"/>
      <c r="I16" s="446"/>
    </row>
    <row r="17" spans="6:17" x14ac:dyDescent="0.35">
      <c r="F17" s="401"/>
      <c r="G17" s="402" t="s">
        <v>862</v>
      </c>
      <c r="H17" s="402" t="s">
        <v>863</v>
      </c>
      <c r="I17" s="447">
        <f>SUM(I18:I20)</f>
        <v>515</v>
      </c>
      <c r="J17" s="403"/>
      <c r="K17" t="s">
        <v>886</v>
      </c>
      <c r="M17" s="401" t="s">
        <v>862</v>
      </c>
      <c r="N17" s="402" t="s">
        <v>863</v>
      </c>
      <c r="O17" s="447">
        <f>+O19+O18</f>
        <v>1017</v>
      </c>
      <c r="P17" s="403"/>
      <c r="Q17" t="s">
        <v>887</v>
      </c>
    </row>
    <row r="18" spans="6:17" x14ac:dyDescent="0.35">
      <c r="F18" s="435"/>
      <c r="H18" s="397" t="s">
        <v>867</v>
      </c>
      <c r="I18" s="397">
        <v>200</v>
      </c>
      <c r="J18" s="449" t="s">
        <v>305</v>
      </c>
      <c r="M18" s="435"/>
      <c r="N18" t="s">
        <v>888</v>
      </c>
      <c r="O18">
        <v>417</v>
      </c>
      <c r="P18" s="436" t="s">
        <v>305</v>
      </c>
    </row>
    <row r="19" spans="6:17" x14ac:dyDescent="0.35">
      <c r="F19" s="435"/>
      <c r="H19" t="s">
        <v>889</v>
      </c>
      <c r="I19">
        <f>SUM(I9:I11)</f>
        <v>315</v>
      </c>
      <c r="J19" s="436" t="s">
        <v>305</v>
      </c>
      <c r="M19" s="451" t="s">
        <v>879</v>
      </c>
      <c r="N19" s="432" t="s">
        <v>881</v>
      </c>
      <c r="O19" s="452">
        <v>600</v>
      </c>
      <c r="P19" s="453" t="s">
        <v>309</v>
      </c>
    </row>
    <row r="20" spans="6:17" x14ac:dyDescent="0.35">
      <c r="F20" s="435"/>
      <c r="J20" s="436"/>
      <c r="O20" s="446"/>
    </row>
    <row r="21" spans="6:17" x14ac:dyDescent="0.35">
      <c r="F21" s="435"/>
      <c r="G21" s="397" t="s">
        <v>879</v>
      </c>
      <c r="H21" s="397" t="s">
        <v>880</v>
      </c>
      <c r="I21" s="450">
        <v>303</v>
      </c>
      <c r="J21" s="449" t="s">
        <v>309</v>
      </c>
    </row>
    <row r="22" spans="6:17" x14ac:dyDescent="0.35">
      <c r="F22" s="454" t="s">
        <v>883</v>
      </c>
      <c r="G22" s="434" t="s">
        <v>879</v>
      </c>
      <c r="H22" s="434" t="s">
        <v>880</v>
      </c>
      <c r="I22" s="434">
        <v>-303</v>
      </c>
      <c r="J22" s="455" t="s">
        <v>305</v>
      </c>
    </row>
  </sheetData>
  <mergeCells count="2">
    <mergeCell ref="F5:J5"/>
    <mergeCell ref="M5:P5"/>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3034-3DB9-4A3A-875B-E031B27CDFBA}">
  <dimension ref="A1:S66"/>
  <sheetViews>
    <sheetView zoomScale="80" zoomScaleNormal="80" workbookViewId="0"/>
  </sheetViews>
  <sheetFormatPr defaultRowHeight="14.5" x14ac:dyDescent="0.35"/>
  <cols>
    <col min="1" max="1" width="7.453125" customWidth="1"/>
    <col min="2" max="2" width="17.81640625" bestFit="1" customWidth="1"/>
    <col min="3" max="3" width="27.81640625" bestFit="1" customWidth="1"/>
    <col min="4" max="4" width="32" bestFit="1" customWidth="1"/>
    <col min="5" max="5" width="4.81640625" bestFit="1" customWidth="1"/>
    <col min="6" max="6" width="12.453125" customWidth="1"/>
    <col min="7" max="7" width="10.81640625" customWidth="1"/>
    <col min="8" max="8" width="33.1796875" bestFit="1" customWidth="1"/>
    <col min="9" max="9" width="7.1796875" style="384" bestFit="1" customWidth="1"/>
    <col min="10" max="10" width="22.81640625" bestFit="1" customWidth="1"/>
    <col min="11" max="11" width="12.453125" style="384" bestFit="1" customWidth="1"/>
    <col min="12" max="12" width="17.453125" style="384" customWidth="1"/>
    <col min="14" max="14" width="25.81640625" bestFit="1" customWidth="1"/>
    <col min="18" max="18" width="13.81640625" bestFit="1" customWidth="1"/>
  </cols>
  <sheetData>
    <row r="1" spans="1:19" x14ac:dyDescent="0.35">
      <c r="C1" s="399" t="s">
        <v>760</v>
      </c>
      <c r="D1" s="399" t="s">
        <v>310</v>
      </c>
      <c r="G1" s="399" t="s">
        <v>761</v>
      </c>
      <c r="H1" s="399" t="s">
        <v>789</v>
      </c>
      <c r="I1" s="399" t="s">
        <v>315</v>
      </c>
      <c r="J1" s="399" t="s">
        <v>278</v>
      </c>
      <c r="K1" s="399" t="s">
        <v>763</v>
      </c>
      <c r="L1" s="399" t="s">
        <v>81</v>
      </c>
      <c r="N1" s="400" t="s">
        <v>762</v>
      </c>
      <c r="O1" s="399" t="s">
        <v>315</v>
      </c>
      <c r="Q1" s="391" t="s">
        <v>798</v>
      </c>
    </row>
    <row r="2" spans="1:19" x14ac:dyDescent="0.35">
      <c r="A2" s="539">
        <v>2025</v>
      </c>
      <c r="B2" s="401"/>
      <c r="C2" s="402" t="s">
        <v>86</v>
      </c>
      <c r="D2" s="402" t="s">
        <v>794</v>
      </c>
      <c r="E2" s="403">
        <v>100</v>
      </c>
      <c r="G2" s="414" t="s">
        <v>850</v>
      </c>
      <c r="H2" s="439" t="s">
        <v>764</v>
      </c>
      <c r="I2" s="440">
        <f>E3</f>
        <v>-100</v>
      </c>
      <c r="J2" s="440" t="s">
        <v>792</v>
      </c>
      <c r="K2" s="440">
        <f>-I2</f>
        <v>100</v>
      </c>
      <c r="L2" s="416" t="s">
        <v>765</v>
      </c>
      <c r="N2" s="413" t="s">
        <v>791</v>
      </c>
      <c r="O2" s="413">
        <f>I2+I3+I4</f>
        <v>-450</v>
      </c>
      <c r="Q2" t="s">
        <v>799</v>
      </c>
    </row>
    <row r="3" spans="1:19" x14ac:dyDescent="0.35">
      <c r="A3" s="539"/>
      <c r="B3" s="444" t="s">
        <v>348</v>
      </c>
      <c r="C3" s="405" t="s">
        <v>4</v>
      </c>
      <c r="D3" s="428" t="s">
        <v>680</v>
      </c>
      <c r="E3" s="406">
        <f>-E2</f>
        <v>-100</v>
      </c>
      <c r="G3" s="424" t="s">
        <v>850</v>
      </c>
      <c r="H3" s="437" t="s">
        <v>764</v>
      </c>
      <c r="I3" s="438">
        <f>E6</f>
        <v>-150</v>
      </c>
      <c r="J3" s="438" t="s">
        <v>792</v>
      </c>
      <c r="K3" s="438">
        <f>-I3</f>
        <v>150</v>
      </c>
      <c r="L3" s="425" t="s">
        <v>765</v>
      </c>
      <c r="N3" s="413" t="s">
        <v>848</v>
      </c>
      <c r="O3" s="413">
        <f>I5</f>
        <v>400</v>
      </c>
      <c r="Q3" t="s">
        <v>800</v>
      </c>
    </row>
    <row r="4" spans="1:19" x14ac:dyDescent="0.35">
      <c r="A4" s="539"/>
      <c r="G4" s="424" t="s">
        <v>850</v>
      </c>
      <c r="H4" s="437" t="s">
        <v>764</v>
      </c>
      <c r="I4" s="438">
        <f>E18</f>
        <v>-200</v>
      </c>
      <c r="J4" s="438" t="s">
        <v>792</v>
      </c>
      <c r="K4" s="438">
        <f>-I4</f>
        <v>200</v>
      </c>
      <c r="L4" s="425" t="s">
        <v>765</v>
      </c>
      <c r="N4" t="s">
        <v>795</v>
      </c>
      <c r="O4">
        <f>I6</f>
        <v>100</v>
      </c>
      <c r="Q4" t="s">
        <v>801</v>
      </c>
    </row>
    <row r="5" spans="1:19" x14ac:dyDescent="0.35">
      <c r="A5" s="539"/>
      <c r="B5" s="401"/>
      <c r="C5" s="407" t="s">
        <v>202</v>
      </c>
      <c r="D5" s="402" t="s">
        <v>681</v>
      </c>
      <c r="E5" s="403">
        <v>150</v>
      </c>
      <c r="G5" s="424" t="s">
        <v>850</v>
      </c>
      <c r="H5" s="437" t="s">
        <v>828</v>
      </c>
      <c r="I5" s="438">
        <f>E8</f>
        <v>400</v>
      </c>
      <c r="J5" s="438" t="s">
        <v>792</v>
      </c>
      <c r="K5" s="438">
        <f>-I5</f>
        <v>-400</v>
      </c>
      <c r="L5" s="425" t="s">
        <v>765</v>
      </c>
      <c r="N5" t="s">
        <v>844</v>
      </c>
      <c r="O5">
        <f>I7</f>
        <v>200</v>
      </c>
      <c r="Q5" t="s">
        <v>802</v>
      </c>
    </row>
    <row r="6" spans="1:19" x14ac:dyDescent="0.35">
      <c r="A6" s="539"/>
      <c r="B6" s="404" t="s">
        <v>350</v>
      </c>
      <c r="C6" s="405" t="s">
        <v>4</v>
      </c>
      <c r="D6" s="428" t="s">
        <v>680</v>
      </c>
      <c r="E6" s="406">
        <f>-E5</f>
        <v>-150</v>
      </c>
      <c r="G6" s="424" t="s">
        <v>850</v>
      </c>
      <c r="H6" s="437" t="s">
        <v>795</v>
      </c>
      <c r="I6" s="438">
        <f>E2</f>
        <v>100</v>
      </c>
      <c r="J6" s="438" t="s">
        <v>792</v>
      </c>
      <c r="K6" s="438">
        <f>-I6</f>
        <v>-100</v>
      </c>
      <c r="L6" s="425" t="s">
        <v>765</v>
      </c>
      <c r="N6" t="s">
        <v>845</v>
      </c>
      <c r="O6">
        <f>I8</f>
        <v>-60</v>
      </c>
      <c r="R6" t="s">
        <v>803</v>
      </c>
      <c r="S6" t="s">
        <v>812</v>
      </c>
    </row>
    <row r="7" spans="1:19" x14ac:dyDescent="0.35">
      <c r="A7" s="539"/>
      <c r="C7" s="383"/>
      <c r="G7" s="424" t="s">
        <v>850</v>
      </c>
      <c r="H7" s="437" t="s">
        <v>844</v>
      </c>
      <c r="I7" s="438">
        <f>E17</f>
        <v>200</v>
      </c>
      <c r="J7" s="438" t="s">
        <v>792</v>
      </c>
      <c r="K7" s="438">
        <f t="shared" ref="K7:K8" si="0">-I7</f>
        <v>-200</v>
      </c>
      <c r="L7" s="425" t="s">
        <v>765</v>
      </c>
      <c r="N7" t="s">
        <v>766</v>
      </c>
      <c r="O7">
        <f>I9+I10</f>
        <v>800</v>
      </c>
      <c r="R7" t="s">
        <v>804</v>
      </c>
      <c r="S7" t="s">
        <v>813</v>
      </c>
    </row>
    <row r="8" spans="1:19" x14ac:dyDescent="0.35">
      <c r="A8" s="539"/>
      <c r="B8" s="401" t="s">
        <v>826</v>
      </c>
      <c r="C8" s="407" t="s">
        <v>3</v>
      </c>
      <c r="D8" s="429" t="s">
        <v>677</v>
      </c>
      <c r="E8" s="403">
        <v>400</v>
      </c>
      <c r="G8" s="424" t="s">
        <v>850</v>
      </c>
      <c r="H8" t="s">
        <v>845</v>
      </c>
      <c r="I8" s="384">
        <f>E21</f>
        <v>-60</v>
      </c>
      <c r="J8" s="384" t="s">
        <v>792</v>
      </c>
      <c r="K8" s="384">
        <f t="shared" si="0"/>
        <v>60</v>
      </c>
      <c r="L8" s="425" t="s">
        <v>765</v>
      </c>
      <c r="N8" t="s">
        <v>767</v>
      </c>
      <c r="O8">
        <f>I11</f>
        <v>-800</v>
      </c>
      <c r="R8" t="s">
        <v>805</v>
      </c>
      <c r="S8" t="s">
        <v>814</v>
      </c>
    </row>
    <row r="9" spans="1:19" x14ac:dyDescent="0.35">
      <c r="A9" s="539"/>
      <c r="B9" s="404"/>
      <c r="C9" s="405" t="s">
        <v>202</v>
      </c>
      <c r="D9" s="409" t="s">
        <v>726</v>
      </c>
      <c r="E9" s="406">
        <f>-E8</f>
        <v>-400</v>
      </c>
      <c r="G9" s="424" t="s">
        <v>850</v>
      </c>
      <c r="H9" s="437" t="s">
        <v>766</v>
      </c>
      <c r="I9" s="438">
        <f>E11</f>
        <v>500</v>
      </c>
      <c r="J9" s="438" t="s">
        <v>792</v>
      </c>
      <c r="K9" s="438">
        <f t="shared" ref="K9:K12" si="1">-I9</f>
        <v>-500</v>
      </c>
      <c r="L9" s="425" t="s">
        <v>765</v>
      </c>
      <c r="N9" t="s">
        <v>768</v>
      </c>
      <c r="O9">
        <f>I12</f>
        <v>-190</v>
      </c>
      <c r="R9" t="s">
        <v>806</v>
      </c>
      <c r="S9" t="s">
        <v>811</v>
      </c>
    </row>
    <row r="10" spans="1:19" x14ac:dyDescent="0.35">
      <c r="A10" s="539"/>
      <c r="G10" s="424" t="s">
        <v>850</v>
      </c>
      <c r="H10" s="437" t="s">
        <v>766</v>
      </c>
      <c r="I10" s="438">
        <f>E14</f>
        <v>300</v>
      </c>
      <c r="J10" s="438" t="s">
        <v>792</v>
      </c>
      <c r="K10" s="438">
        <f t="shared" si="1"/>
        <v>-300</v>
      </c>
      <c r="L10" s="425" t="s">
        <v>765</v>
      </c>
      <c r="N10" s="413" t="s">
        <v>333</v>
      </c>
      <c r="O10" s="413">
        <f>SUM(K2:K12)</f>
        <v>0</v>
      </c>
      <c r="R10" t="s">
        <v>815</v>
      </c>
      <c r="S10" t="s">
        <v>816</v>
      </c>
    </row>
    <row r="11" spans="1:19" x14ac:dyDescent="0.35">
      <c r="A11" s="539"/>
      <c r="B11" s="401" t="s">
        <v>769</v>
      </c>
      <c r="C11" s="407" t="s">
        <v>234</v>
      </c>
      <c r="D11" s="429" t="s">
        <v>770</v>
      </c>
      <c r="E11" s="403">
        <v>500</v>
      </c>
      <c r="G11" s="424" t="s">
        <v>850</v>
      </c>
      <c r="H11" t="s">
        <v>767</v>
      </c>
      <c r="I11" s="384">
        <f>E12+E15</f>
        <v>-800</v>
      </c>
      <c r="J11" s="384" t="s">
        <v>792</v>
      </c>
      <c r="K11" s="384">
        <f t="shared" si="1"/>
        <v>800</v>
      </c>
      <c r="L11" s="425" t="s">
        <v>765</v>
      </c>
      <c r="N11" s="408" t="s">
        <v>771</v>
      </c>
      <c r="O11" s="408">
        <f>SUM(O2:O10)</f>
        <v>0</v>
      </c>
      <c r="R11" t="s">
        <v>807</v>
      </c>
      <c r="S11" t="s">
        <v>810</v>
      </c>
    </row>
    <row r="12" spans="1:19" x14ac:dyDescent="0.35">
      <c r="A12" s="539"/>
      <c r="B12" s="404"/>
      <c r="C12" s="409" t="s">
        <v>233</v>
      </c>
      <c r="D12" s="433" t="s">
        <v>687</v>
      </c>
      <c r="E12" s="406">
        <f>-E11</f>
        <v>-500</v>
      </c>
      <c r="G12" s="417" t="s">
        <v>850</v>
      </c>
      <c r="H12" s="409" t="s">
        <v>768</v>
      </c>
      <c r="I12" s="418">
        <f>E23</f>
        <v>-190</v>
      </c>
      <c r="J12" s="418" t="s">
        <v>792</v>
      </c>
      <c r="K12" s="418">
        <f t="shared" si="1"/>
        <v>190</v>
      </c>
      <c r="L12" s="419" t="s">
        <v>765</v>
      </c>
      <c r="R12" t="s">
        <v>808</v>
      </c>
      <c r="S12" t="s">
        <v>809</v>
      </c>
    </row>
    <row r="13" spans="1:19" x14ac:dyDescent="0.35">
      <c r="A13" s="539"/>
      <c r="G13" s="384"/>
      <c r="H13" s="408" t="s">
        <v>771</v>
      </c>
      <c r="I13" s="411">
        <f>SUM(I2:I12)</f>
        <v>0</v>
      </c>
      <c r="J13" s="384"/>
      <c r="Q13" t="s">
        <v>817</v>
      </c>
    </row>
    <row r="14" spans="1:19" x14ac:dyDescent="0.35">
      <c r="A14" s="539"/>
      <c r="B14" s="401" t="s">
        <v>772</v>
      </c>
      <c r="C14" s="402" t="s">
        <v>234</v>
      </c>
      <c r="D14" s="429" t="s">
        <v>770</v>
      </c>
      <c r="E14" s="403">
        <v>300</v>
      </c>
      <c r="G14" s="384"/>
      <c r="J14" s="384"/>
      <c r="Q14" t="s">
        <v>823</v>
      </c>
    </row>
    <row r="15" spans="1:19" x14ac:dyDescent="0.35">
      <c r="A15" s="539"/>
      <c r="B15" s="404"/>
      <c r="C15" s="409" t="s">
        <v>233</v>
      </c>
      <c r="D15" s="433" t="s">
        <v>687</v>
      </c>
      <c r="E15" s="406">
        <f>-E14</f>
        <v>-300</v>
      </c>
      <c r="G15" s="384"/>
      <c r="H15" s="437" t="s">
        <v>847</v>
      </c>
      <c r="I15" s="438"/>
      <c r="J15" s="438"/>
      <c r="K15" s="438"/>
      <c r="N15" s="400" t="s">
        <v>776</v>
      </c>
      <c r="O15" s="399" t="s">
        <v>315</v>
      </c>
      <c r="Q15" t="s">
        <v>824</v>
      </c>
    </row>
    <row r="16" spans="1:19" x14ac:dyDescent="0.35">
      <c r="A16" s="539"/>
      <c r="G16" s="384" t="s">
        <v>773</v>
      </c>
      <c r="H16" s="437" t="s">
        <v>764</v>
      </c>
      <c r="I16" s="438">
        <f t="shared" ref="I16:I21" si="2">-I2</f>
        <v>100</v>
      </c>
      <c r="J16" s="438" t="s">
        <v>792</v>
      </c>
      <c r="K16" s="438">
        <f t="shared" ref="K16:K21" si="3">-I16</f>
        <v>-100</v>
      </c>
      <c r="N16" t="s">
        <v>790</v>
      </c>
      <c r="O16">
        <f>I26+I27+I28</f>
        <v>-520</v>
      </c>
      <c r="R16" t="s">
        <v>803</v>
      </c>
      <c r="S16" t="s">
        <v>819</v>
      </c>
    </row>
    <row r="17" spans="1:19" x14ac:dyDescent="0.35">
      <c r="A17" s="539"/>
      <c r="B17" s="401" t="s">
        <v>831</v>
      </c>
      <c r="C17" s="402" t="s">
        <v>836</v>
      </c>
      <c r="D17" s="430" t="s">
        <v>837</v>
      </c>
      <c r="E17" s="403">
        <v>200</v>
      </c>
      <c r="G17" s="384" t="s">
        <v>773</v>
      </c>
      <c r="H17" s="437" t="s">
        <v>764</v>
      </c>
      <c r="I17" s="438">
        <f t="shared" si="2"/>
        <v>150</v>
      </c>
      <c r="J17" s="438" t="s">
        <v>792</v>
      </c>
      <c r="K17" s="438">
        <f t="shared" si="3"/>
        <v>-150</v>
      </c>
      <c r="N17" s="413" t="s">
        <v>791</v>
      </c>
      <c r="O17" s="413">
        <f>-O16</f>
        <v>520</v>
      </c>
      <c r="R17" t="s">
        <v>804</v>
      </c>
      <c r="S17" t="s">
        <v>818</v>
      </c>
    </row>
    <row r="18" spans="1:19" x14ac:dyDescent="0.35">
      <c r="A18" s="539"/>
      <c r="B18" s="404"/>
      <c r="C18" s="409" t="s">
        <v>4</v>
      </c>
      <c r="D18" s="428" t="s">
        <v>680</v>
      </c>
      <c r="E18" s="406">
        <f>-E17</f>
        <v>-200</v>
      </c>
      <c r="G18" s="384" t="s">
        <v>773</v>
      </c>
      <c r="H18" s="437" t="s">
        <v>764</v>
      </c>
      <c r="I18" s="438">
        <f t="shared" si="2"/>
        <v>200</v>
      </c>
      <c r="J18" s="438" t="s">
        <v>792</v>
      </c>
      <c r="K18" s="438">
        <f t="shared" si="3"/>
        <v>-200</v>
      </c>
      <c r="N18" t="s">
        <v>849</v>
      </c>
      <c r="O18">
        <f>E8</f>
        <v>400</v>
      </c>
      <c r="R18" t="s">
        <v>805</v>
      </c>
      <c r="S18" t="s">
        <v>820</v>
      </c>
    </row>
    <row r="19" spans="1:19" x14ac:dyDescent="0.35">
      <c r="A19" s="539"/>
      <c r="G19" s="384" t="s">
        <v>773</v>
      </c>
      <c r="H19" s="437" t="s">
        <v>828</v>
      </c>
      <c r="I19" s="438">
        <f t="shared" si="2"/>
        <v>-400</v>
      </c>
      <c r="J19" s="438" t="s">
        <v>792</v>
      </c>
      <c r="K19" s="438">
        <f t="shared" si="3"/>
        <v>400</v>
      </c>
      <c r="N19" s="413" t="s">
        <v>848</v>
      </c>
      <c r="O19" s="413">
        <f>-O18</f>
        <v>-400</v>
      </c>
      <c r="R19" t="s">
        <v>806</v>
      </c>
      <c r="S19" t="s">
        <v>820</v>
      </c>
    </row>
    <row r="20" spans="1:19" x14ac:dyDescent="0.35">
      <c r="A20" s="539"/>
      <c r="B20" s="401" t="s">
        <v>834</v>
      </c>
      <c r="C20" s="402" t="s">
        <v>202</v>
      </c>
      <c r="D20" s="402" t="s">
        <v>838</v>
      </c>
      <c r="E20" s="403">
        <v>60</v>
      </c>
      <c r="G20" s="384" t="s">
        <v>773</v>
      </c>
      <c r="H20" s="437" t="s">
        <v>796</v>
      </c>
      <c r="I20" s="438">
        <f t="shared" si="2"/>
        <v>-100</v>
      </c>
      <c r="J20" s="438" t="s">
        <v>792</v>
      </c>
      <c r="K20" s="438">
        <f t="shared" si="3"/>
        <v>100</v>
      </c>
      <c r="N20" t="s">
        <v>86</v>
      </c>
      <c r="O20">
        <f>I33</f>
        <v>100</v>
      </c>
      <c r="R20" t="s">
        <v>815</v>
      </c>
      <c r="S20" t="s">
        <v>821</v>
      </c>
    </row>
    <row r="21" spans="1:19" x14ac:dyDescent="0.35">
      <c r="A21" s="539"/>
      <c r="B21" s="404"/>
      <c r="C21" s="409" t="s">
        <v>840</v>
      </c>
      <c r="D21" s="432" t="s">
        <v>839</v>
      </c>
      <c r="E21" s="406">
        <f>-E20</f>
        <v>-60</v>
      </c>
      <c r="G21" s="384" t="s">
        <v>773</v>
      </c>
      <c r="H21" s="437" t="s">
        <v>844</v>
      </c>
      <c r="I21" s="438">
        <f t="shared" si="2"/>
        <v>-200</v>
      </c>
      <c r="J21" s="438" t="s">
        <v>792</v>
      </c>
      <c r="K21" s="438">
        <f t="shared" si="3"/>
        <v>200</v>
      </c>
      <c r="N21" s="413" t="s">
        <v>337</v>
      </c>
      <c r="O21" s="413">
        <f>-O20</f>
        <v>-100</v>
      </c>
      <c r="R21" t="s">
        <v>807</v>
      </c>
      <c r="S21" t="s">
        <v>822</v>
      </c>
    </row>
    <row r="22" spans="1:19" x14ac:dyDescent="0.35">
      <c r="A22" s="539"/>
      <c r="G22" s="384" t="s">
        <v>773</v>
      </c>
      <c r="H22" s="437" t="s">
        <v>766</v>
      </c>
      <c r="I22" s="438">
        <f>-I9</f>
        <v>-500</v>
      </c>
      <c r="J22" s="438" t="s">
        <v>792</v>
      </c>
      <c r="K22" s="438">
        <f t="shared" ref="K22:K23" si="4">-I22</f>
        <v>500</v>
      </c>
      <c r="N22" t="s">
        <v>844</v>
      </c>
      <c r="O22">
        <f>+E17+E38+E42</f>
        <v>90</v>
      </c>
      <c r="Q22" t="s">
        <v>890</v>
      </c>
    </row>
    <row r="23" spans="1:19" x14ac:dyDescent="0.35">
      <c r="A23" s="539"/>
      <c r="B23" s="401" t="s">
        <v>830</v>
      </c>
      <c r="C23" s="402" t="s">
        <v>233</v>
      </c>
      <c r="D23" s="431" t="s">
        <v>774</v>
      </c>
      <c r="E23" s="403">
        <f>-SUM(E24:E26)</f>
        <v>-190</v>
      </c>
      <c r="G23" s="384" t="s">
        <v>773</v>
      </c>
      <c r="H23" s="437" t="s">
        <v>766</v>
      </c>
      <c r="I23" s="438">
        <f>-I10</f>
        <v>-300</v>
      </c>
      <c r="J23" s="438" t="s">
        <v>792</v>
      </c>
      <c r="K23" s="438">
        <f t="shared" si="4"/>
        <v>300</v>
      </c>
      <c r="N23" s="413" t="s">
        <v>336</v>
      </c>
      <c r="O23" s="413">
        <f>-O22</f>
        <v>-90</v>
      </c>
      <c r="Q23" t="s">
        <v>825</v>
      </c>
    </row>
    <row r="24" spans="1:19" x14ac:dyDescent="0.35">
      <c r="A24" s="539"/>
      <c r="B24" s="435"/>
      <c r="C24" t="s">
        <v>202</v>
      </c>
      <c r="D24" t="s">
        <v>775</v>
      </c>
      <c r="E24" s="436">
        <f>-E5</f>
        <v>-150</v>
      </c>
      <c r="G24" s="384"/>
      <c r="J24" s="384"/>
      <c r="N24" t="s">
        <v>845</v>
      </c>
      <c r="O24">
        <f>I8+I39</f>
        <v>-100</v>
      </c>
    </row>
    <row r="25" spans="1:19" x14ac:dyDescent="0.35">
      <c r="A25" s="539"/>
      <c r="B25" s="435"/>
      <c r="C25" t="s">
        <v>202</v>
      </c>
      <c r="D25" t="s">
        <v>846</v>
      </c>
      <c r="E25" s="436">
        <f>-E20</f>
        <v>-60</v>
      </c>
      <c r="G25" s="399"/>
      <c r="H25" s="399" t="s">
        <v>788</v>
      </c>
      <c r="I25" s="399" t="s">
        <v>315</v>
      </c>
      <c r="J25" s="399" t="s">
        <v>278</v>
      </c>
      <c r="K25" s="399" t="s">
        <v>763</v>
      </c>
      <c r="L25" s="399"/>
      <c r="N25" t="s">
        <v>766</v>
      </c>
      <c r="O25">
        <f>I40</f>
        <v>300</v>
      </c>
      <c r="Q25" s="391" t="s">
        <v>891</v>
      </c>
    </row>
    <row r="26" spans="1:19" x14ac:dyDescent="0.35">
      <c r="A26" s="539"/>
      <c r="B26" s="404"/>
      <c r="C26" s="409" t="s">
        <v>202</v>
      </c>
      <c r="D26" s="409" t="s">
        <v>727</v>
      </c>
      <c r="E26" s="406">
        <f>-E9</f>
        <v>400</v>
      </c>
      <c r="G26" s="414" t="s">
        <v>850</v>
      </c>
      <c r="H26" s="402" t="s">
        <v>777</v>
      </c>
      <c r="I26" s="415">
        <f>I3</f>
        <v>-150</v>
      </c>
      <c r="J26" s="415" t="s">
        <v>764</v>
      </c>
      <c r="K26" s="415">
        <f>-I26</f>
        <v>150</v>
      </c>
      <c r="L26" s="416" t="s">
        <v>778</v>
      </c>
      <c r="N26" t="s">
        <v>767</v>
      </c>
      <c r="O26">
        <f>I11+I41+I42</f>
        <v>-400</v>
      </c>
      <c r="Q26" s="456" t="s">
        <v>906</v>
      </c>
    </row>
    <row r="27" spans="1:19" x14ac:dyDescent="0.35">
      <c r="G27" s="424" t="s">
        <v>850</v>
      </c>
      <c r="H27" t="s">
        <v>780</v>
      </c>
      <c r="I27" s="384">
        <f>E30</f>
        <v>-170</v>
      </c>
      <c r="J27" s="384" t="s">
        <v>764</v>
      </c>
      <c r="K27" s="384">
        <f t="shared" ref="K27" si="5">-I27</f>
        <v>170</v>
      </c>
      <c r="L27" s="425" t="s">
        <v>778</v>
      </c>
      <c r="N27" t="s">
        <v>784</v>
      </c>
      <c r="O27">
        <f>I45+I44+I43</f>
        <v>550</v>
      </c>
      <c r="Q27" s="456" t="s">
        <v>907</v>
      </c>
    </row>
    <row r="28" spans="1:19" x14ac:dyDescent="0.35">
      <c r="G28" s="424" t="s">
        <v>850</v>
      </c>
      <c r="H28" t="s">
        <v>855</v>
      </c>
      <c r="I28" s="384">
        <f>I4</f>
        <v>-200</v>
      </c>
      <c r="J28" s="384" t="s">
        <v>764</v>
      </c>
      <c r="K28" s="384">
        <f>-I28</f>
        <v>200</v>
      </c>
      <c r="L28" s="425" t="s">
        <v>778</v>
      </c>
      <c r="N28" t="s">
        <v>768</v>
      </c>
      <c r="O28">
        <f>I12</f>
        <v>-190</v>
      </c>
      <c r="Q28" s="456" t="s">
        <v>892</v>
      </c>
    </row>
    <row r="29" spans="1:19" x14ac:dyDescent="0.35">
      <c r="A29" s="538">
        <v>2026</v>
      </c>
      <c r="B29" s="401"/>
      <c r="C29" s="402" t="s">
        <v>202</v>
      </c>
      <c r="D29" s="402" t="s">
        <v>681</v>
      </c>
      <c r="E29" s="403">
        <v>170</v>
      </c>
      <c r="G29" s="417" t="s">
        <v>850</v>
      </c>
      <c r="H29" s="409" t="s">
        <v>856</v>
      </c>
      <c r="I29" s="418">
        <f>E39</f>
        <v>-230</v>
      </c>
      <c r="J29" s="418" t="s">
        <v>764</v>
      </c>
      <c r="K29" s="418">
        <f>-I29</f>
        <v>230</v>
      </c>
      <c r="L29" s="419" t="s">
        <v>778</v>
      </c>
      <c r="N29" s="413" t="s">
        <v>333</v>
      </c>
      <c r="O29" s="413">
        <f>SUM(K8,K39:K45,K11:K12)</f>
        <v>-160</v>
      </c>
      <c r="Q29" s="456" t="s">
        <v>893</v>
      </c>
    </row>
    <row r="30" spans="1:19" x14ac:dyDescent="0.35">
      <c r="A30" s="538"/>
      <c r="B30" s="404" t="s">
        <v>779</v>
      </c>
      <c r="C30" s="405" t="s">
        <v>4</v>
      </c>
      <c r="D30" s="428" t="s">
        <v>680</v>
      </c>
      <c r="E30" s="406">
        <f>-E29</f>
        <v>-170</v>
      </c>
      <c r="J30" s="384"/>
      <c r="N30" s="410" t="s">
        <v>771</v>
      </c>
      <c r="O30" s="410">
        <f>SUM(O16:O29)</f>
        <v>0</v>
      </c>
      <c r="Q30" s="456" t="s">
        <v>894</v>
      </c>
    </row>
    <row r="31" spans="1:19" x14ac:dyDescent="0.35">
      <c r="A31" s="538"/>
      <c r="G31" s="420" t="s">
        <v>850</v>
      </c>
      <c r="H31" s="421" t="s">
        <v>827</v>
      </c>
      <c r="I31" s="422">
        <f>I5</f>
        <v>400</v>
      </c>
      <c r="J31" s="422" t="s">
        <v>828</v>
      </c>
      <c r="K31" s="422">
        <f>-I31</f>
        <v>-400</v>
      </c>
      <c r="L31" s="423" t="s">
        <v>829</v>
      </c>
      <c r="Q31" s="456" t="s">
        <v>895</v>
      </c>
    </row>
    <row r="32" spans="1:19" x14ac:dyDescent="0.35">
      <c r="A32" s="538"/>
      <c r="B32" s="445" t="s">
        <v>782</v>
      </c>
      <c r="C32" s="402" t="s">
        <v>4</v>
      </c>
      <c r="D32" s="429" t="s">
        <v>686</v>
      </c>
      <c r="E32" s="403">
        <f>E2</f>
        <v>100</v>
      </c>
      <c r="J32" s="384"/>
      <c r="Q32" s="456" t="s">
        <v>896</v>
      </c>
    </row>
    <row r="33" spans="1:18" x14ac:dyDescent="0.35">
      <c r="A33" s="538"/>
      <c r="B33" s="404"/>
      <c r="C33" s="409" t="s">
        <v>233</v>
      </c>
      <c r="D33" s="433" t="s">
        <v>687</v>
      </c>
      <c r="E33" s="406">
        <f>E3</f>
        <v>-100</v>
      </c>
      <c r="G33" s="420" t="s">
        <v>850</v>
      </c>
      <c r="H33" s="421" t="s">
        <v>795</v>
      </c>
      <c r="I33" s="422">
        <f>I6</f>
        <v>100</v>
      </c>
      <c r="J33" s="422" t="s">
        <v>797</v>
      </c>
      <c r="K33" s="422">
        <f>-I33</f>
        <v>-100</v>
      </c>
      <c r="L33" s="423" t="s">
        <v>120</v>
      </c>
      <c r="R33" t="s">
        <v>909</v>
      </c>
    </row>
    <row r="34" spans="1:18" x14ac:dyDescent="0.35">
      <c r="A34" s="538"/>
      <c r="J34" s="384"/>
      <c r="Q34" s="456" t="s">
        <v>897</v>
      </c>
    </row>
    <row r="35" spans="1:18" x14ac:dyDescent="0.35">
      <c r="A35" s="538"/>
      <c r="B35" s="401" t="s">
        <v>785</v>
      </c>
      <c r="C35" s="402" t="s">
        <v>233</v>
      </c>
      <c r="D35" s="431" t="s">
        <v>684</v>
      </c>
      <c r="E35" s="403">
        <f>E11</f>
        <v>500</v>
      </c>
      <c r="G35" s="441" t="s">
        <v>851</v>
      </c>
      <c r="H35" s="402" t="s">
        <v>844</v>
      </c>
      <c r="I35" s="415">
        <f>I7</f>
        <v>200</v>
      </c>
      <c r="J35" s="415" t="s">
        <v>853</v>
      </c>
      <c r="K35" s="415">
        <f>-I35</f>
        <v>-200</v>
      </c>
      <c r="L35" s="416" t="s">
        <v>852</v>
      </c>
      <c r="N35" s="400" t="s">
        <v>793</v>
      </c>
      <c r="O35" s="399" t="s">
        <v>315</v>
      </c>
      <c r="Q35" s="456" t="s">
        <v>898</v>
      </c>
    </row>
    <row r="36" spans="1:18" x14ac:dyDescent="0.35">
      <c r="A36" s="538"/>
      <c r="B36" s="404"/>
      <c r="C36" s="409" t="s">
        <v>234</v>
      </c>
      <c r="D36" s="428" t="s">
        <v>786</v>
      </c>
      <c r="E36" s="406">
        <f>E12</f>
        <v>-500</v>
      </c>
      <c r="G36" s="442" t="s">
        <v>851</v>
      </c>
      <c r="H36" t="s">
        <v>844</v>
      </c>
      <c r="I36" s="384">
        <f>E38</f>
        <v>230</v>
      </c>
      <c r="J36" s="384" t="s">
        <v>853</v>
      </c>
      <c r="K36" s="384">
        <f>-I36</f>
        <v>-230</v>
      </c>
      <c r="L36" s="425" t="s">
        <v>852</v>
      </c>
      <c r="N36" t="s">
        <v>790</v>
      </c>
      <c r="O36">
        <f>O16</f>
        <v>-520</v>
      </c>
      <c r="R36" t="s">
        <v>908</v>
      </c>
    </row>
    <row r="37" spans="1:18" x14ac:dyDescent="0.35">
      <c r="A37" s="538"/>
      <c r="G37" s="443" t="s">
        <v>851</v>
      </c>
      <c r="H37" s="409" t="s">
        <v>844</v>
      </c>
      <c r="I37" s="418">
        <f>E42</f>
        <v>-340</v>
      </c>
      <c r="J37" s="418" t="s">
        <v>853</v>
      </c>
      <c r="K37" s="418">
        <f>-I37</f>
        <v>340</v>
      </c>
      <c r="L37" s="419" t="s">
        <v>852</v>
      </c>
      <c r="N37" s="413" t="s">
        <v>791</v>
      </c>
      <c r="O37" s="413">
        <f>O17+I50</f>
        <v>-230</v>
      </c>
      <c r="Q37" s="456" t="s">
        <v>899</v>
      </c>
    </row>
    <row r="38" spans="1:18" x14ac:dyDescent="0.35">
      <c r="A38" s="538"/>
      <c r="B38" s="401" t="s">
        <v>832</v>
      </c>
      <c r="C38" s="402" t="s">
        <v>836</v>
      </c>
      <c r="D38" s="430" t="s">
        <v>837</v>
      </c>
      <c r="E38" s="403">
        <v>230</v>
      </c>
      <c r="N38" t="s">
        <v>849</v>
      </c>
      <c r="O38">
        <f>O18</f>
        <v>400</v>
      </c>
      <c r="Q38" s="456" t="s">
        <v>900</v>
      </c>
    </row>
    <row r="39" spans="1:18" x14ac:dyDescent="0.35">
      <c r="A39" s="538"/>
      <c r="B39" s="404"/>
      <c r="C39" s="409" t="s">
        <v>4</v>
      </c>
      <c r="D39" s="428" t="s">
        <v>680</v>
      </c>
      <c r="E39" s="406">
        <f>-E38</f>
        <v>-230</v>
      </c>
      <c r="G39" s="414" t="s">
        <v>850</v>
      </c>
      <c r="H39" s="402" t="s">
        <v>845</v>
      </c>
      <c r="I39" s="415">
        <f>E45</f>
        <v>-40</v>
      </c>
      <c r="J39" s="415" t="s">
        <v>792</v>
      </c>
      <c r="K39" s="415">
        <f>-I39</f>
        <v>40</v>
      </c>
      <c r="L39" s="416" t="s">
        <v>765</v>
      </c>
      <c r="N39" s="413" t="s">
        <v>848</v>
      </c>
      <c r="O39" s="413">
        <f>O19+I51</f>
        <v>0</v>
      </c>
      <c r="Q39" s="456" t="s">
        <v>904</v>
      </c>
    </row>
    <row r="40" spans="1:18" x14ac:dyDescent="0.35">
      <c r="A40" s="538"/>
      <c r="G40" s="424" t="s">
        <v>850</v>
      </c>
      <c r="H40" t="s">
        <v>781</v>
      </c>
      <c r="I40" s="384">
        <f>E14</f>
        <v>300</v>
      </c>
      <c r="J40" s="384" t="s">
        <v>792</v>
      </c>
      <c r="K40" s="384">
        <f>-I40</f>
        <v>-300</v>
      </c>
      <c r="L40" s="425" t="s">
        <v>765</v>
      </c>
      <c r="N40" t="s">
        <v>86</v>
      </c>
      <c r="O40">
        <f>O20</f>
        <v>100</v>
      </c>
      <c r="Q40" s="456" t="s">
        <v>905</v>
      </c>
    </row>
    <row r="41" spans="1:18" x14ac:dyDescent="0.35">
      <c r="A41" s="538"/>
      <c r="B41" s="401" t="s">
        <v>833</v>
      </c>
      <c r="C41" s="402" t="s">
        <v>202</v>
      </c>
      <c r="D41" s="402" t="s">
        <v>841</v>
      </c>
      <c r="E41" s="403">
        <v>340</v>
      </c>
      <c r="G41" s="424" t="s">
        <v>850</v>
      </c>
      <c r="H41" t="s">
        <v>783</v>
      </c>
      <c r="I41" s="384">
        <f>E33</f>
        <v>-100</v>
      </c>
      <c r="J41" s="384" t="s">
        <v>792</v>
      </c>
      <c r="K41" s="384">
        <f>-I41</f>
        <v>100</v>
      </c>
      <c r="L41" s="425" t="s">
        <v>765</v>
      </c>
      <c r="N41" s="413" t="s">
        <v>337</v>
      </c>
      <c r="O41" s="413">
        <f>+O21+I52</f>
        <v>0</v>
      </c>
      <c r="Q41" s="456" t="s">
        <v>901</v>
      </c>
    </row>
    <row r="42" spans="1:18" x14ac:dyDescent="0.35">
      <c r="A42" s="538"/>
      <c r="B42" s="404"/>
      <c r="C42" s="409" t="s">
        <v>836</v>
      </c>
      <c r="D42" s="434" t="s">
        <v>842</v>
      </c>
      <c r="E42" s="406">
        <f>-E41</f>
        <v>-340</v>
      </c>
      <c r="G42" s="424" t="s">
        <v>850</v>
      </c>
      <c r="H42" t="s">
        <v>783</v>
      </c>
      <c r="I42" s="384">
        <f>E35</f>
        <v>500</v>
      </c>
      <c r="J42" s="384" t="s">
        <v>792</v>
      </c>
      <c r="K42" s="384">
        <f>-I42</f>
        <v>-500</v>
      </c>
      <c r="L42" s="425" t="s">
        <v>765</v>
      </c>
      <c r="N42" t="s">
        <v>844</v>
      </c>
      <c r="O42">
        <f>O22</f>
        <v>90</v>
      </c>
      <c r="Q42" s="456" t="s">
        <v>902</v>
      </c>
    </row>
    <row r="43" spans="1:18" x14ac:dyDescent="0.35">
      <c r="A43" s="538"/>
      <c r="G43" s="424" t="s">
        <v>850</v>
      </c>
      <c r="H43" t="s">
        <v>624</v>
      </c>
      <c r="I43" s="384">
        <f>E41</f>
        <v>340</v>
      </c>
      <c r="J43" s="384" t="s">
        <v>792</v>
      </c>
      <c r="K43" s="384">
        <f t="shared" ref="K43:K44" si="6">-I43</f>
        <v>-340</v>
      </c>
      <c r="L43" s="425" t="s">
        <v>765</v>
      </c>
      <c r="N43" s="413" t="s">
        <v>336</v>
      </c>
      <c r="O43" s="413">
        <f>+O23+I53</f>
        <v>0</v>
      </c>
      <c r="Q43" s="456" t="s">
        <v>903</v>
      </c>
    </row>
    <row r="44" spans="1:18" x14ac:dyDescent="0.35">
      <c r="A44" s="538"/>
      <c r="B44" s="401" t="s">
        <v>835</v>
      </c>
      <c r="C44" s="402" t="s">
        <v>202</v>
      </c>
      <c r="D44" s="402" t="s">
        <v>838</v>
      </c>
      <c r="E44" s="403">
        <v>40</v>
      </c>
      <c r="G44" s="424" t="s">
        <v>850</v>
      </c>
      <c r="H44" t="s">
        <v>854</v>
      </c>
      <c r="I44" s="384">
        <f>E44</f>
        <v>40</v>
      </c>
      <c r="J44" s="384" t="s">
        <v>792</v>
      </c>
      <c r="K44" s="384">
        <f t="shared" si="6"/>
        <v>-40</v>
      </c>
      <c r="L44" s="425" t="s">
        <v>765</v>
      </c>
      <c r="N44" t="s">
        <v>845</v>
      </c>
      <c r="O44">
        <f>O24</f>
        <v>-100</v>
      </c>
    </row>
    <row r="45" spans="1:18" x14ac:dyDescent="0.35">
      <c r="A45" s="538"/>
      <c r="B45" s="404"/>
      <c r="C45" s="409" t="s">
        <v>840</v>
      </c>
      <c r="D45" s="432" t="s">
        <v>839</v>
      </c>
      <c r="E45" s="406">
        <f>-E44</f>
        <v>-40</v>
      </c>
      <c r="G45" s="417" t="s">
        <v>850</v>
      </c>
      <c r="H45" s="409" t="s">
        <v>784</v>
      </c>
      <c r="I45" s="418">
        <f>E29</f>
        <v>170</v>
      </c>
      <c r="J45" s="418" t="s">
        <v>792</v>
      </c>
      <c r="K45" s="418">
        <f>-I45</f>
        <v>-170</v>
      </c>
      <c r="L45" s="419" t="s">
        <v>765</v>
      </c>
      <c r="N45" t="s">
        <v>766</v>
      </c>
      <c r="O45">
        <v>300</v>
      </c>
      <c r="Q45" s="391" t="s">
        <v>930</v>
      </c>
    </row>
    <row r="46" spans="1:18" x14ac:dyDescent="0.35">
      <c r="G46" s="384"/>
      <c r="H46" s="410" t="s">
        <v>771</v>
      </c>
      <c r="I46" s="412">
        <f>SUM(I8,I26:I45)+SUM(I11:I12)</f>
        <v>0</v>
      </c>
      <c r="J46" s="384"/>
      <c r="N46" t="s">
        <v>767</v>
      </c>
      <c r="O46">
        <v>-400</v>
      </c>
      <c r="Q46" s="456" t="s">
        <v>910</v>
      </c>
    </row>
    <row r="47" spans="1:18" x14ac:dyDescent="0.35">
      <c r="G47" s="384"/>
      <c r="J47" s="384"/>
      <c r="N47" t="s">
        <v>784</v>
      </c>
      <c r="O47">
        <f>O27</f>
        <v>550</v>
      </c>
      <c r="Q47" s="456" t="s">
        <v>911</v>
      </c>
    </row>
    <row r="48" spans="1:18" x14ac:dyDescent="0.35">
      <c r="N48" t="s">
        <v>768</v>
      </c>
      <c r="O48">
        <f>O28</f>
        <v>-190</v>
      </c>
      <c r="Q48" s="456" t="s">
        <v>912</v>
      </c>
    </row>
    <row r="49" spans="7:17" x14ac:dyDescent="0.35">
      <c r="G49" s="400"/>
      <c r="H49" s="400" t="s">
        <v>787</v>
      </c>
      <c r="I49" s="399"/>
      <c r="J49" s="400"/>
      <c r="K49" s="399"/>
      <c r="L49" s="399"/>
      <c r="N49" s="413" t="s">
        <v>333</v>
      </c>
      <c r="O49" s="413">
        <f>+O29+SUM(K50:K53)</f>
        <v>0</v>
      </c>
      <c r="Q49" s="456" t="s">
        <v>913</v>
      </c>
    </row>
    <row r="50" spans="7:17" x14ac:dyDescent="0.35">
      <c r="G50" s="384" t="s">
        <v>843</v>
      </c>
      <c r="H50" s="426" t="s">
        <v>764</v>
      </c>
      <c r="I50" s="427">
        <f>-(K26+K27+K28+K29)</f>
        <v>-750</v>
      </c>
      <c r="J50" s="427" t="s">
        <v>792</v>
      </c>
      <c r="K50" s="427">
        <f>-I50</f>
        <v>750</v>
      </c>
      <c r="L50" s="427" t="s">
        <v>765</v>
      </c>
      <c r="N50" s="410" t="s">
        <v>771</v>
      </c>
      <c r="O50" s="410">
        <f>SUM(O36:O49)</f>
        <v>0</v>
      </c>
      <c r="Q50" s="456" t="s">
        <v>914</v>
      </c>
    </row>
    <row r="51" spans="7:17" x14ac:dyDescent="0.35">
      <c r="G51" s="384" t="s">
        <v>843</v>
      </c>
      <c r="H51" s="426" t="s">
        <v>828</v>
      </c>
      <c r="I51" s="427">
        <f>-K31</f>
        <v>400</v>
      </c>
      <c r="J51" s="427" t="s">
        <v>792</v>
      </c>
      <c r="K51" s="427">
        <f>-I51</f>
        <v>-400</v>
      </c>
      <c r="L51" s="427" t="s">
        <v>765</v>
      </c>
      <c r="Q51" s="456" t="s">
        <v>915</v>
      </c>
    </row>
    <row r="52" spans="7:17" x14ac:dyDescent="0.35">
      <c r="G52" s="384" t="s">
        <v>843</v>
      </c>
      <c r="H52" s="426" t="s">
        <v>797</v>
      </c>
      <c r="I52" s="427">
        <f>-K33</f>
        <v>100</v>
      </c>
      <c r="J52" s="427" t="s">
        <v>792</v>
      </c>
      <c r="K52" s="427">
        <f>-I52</f>
        <v>-100</v>
      </c>
      <c r="L52" s="427" t="s">
        <v>765</v>
      </c>
      <c r="Q52" s="456" t="s">
        <v>916</v>
      </c>
    </row>
    <row r="53" spans="7:17" x14ac:dyDescent="0.35">
      <c r="G53" s="384" t="s">
        <v>843</v>
      </c>
      <c r="H53" s="426" t="s">
        <v>853</v>
      </c>
      <c r="I53" s="427">
        <f>-(K35+K36+K37)</f>
        <v>90</v>
      </c>
      <c r="J53" s="427" t="s">
        <v>792</v>
      </c>
      <c r="K53" s="427">
        <f>-I53</f>
        <v>-90</v>
      </c>
      <c r="L53" s="427" t="s">
        <v>765</v>
      </c>
      <c r="Q53" s="456" t="s">
        <v>917</v>
      </c>
    </row>
    <row r="54" spans="7:17" x14ac:dyDescent="0.35">
      <c r="Q54" s="456" t="s">
        <v>918</v>
      </c>
    </row>
    <row r="55" spans="7:17" x14ac:dyDescent="0.35">
      <c r="Q55" s="456" t="s">
        <v>919</v>
      </c>
    </row>
    <row r="56" spans="7:17" x14ac:dyDescent="0.35">
      <c r="Q56" s="456" t="s">
        <v>920</v>
      </c>
    </row>
    <row r="57" spans="7:17" x14ac:dyDescent="0.35">
      <c r="Q57" s="456" t="s">
        <v>931</v>
      </c>
    </row>
    <row r="58" spans="7:17" x14ac:dyDescent="0.35">
      <c r="Q58" s="456" t="s">
        <v>921</v>
      </c>
    </row>
    <row r="59" spans="7:17" x14ac:dyDescent="0.35">
      <c r="Q59" s="456" t="s">
        <v>922</v>
      </c>
    </row>
    <row r="60" spans="7:17" x14ac:dyDescent="0.35">
      <c r="Q60" s="456" t="s">
        <v>923</v>
      </c>
    </row>
    <row r="61" spans="7:17" x14ac:dyDescent="0.35">
      <c r="Q61" s="456" t="s">
        <v>924</v>
      </c>
    </row>
    <row r="62" spans="7:17" x14ac:dyDescent="0.35">
      <c r="Q62" s="456" t="s">
        <v>925</v>
      </c>
    </row>
    <row r="63" spans="7:17" x14ac:dyDescent="0.35">
      <c r="Q63" s="456" t="s">
        <v>926</v>
      </c>
    </row>
    <row r="64" spans="7:17" x14ac:dyDescent="0.35">
      <c r="Q64" s="456" t="s">
        <v>927</v>
      </c>
    </row>
    <row r="65" spans="17:17" x14ac:dyDescent="0.35">
      <c r="Q65" s="456" t="s">
        <v>928</v>
      </c>
    </row>
    <row r="66" spans="17:17" x14ac:dyDescent="0.35">
      <c r="Q66" s="456" t="s">
        <v>929</v>
      </c>
    </row>
  </sheetData>
  <mergeCells count="2">
    <mergeCell ref="A29:A45"/>
    <mergeCell ref="A2:A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DAC7-32D7-4DB3-B86E-5CF95BD8DA6E}">
  <dimension ref="A2:AD55"/>
  <sheetViews>
    <sheetView zoomScaleNormal="100" workbookViewId="0">
      <selection activeCell="B17" sqref="B17"/>
    </sheetView>
  </sheetViews>
  <sheetFormatPr defaultColWidth="8.81640625" defaultRowHeight="14.5" x14ac:dyDescent="0.35"/>
  <cols>
    <col min="1" max="1" width="20.54296875" style="1" bestFit="1" customWidth="1"/>
    <col min="2" max="2" width="35.1796875" style="1" bestFit="1" customWidth="1"/>
    <col min="3" max="3" width="33" style="1" bestFit="1" customWidth="1"/>
    <col min="4" max="4" width="34.1796875" style="1" bestFit="1" customWidth="1"/>
    <col min="5" max="5" width="15.1796875" style="1" bestFit="1" customWidth="1"/>
    <col min="6" max="6" width="28.1796875" style="1" bestFit="1" customWidth="1"/>
    <col min="7" max="7" width="45.1796875" style="1" bestFit="1" customWidth="1"/>
    <col min="8" max="8" width="21.1796875" style="1" bestFit="1" customWidth="1"/>
    <col min="9" max="9" width="21.1796875" style="2" bestFit="1" customWidth="1"/>
    <col min="10" max="10" width="28.81640625" style="1" bestFit="1" customWidth="1"/>
    <col min="11" max="11" width="17.81640625" style="1" bestFit="1" customWidth="1"/>
    <col min="12" max="12" width="27" style="1" bestFit="1" customWidth="1"/>
    <col min="13" max="13" width="53.453125" style="1" bestFit="1" customWidth="1"/>
    <col min="14" max="14" width="8.81640625" style="1"/>
    <col min="15" max="15" width="19.81640625" style="1" bestFit="1" customWidth="1"/>
    <col min="16" max="16" width="12.1796875" style="1" bestFit="1" customWidth="1"/>
    <col min="17" max="17" width="15" style="2" bestFit="1" customWidth="1"/>
    <col min="18" max="18" width="27.453125" style="1" bestFit="1" customWidth="1"/>
    <col min="19" max="19" width="11.453125" style="1" bestFit="1" customWidth="1"/>
    <col min="20" max="20" width="22.1796875" style="1" bestFit="1" customWidth="1"/>
    <col min="21" max="21" width="10.1796875" style="1" bestFit="1" customWidth="1"/>
    <col min="22" max="22" width="15" style="2" bestFit="1" customWidth="1"/>
    <col min="23" max="23" width="27.453125" style="1" bestFit="1" customWidth="1"/>
    <col min="24" max="24" width="8.81640625" style="1"/>
    <col min="25" max="25" width="17.54296875" style="1" bestFit="1" customWidth="1"/>
    <col min="26" max="26" width="12.1796875" style="1" bestFit="1" customWidth="1"/>
    <col min="27" max="27" width="8.81640625" style="1"/>
    <col min="28" max="28" width="20.54296875" style="1" bestFit="1" customWidth="1"/>
    <col min="29" max="29" width="11.453125" style="1" bestFit="1" customWidth="1"/>
    <col min="30" max="30" width="16.453125" style="1" bestFit="1" customWidth="1"/>
    <col min="31" max="16384" width="8.81640625" style="1"/>
  </cols>
  <sheetData>
    <row r="2" spans="1:30" ht="15" thickBot="1" x14ac:dyDescent="0.4">
      <c r="A2" s="220" t="s">
        <v>463</v>
      </c>
    </row>
    <row r="3" spans="1:30" ht="15" thickBot="1" x14ac:dyDescent="0.4">
      <c r="B3" s="224">
        <v>2025</v>
      </c>
      <c r="C3" s="172"/>
      <c r="D3" s="172"/>
      <c r="E3" s="172"/>
      <c r="F3" s="172"/>
      <c r="G3" s="172"/>
      <c r="H3" s="172"/>
      <c r="I3" s="191"/>
      <c r="J3" s="172"/>
      <c r="K3" s="172"/>
      <c r="L3" s="172"/>
      <c r="M3" s="223"/>
    </row>
    <row r="4" spans="1:30" ht="44" thickBot="1" x14ac:dyDescent="0.4">
      <c r="B4" s="221" t="s">
        <v>440</v>
      </c>
      <c r="C4" s="218" t="s">
        <v>439</v>
      </c>
      <c r="D4" s="218" t="s">
        <v>404</v>
      </c>
      <c r="E4" s="226" t="s">
        <v>488</v>
      </c>
      <c r="F4" s="226" t="s">
        <v>453</v>
      </c>
      <c r="G4" s="226" t="s">
        <v>454</v>
      </c>
      <c r="H4" s="226" t="s">
        <v>449</v>
      </c>
      <c r="I4" s="226" t="s">
        <v>450</v>
      </c>
      <c r="J4" s="540" t="s">
        <v>459</v>
      </c>
      <c r="K4" s="541"/>
      <c r="L4" s="541"/>
      <c r="M4" s="542"/>
      <c r="O4" s="230" t="s">
        <v>472</v>
      </c>
      <c r="P4" s="16"/>
      <c r="Q4" s="15"/>
      <c r="R4" s="17"/>
      <c r="S4" s="16"/>
      <c r="T4" s="230" t="s">
        <v>473</v>
      </c>
      <c r="U4" s="16"/>
      <c r="V4" s="15"/>
      <c r="W4" s="17"/>
      <c r="X4" s="16"/>
      <c r="Y4" s="231" t="s">
        <v>467</v>
      </c>
      <c r="Z4" s="16"/>
      <c r="AA4" s="16"/>
      <c r="AB4" s="16"/>
      <c r="AC4" s="16"/>
      <c r="AD4" s="17"/>
    </row>
    <row r="5" spans="1:30" x14ac:dyDescent="0.35">
      <c r="A5" s="2" t="s">
        <v>468</v>
      </c>
      <c r="B5" s="48" t="s">
        <v>435</v>
      </c>
      <c r="C5" s="2">
        <v>9000000000</v>
      </c>
      <c r="D5" s="166" t="s">
        <v>405</v>
      </c>
      <c r="E5" s="2"/>
      <c r="F5" s="2"/>
      <c r="G5" s="2"/>
      <c r="H5" s="2"/>
      <c r="I5" s="166" t="s">
        <v>458</v>
      </c>
      <c r="J5" s="220" t="s">
        <v>427</v>
      </c>
      <c r="K5" s="1" t="s">
        <v>433</v>
      </c>
      <c r="L5" s="90" t="s">
        <v>432</v>
      </c>
      <c r="M5" s="19"/>
      <c r="O5" s="48"/>
      <c r="P5" s="215" t="s">
        <v>364</v>
      </c>
      <c r="Q5" s="218" t="s">
        <v>365</v>
      </c>
      <c r="R5" s="19"/>
      <c r="T5" s="48"/>
      <c r="U5" s="215" t="s">
        <v>364</v>
      </c>
      <c r="V5" s="218" t="s">
        <v>365</v>
      </c>
      <c r="W5" s="19"/>
      <c r="Y5" s="227"/>
      <c r="Z5" s="225">
        <v>2026</v>
      </c>
      <c r="AA5" s="84"/>
      <c r="AB5" s="84"/>
      <c r="AC5" s="84"/>
      <c r="AD5" s="229"/>
    </row>
    <row r="6" spans="1:30" x14ac:dyDescent="0.35">
      <c r="A6" s="2" t="s">
        <v>469</v>
      </c>
      <c r="B6" s="48" t="s">
        <v>436</v>
      </c>
      <c r="C6" s="2">
        <v>9000000000</v>
      </c>
      <c r="D6" s="166" t="s">
        <v>405</v>
      </c>
      <c r="E6" s="2"/>
      <c r="F6" s="2"/>
      <c r="G6" s="2"/>
      <c r="H6" s="2"/>
      <c r="I6" s="166" t="s">
        <v>458</v>
      </c>
      <c r="J6" s="62" t="s">
        <v>426</v>
      </c>
      <c r="K6" s="1" t="s">
        <v>433</v>
      </c>
      <c r="L6" s="90" t="s">
        <v>432</v>
      </c>
      <c r="M6" s="19"/>
      <c r="O6" s="48"/>
      <c r="P6" s="1" t="s">
        <v>361</v>
      </c>
      <c r="Q6" s="2" t="s">
        <v>228</v>
      </c>
      <c r="R6" s="19" t="s">
        <v>229</v>
      </c>
      <c r="T6" s="48"/>
      <c r="U6" s="1" t="s">
        <v>355</v>
      </c>
      <c r="V6" s="2" t="s">
        <v>224</v>
      </c>
      <c r="W6" s="19" t="s">
        <v>225</v>
      </c>
      <c r="Y6" s="48"/>
      <c r="Z6" s="215" t="s">
        <v>391</v>
      </c>
      <c r="AA6" s="215" t="s">
        <v>392</v>
      </c>
      <c r="AB6" s="215" t="s">
        <v>403</v>
      </c>
      <c r="AC6" s="219" t="s">
        <v>400</v>
      </c>
      <c r="AD6" s="19"/>
    </row>
    <row r="7" spans="1:30" x14ac:dyDescent="0.35">
      <c r="A7" s="2" t="s">
        <v>469</v>
      </c>
      <c r="B7" s="48" t="s">
        <v>438</v>
      </c>
      <c r="C7" s="2">
        <v>9000000000</v>
      </c>
      <c r="D7" s="166" t="s">
        <v>405</v>
      </c>
      <c r="E7" s="2"/>
      <c r="F7" s="2"/>
      <c r="G7" s="2"/>
      <c r="H7" s="2"/>
      <c r="I7" s="166" t="s">
        <v>458</v>
      </c>
      <c r="J7" s="62" t="s">
        <v>426</v>
      </c>
      <c r="K7" s="1" t="s">
        <v>433</v>
      </c>
      <c r="L7" s="90" t="s">
        <v>432</v>
      </c>
      <c r="M7" s="19"/>
      <c r="O7" s="48"/>
      <c r="P7" s="1" t="s">
        <v>362</v>
      </c>
      <c r="Q7" s="2" t="s">
        <v>375</v>
      </c>
      <c r="R7" s="19" t="s">
        <v>376</v>
      </c>
      <c r="T7" s="48"/>
      <c r="U7" s="1" t="s">
        <v>356</v>
      </c>
      <c r="V7" s="2" t="s">
        <v>366</v>
      </c>
      <c r="W7" s="19" t="s">
        <v>367</v>
      </c>
      <c r="Y7" s="48"/>
      <c r="Z7" s="1" t="s">
        <v>396</v>
      </c>
      <c r="AA7" s="2">
        <v>2</v>
      </c>
      <c r="AB7" s="1" t="s">
        <v>399</v>
      </c>
      <c r="AC7" s="216" t="s">
        <v>261</v>
      </c>
      <c r="AD7" s="19" t="s">
        <v>262</v>
      </c>
    </row>
    <row r="8" spans="1:30" x14ac:dyDescent="0.35">
      <c r="A8" s="2" t="s">
        <v>470</v>
      </c>
      <c r="B8" s="48" t="s">
        <v>437</v>
      </c>
      <c r="C8" s="2">
        <v>9000000000</v>
      </c>
      <c r="D8" s="166" t="s">
        <v>405</v>
      </c>
      <c r="E8" s="2"/>
      <c r="F8" s="2"/>
      <c r="G8" s="2"/>
      <c r="H8" s="2"/>
      <c r="I8" s="166" t="s">
        <v>458</v>
      </c>
      <c r="J8" s="62" t="s">
        <v>426</v>
      </c>
      <c r="K8" s="1" t="s">
        <v>433</v>
      </c>
      <c r="L8" s="90" t="s">
        <v>432</v>
      </c>
      <c r="M8" s="19"/>
      <c r="O8" s="48"/>
      <c r="P8" s="1" t="s">
        <v>363</v>
      </c>
      <c r="Q8" s="2" t="s">
        <v>377</v>
      </c>
      <c r="R8" s="19" t="s">
        <v>378</v>
      </c>
      <c r="T8" s="48"/>
      <c r="U8" s="1" t="s">
        <v>357</v>
      </c>
      <c r="V8" s="2" t="s">
        <v>368</v>
      </c>
      <c r="W8" s="19" t="s">
        <v>369</v>
      </c>
      <c r="Y8" s="48"/>
      <c r="Z8" s="1" t="s">
        <v>397</v>
      </c>
      <c r="AA8" s="2">
        <v>4</v>
      </c>
      <c r="AB8" s="1" t="s">
        <v>399</v>
      </c>
      <c r="AC8" s="216" t="s">
        <v>263</v>
      </c>
      <c r="AD8" s="19" t="s">
        <v>264</v>
      </c>
    </row>
    <row r="9" spans="1:30" x14ac:dyDescent="0.35">
      <c r="A9" s="2" t="s">
        <v>470</v>
      </c>
      <c r="B9" s="48" t="s">
        <v>456</v>
      </c>
      <c r="C9" s="2">
        <v>9000000000</v>
      </c>
      <c r="D9" s="166" t="s">
        <v>405</v>
      </c>
      <c r="E9" s="2"/>
      <c r="F9" s="2"/>
      <c r="G9" s="2"/>
      <c r="H9" s="2"/>
      <c r="I9" s="166" t="s">
        <v>458</v>
      </c>
      <c r="J9" s="62" t="s">
        <v>426</v>
      </c>
      <c r="K9" s="1" t="s">
        <v>433</v>
      </c>
      <c r="L9" s="90" t="s">
        <v>432</v>
      </c>
      <c r="M9" s="19"/>
      <c r="O9" s="48"/>
      <c r="P9" s="1" t="s">
        <v>374</v>
      </c>
      <c r="Q9" s="2" t="s">
        <v>379</v>
      </c>
      <c r="R9" s="19" t="s">
        <v>380</v>
      </c>
      <c r="T9" s="48"/>
      <c r="U9" s="1" t="s">
        <v>358</v>
      </c>
      <c r="V9" s="2" t="s">
        <v>384</v>
      </c>
      <c r="W9" s="19" t="s">
        <v>370</v>
      </c>
      <c r="Y9" s="48"/>
      <c r="Z9" s="1" t="s">
        <v>398</v>
      </c>
      <c r="AA9" s="2">
        <v>6</v>
      </c>
      <c r="AB9" s="1" t="s">
        <v>399</v>
      </c>
      <c r="AC9" s="216" t="s">
        <v>269</v>
      </c>
      <c r="AD9" s="19" t="s">
        <v>270</v>
      </c>
    </row>
    <row r="10" spans="1:30" ht="15" thickBot="1" x14ac:dyDescent="0.4">
      <c r="A10" s="2"/>
      <c r="B10" s="138" t="s">
        <v>234</v>
      </c>
      <c r="C10" s="2">
        <v>9000000000</v>
      </c>
      <c r="D10" s="166" t="s">
        <v>405</v>
      </c>
      <c r="E10" s="2"/>
      <c r="F10" s="2"/>
      <c r="G10" s="166" t="s">
        <v>457</v>
      </c>
      <c r="H10" s="2"/>
      <c r="I10" s="166" t="s">
        <v>458</v>
      </c>
      <c r="J10" s="62" t="s">
        <v>426</v>
      </c>
      <c r="K10" s="1" t="s">
        <v>433</v>
      </c>
      <c r="L10" s="90" t="s">
        <v>432</v>
      </c>
      <c r="M10" s="19" t="s">
        <v>425</v>
      </c>
      <c r="O10" s="91"/>
      <c r="P10" s="92"/>
      <c r="Q10" s="23"/>
      <c r="R10" s="93"/>
      <c r="S10" s="92"/>
      <c r="T10" s="91"/>
      <c r="U10" s="92" t="s">
        <v>373</v>
      </c>
      <c r="V10" s="23" t="s">
        <v>371</v>
      </c>
      <c r="W10" s="93" t="s">
        <v>372</v>
      </c>
      <c r="X10" s="92"/>
      <c r="Y10" s="91"/>
      <c r="Z10" s="92"/>
      <c r="AA10" s="92"/>
      <c r="AB10" s="92"/>
      <c r="AC10" s="92"/>
      <c r="AD10" s="93"/>
    </row>
    <row r="11" spans="1:30" x14ac:dyDescent="0.35">
      <c r="A11" s="2" t="s">
        <v>471</v>
      </c>
      <c r="B11" s="48" t="s">
        <v>430</v>
      </c>
      <c r="C11" s="2">
        <v>9000000000</v>
      </c>
      <c r="D11" s="166" t="s">
        <v>405</v>
      </c>
      <c r="E11" s="2"/>
      <c r="F11" s="2"/>
      <c r="G11" s="166" t="s">
        <v>457</v>
      </c>
      <c r="H11" s="2"/>
      <c r="I11" s="166" t="s">
        <v>458</v>
      </c>
      <c r="J11" s="220" t="s">
        <v>427</v>
      </c>
      <c r="K11" s="1" t="s">
        <v>433</v>
      </c>
      <c r="L11" s="90" t="s">
        <v>432</v>
      </c>
      <c r="M11" s="19" t="s">
        <v>429</v>
      </c>
    </row>
    <row r="12" spans="1:30" x14ac:dyDescent="0.35">
      <c r="B12" s="138" t="s">
        <v>431</v>
      </c>
      <c r="C12" s="2">
        <v>9000000000</v>
      </c>
      <c r="D12" s="166" t="s">
        <v>405</v>
      </c>
      <c r="E12" s="2"/>
      <c r="F12" s="2"/>
      <c r="G12" s="166" t="s">
        <v>457</v>
      </c>
      <c r="H12" s="2"/>
      <c r="I12" s="166" t="s">
        <v>458</v>
      </c>
      <c r="J12" s="220" t="s">
        <v>427</v>
      </c>
      <c r="K12" s="1" t="s">
        <v>433</v>
      </c>
      <c r="L12" s="1" t="s">
        <v>434</v>
      </c>
      <c r="M12" s="19" t="s">
        <v>428</v>
      </c>
    </row>
    <row r="13" spans="1:30" x14ac:dyDescent="0.35">
      <c r="B13" s="138" t="s">
        <v>445</v>
      </c>
      <c r="C13" s="2">
        <v>9000000000</v>
      </c>
      <c r="D13" s="166" t="s">
        <v>405</v>
      </c>
      <c r="E13" s="2"/>
      <c r="F13" s="2"/>
      <c r="G13" s="166" t="s">
        <v>457</v>
      </c>
      <c r="H13" s="166" t="s">
        <v>457</v>
      </c>
      <c r="I13" s="166" t="s">
        <v>458</v>
      </c>
      <c r="J13" s="220" t="s">
        <v>427</v>
      </c>
      <c r="K13" s="1" t="s">
        <v>433</v>
      </c>
      <c r="L13" s="1" t="s">
        <v>434</v>
      </c>
      <c r="M13" s="19" t="s">
        <v>447</v>
      </c>
    </row>
    <row r="14" spans="1:30" ht="15" thickBot="1" x14ac:dyDescent="0.4">
      <c r="B14" s="128" t="s">
        <v>446</v>
      </c>
      <c r="C14" s="23">
        <v>9000000000</v>
      </c>
      <c r="D14" s="228" t="s">
        <v>405</v>
      </c>
      <c r="E14" s="23"/>
      <c r="F14" s="23"/>
      <c r="G14" s="228" t="s">
        <v>457</v>
      </c>
      <c r="H14" s="23"/>
      <c r="I14" s="228" t="s">
        <v>458</v>
      </c>
      <c r="J14" s="222" t="s">
        <v>427</v>
      </c>
      <c r="K14" s="92" t="s">
        <v>433</v>
      </c>
      <c r="L14" s="92" t="s">
        <v>434</v>
      </c>
      <c r="M14" s="93" t="s">
        <v>448</v>
      </c>
    </row>
    <row r="15" spans="1:30" ht="15" thickBot="1" x14ac:dyDescent="0.4">
      <c r="E15" s="2"/>
      <c r="F15" s="2"/>
      <c r="G15" s="2"/>
      <c r="H15" s="2"/>
    </row>
    <row r="16" spans="1:30" ht="15" thickBot="1" x14ac:dyDescent="0.4">
      <c r="B16" s="224">
        <v>2026</v>
      </c>
      <c r="C16" s="172"/>
      <c r="D16" s="172"/>
      <c r="E16" s="191"/>
      <c r="F16" s="191"/>
      <c r="G16" s="191"/>
      <c r="H16" s="191"/>
      <c r="I16" s="191"/>
      <c r="J16" s="172"/>
      <c r="K16" s="172"/>
      <c r="L16" s="172"/>
      <c r="M16" s="223"/>
    </row>
    <row r="17" spans="1:13" ht="44" thickBot="1" x14ac:dyDescent="0.4">
      <c r="B17" s="221" t="s">
        <v>440</v>
      </c>
      <c r="C17" s="218" t="s">
        <v>439</v>
      </c>
      <c r="D17" s="218" t="s">
        <v>404</v>
      </c>
      <c r="E17" s="226" t="s">
        <v>455</v>
      </c>
      <c r="F17" s="226" t="s">
        <v>453</v>
      </c>
      <c r="G17" s="226" t="s">
        <v>454</v>
      </c>
      <c r="H17" s="226" t="s">
        <v>449</v>
      </c>
      <c r="I17" s="226" t="s">
        <v>450</v>
      </c>
      <c r="J17" s="540" t="s">
        <v>459</v>
      </c>
      <c r="K17" s="541"/>
      <c r="L17" s="541"/>
      <c r="M17" s="542"/>
    </row>
    <row r="18" spans="1:13" x14ac:dyDescent="0.35">
      <c r="B18" s="138" t="s">
        <v>234</v>
      </c>
      <c r="C18" s="2">
        <v>9000000000</v>
      </c>
      <c r="D18" s="166" t="s">
        <v>405</v>
      </c>
      <c r="E18" s="2"/>
      <c r="F18" s="2"/>
      <c r="G18" s="166" t="s">
        <v>457</v>
      </c>
      <c r="H18" s="2"/>
      <c r="I18" s="166" t="s">
        <v>458</v>
      </c>
      <c r="J18" s="62" t="s">
        <v>460</v>
      </c>
      <c r="K18" s="1" t="s">
        <v>462</v>
      </c>
      <c r="L18" s="1" t="s">
        <v>434</v>
      </c>
      <c r="M18" s="19" t="s">
        <v>425</v>
      </c>
    </row>
    <row r="19" spans="1:13" x14ac:dyDescent="0.35">
      <c r="B19" s="138" t="s">
        <v>431</v>
      </c>
      <c r="C19" s="2">
        <v>9000000000</v>
      </c>
      <c r="D19" s="166" t="s">
        <v>405</v>
      </c>
      <c r="E19" s="2"/>
      <c r="F19" s="2"/>
      <c r="G19" s="166" t="s">
        <v>457</v>
      </c>
      <c r="H19" s="2"/>
      <c r="I19" s="166" t="s">
        <v>458</v>
      </c>
      <c r="J19" s="220" t="s">
        <v>461</v>
      </c>
      <c r="K19" s="1" t="s">
        <v>462</v>
      </c>
      <c r="L19" s="1" t="s">
        <v>434</v>
      </c>
      <c r="M19" s="19" t="s">
        <v>428</v>
      </c>
    </row>
    <row r="20" spans="1:13" x14ac:dyDescent="0.35">
      <c r="B20" s="138" t="s">
        <v>445</v>
      </c>
      <c r="C20" s="2">
        <v>9000000000</v>
      </c>
      <c r="D20" s="166" t="s">
        <v>405</v>
      </c>
      <c r="E20" s="2"/>
      <c r="F20" s="2"/>
      <c r="G20" s="166" t="s">
        <v>457</v>
      </c>
      <c r="H20" s="166" t="s">
        <v>457</v>
      </c>
      <c r="I20" s="166" t="s">
        <v>458</v>
      </c>
      <c r="J20" s="220" t="s">
        <v>461</v>
      </c>
      <c r="K20" s="1" t="s">
        <v>462</v>
      </c>
      <c r="L20" s="1" t="s">
        <v>434</v>
      </c>
      <c r="M20" s="19" t="s">
        <v>447</v>
      </c>
    </row>
    <row r="21" spans="1:13" x14ac:dyDescent="0.35">
      <c r="B21" s="138" t="s">
        <v>446</v>
      </c>
      <c r="C21" s="2">
        <v>9000000000</v>
      </c>
      <c r="D21" s="166" t="s">
        <v>405</v>
      </c>
      <c r="E21" s="2"/>
      <c r="F21" s="2"/>
      <c r="G21" s="166" t="s">
        <v>457</v>
      </c>
      <c r="H21" s="2"/>
      <c r="I21" s="166" t="s">
        <v>458</v>
      </c>
      <c r="J21" s="220" t="s">
        <v>461</v>
      </c>
      <c r="K21" s="1" t="s">
        <v>462</v>
      </c>
      <c r="L21" s="1" t="s">
        <v>434</v>
      </c>
      <c r="M21" s="19" t="s">
        <v>448</v>
      </c>
    </row>
    <row r="22" spans="1:13" x14ac:dyDescent="0.35">
      <c r="B22" s="138" t="s">
        <v>155</v>
      </c>
      <c r="C22" s="2">
        <v>9000000000</v>
      </c>
      <c r="D22" s="166"/>
      <c r="E22" s="2" t="s">
        <v>451</v>
      </c>
      <c r="F22" s="2" t="s">
        <v>452</v>
      </c>
      <c r="G22" s="166" t="s">
        <v>457</v>
      </c>
      <c r="H22" s="2"/>
      <c r="I22" s="166" t="s">
        <v>458</v>
      </c>
      <c r="J22" s="220" t="s">
        <v>461</v>
      </c>
      <c r="K22" s="1" t="s">
        <v>462</v>
      </c>
      <c r="L22" s="1" t="s">
        <v>434</v>
      </c>
      <c r="M22" s="19"/>
    </row>
    <row r="23" spans="1:13" x14ac:dyDescent="0.35">
      <c r="B23" s="233" t="s">
        <v>474</v>
      </c>
      <c r="C23" s="2">
        <v>9000000000</v>
      </c>
      <c r="D23" s="166" t="s">
        <v>405</v>
      </c>
      <c r="E23" s="2"/>
      <c r="F23" s="2"/>
      <c r="G23" s="166"/>
      <c r="H23" s="2"/>
      <c r="I23" s="166"/>
      <c r="J23" s="216" t="s">
        <v>476</v>
      </c>
      <c r="K23" s="1" t="s">
        <v>462</v>
      </c>
      <c r="L23" s="1" t="s">
        <v>434</v>
      </c>
      <c r="M23" s="19" t="s">
        <v>482</v>
      </c>
    </row>
    <row r="24" spans="1:13" x14ac:dyDescent="0.35">
      <c r="B24" s="233" t="s">
        <v>475</v>
      </c>
      <c r="C24" s="2">
        <v>9000000000</v>
      </c>
      <c r="D24" s="166" t="s">
        <v>405</v>
      </c>
      <c r="E24" s="2"/>
      <c r="F24" s="2"/>
      <c r="G24" s="166"/>
      <c r="H24" s="2"/>
      <c r="I24" s="166"/>
      <c r="J24" s="216" t="s">
        <v>477</v>
      </c>
      <c r="K24" s="1" t="s">
        <v>462</v>
      </c>
      <c r="L24" s="1" t="s">
        <v>434</v>
      </c>
      <c r="M24" s="19" t="s">
        <v>483</v>
      </c>
    </row>
    <row r="25" spans="1:13" x14ac:dyDescent="0.35">
      <c r="B25" s="233" t="s">
        <v>436</v>
      </c>
      <c r="C25" s="2">
        <v>9000000000</v>
      </c>
      <c r="D25" s="166" t="s">
        <v>405</v>
      </c>
      <c r="E25" s="2"/>
      <c r="F25" s="2"/>
      <c r="G25" s="166"/>
      <c r="H25" s="2"/>
      <c r="I25" s="166"/>
      <c r="J25" s="216" t="s">
        <v>478</v>
      </c>
      <c r="K25" s="1" t="s">
        <v>462</v>
      </c>
      <c r="L25" s="1" t="s">
        <v>434</v>
      </c>
      <c r="M25" s="19" t="s">
        <v>484</v>
      </c>
    </row>
    <row r="26" spans="1:13" x14ac:dyDescent="0.35">
      <c r="B26" s="233" t="s">
        <v>438</v>
      </c>
      <c r="C26" s="2">
        <v>9000000000</v>
      </c>
      <c r="D26" s="166" t="s">
        <v>405</v>
      </c>
      <c r="E26" s="2"/>
      <c r="F26" s="2"/>
      <c r="G26" s="166"/>
      <c r="H26" s="2"/>
      <c r="I26" s="166"/>
      <c r="J26" s="216" t="s">
        <v>480</v>
      </c>
      <c r="K26" s="1" t="s">
        <v>462</v>
      </c>
      <c r="L26" s="1" t="s">
        <v>434</v>
      </c>
      <c r="M26" s="19" t="s">
        <v>487</v>
      </c>
    </row>
    <row r="27" spans="1:13" x14ac:dyDescent="0.35">
      <c r="B27" s="233" t="s">
        <v>437</v>
      </c>
      <c r="C27" s="2">
        <v>9000000000</v>
      </c>
      <c r="D27" s="166" t="s">
        <v>405</v>
      </c>
      <c r="E27" s="2"/>
      <c r="F27" s="2"/>
      <c r="G27" s="166"/>
      <c r="H27" s="2"/>
      <c r="I27" s="166"/>
      <c r="J27" s="216" t="s">
        <v>479</v>
      </c>
      <c r="K27" s="1" t="s">
        <v>462</v>
      </c>
      <c r="L27" s="1" t="s">
        <v>434</v>
      </c>
      <c r="M27" s="19" t="s">
        <v>486</v>
      </c>
    </row>
    <row r="28" spans="1:13" ht="15" thickBot="1" x14ac:dyDescent="0.4">
      <c r="B28" s="153" t="s">
        <v>456</v>
      </c>
      <c r="C28" s="23">
        <v>9000000000</v>
      </c>
      <c r="D28" s="228" t="s">
        <v>405</v>
      </c>
      <c r="E28" s="228"/>
      <c r="F28" s="228"/>
      <c r="G28" s="228"/>
      <c r="H28" s="23"/>
      <c r="I28" s="228"/>
      <c r="J28" s="232" t="s">
        <v>481</v>
      </c>
      <c r="K28" s="92" t="s">
        <v>462</v>
      </c>
      <c r="L28" s="92" t="s">
        <v>434</v>
      </c>
      <c r="M28" s="93" t="s">
        <v>485</v>
      </c>
    </row>
    <row r="29" spans="1:13" x14ac:dyDescent="0.35">
      <c r="C29" s="2"/>
      <c r="I29" s="166"/>
    </row>
    <row r="30" spans="1:13" x14ac:dyDescent="0.35">
      <c r="A30" s="220" t="s">
        <v>464</v>
      </c>
    </row>
    <row r="31" spans="1:13" x14ac:dyDescent="0.35">
      <c r="A31" s="214"/>
      <c r="B31" s="225">
        <v>2026</v>
      </c>
      <c r="C31" s="84"/>
      <c r="D31" s="84"/>
      <c r="E31" s="84"/>
      <c r="F31" s="84"/>
    </row>
    <row r="32" spans="1:13" x14ac:dyDescent="0.35">
      <c r="B32" s="215" t="s">
        <v>402</v>
      </c>
      <c r="C32" s="218" t="s">
        <v>408</v>
      </c>
      <c r="D32" s="218" t="s">
        <v>406</v>
      </c>
      <c r="E32" s="218" t="s">
        <v>407</v>
      </c>
      <c r="F32" s="218" t="s">
        <v>409</v>
      </c>
    </row>
    <row r="33" spans="1:19" x14ac:dyDescent="0.35">
      <c r="B33" s="1" t="s">
        <v>414</v>
      </c>
      <c r="C33" s="2" t="s">
        <v>417</v>
      </c>
      <c r="D33" s="2" t="s">
        <v>418</v>
      </c>
      <c r="E33" s="166" t="s">
        <v>405</v>
      </c>
      <c r="F33" s="2" t="s">
        <v>420</v>
      </c>
    </row>
    <row r="34" spans="1:19" x14ac:dyDescent="0.35">
      <c r="B34" s="1" t="s">
        <v>415</v>
      </c>
      <c r="C34" s="2" t="s">
        <v>416</v>
      </c>
      <c r="D34" s="2" t="s">
        <v>419</v>
      </c>
      <c r="E34" s="166" t="s">
        <v>405</v>
      </c>
      <c r="F34" s="2" t="s">
        <v>421</v>
      </c>
    </row>
    <row r="35" spans="1:19" x14ac:dyDescent="0.35">
      <c r="B35" s="215" t="s">
        <v>402</v>
      </c>
      <c r="C35" s="218" t="s">
        <v>410</v>
      </c>
      <c r="D35" s="218" t="s">
        <v>411</v>
      </c>
      <c r="E35" s="219" t="s">
        <v>400</v>
      </c>
    </row>
    <row r="36" spans="1:19" x14ac:dyDescent="0.35">
      <c r="B36" s="1" t="s">
        <v>414</v>
      </c>
      <c r="C36" s="166" t="s">
        <v>422</v>
      </c>
      <c r="D36" s="166" t="s">
        <v>424</v>
      </c>
      <c r="E36" s="2" t="s">
        <v>237</v>
      </c>
      <c r="F36" s="1" t="s">
        <v>238</v>
      </c>
    </row>
    <row r="37" spans="1:19" x14ac:dyDescent="0.35">
      <c r="B37" s="1" t="s">
        <v>415</v>
      </c>
      <c r="C37" s="166" t="s">
        <v>422</v>
      </c>
      <c r="D37" s="166" t="s">
        <v>424</v>
      </c>
      <c r="E37" s="2" t="s">
        <v>235</v>
      </c>
      <c r="F37" s="1" t="s">
        <v>236</v>
      </c>
    </row>
    <row r="38" spans="1:19" x14ac:dyDescent="0.35">
      <c r="B38" s="215" t="s">
        <v>402</v>
      </c>
      <c r="C38" s="218" t="s">
        <v>413</v>
      </c>
      <c r="D38" s="218" t="s">
        <v>412</v>
      </c>
      <c r="E38" s="219" t="s">
        <v>400</v>
      </c>
      <c r="S38" s="216"/>
    </row>
    <row r="39" spans="1:19" x14ac:dyDescent="0.35">
      <c r="B39" s="1" t="s">
        <v>414</v>
      </c>
      <c r="C39" s="166" t="s">
        <v>422</v>
      </c>
      <c r="D39" s="217" t="s">
        <v>423</v>
      </c>
      <c r="E39" s="2" t="s">
        <v>441</v>
      </c>
      <c r="F39" s="1" t="s">
        <v>442</v>
      </c>
      <c r="S39" s="216"/>
    </row>
    <row r="40" spans="1:19" x14ac:dyDescent="0.35">
      <c r="B40" s="1" t="s">
        <v>415</v>
      </c>
      <c r="C40" s="166" t="s">
        <v>422</v>
      </c>
      <c r="D40" s="217" t="s">
        <v>423</v>
      </c>
      <c r="E40" s="2" t="s">
        <v>443</v>
      </c>
      <c r="F40" s="1" t="s">
        <v>444</v>
      </c>
      <c r="S40" s="216"/>
    </row>
    <row r="41" spans="1:19" x14ac:dyDescent="0.35">
      <c r="S41" s="216"/>
    </row>
    <row r="42" spans="1:19" x14ac:dyDescent="0.35">
      <c r="A42" s="220" t="s">
        <v>465</v>
      </c>
    </row>
    <row r="43" spans="1:19" x14ac:dyDescent="0.35">
      <c r="A43" s="214"/>
      <c r="B43" s="225">
        <v>2026</v>
      </c>
      <c r="C43" s="84"/>
      <c r="D43" s="84"/>
      <c r="E43" s="84"/>
      <c r="F43" s="84"/>
    </row>
    <row r="44" spans="1:19" x14ac:dyDescent="0.35">
      <c r="B44" s="215" t="s">
        <v>349</v>
      </c>
      <c r="C44" s="215" t="s">
        <v>207</v>
      </c>
      <c r="D44" s="218" t="s">
        <v>404</v>
      </c>
      <c r="E44" s="219" t="s">
        <v>401</v>
      </c>
      <c r="F44" s="218" t="s">
        <v>359</v>
      </c>
    </row>
    <row r="45" spans="1:19" x14ac:dyDescent="0.35">
      <c r="B45" s="1" t="s">
        <v>351</v>
      </c>
      <c r="C45" s="1" t="s">
        <v>360</v>
      </c>
      <c r="D45" s="166" t="s">
        <v>405</v>
      </c>
    </row>
    <row r="46" spans="1:19" x14ac:dyDescent="0.35">
      <c r="B46" s="1" t="s">
        <v>352</v>
      </c>
      <c r="C46" s="1" t="s">
        <v>381</v>
      </c>
      <c r="D46" s="166" t="s">
        <v>405</v>
      </c>
      <c r="F46" s="2" t="s">
        <v>384</v>
      </c>
      <c r="G46" s="1" t="s">
        <v>370</v>
      </c>
    </row>
    <row r="47" spans="1:19" x14ac:dyDescent="0.35">
      <c r="B47" s="1" t="s">
        <v>353</v>
      </c>
      <c r="C47" s="1" t="s">
        <v>382</v>
      </c>
      <c r="D47" s="166" t="s">
        <v>405</v>
      </c>
      <c r="E47" s="1" t="s">
        <v>393</v>
      </c>
      <c r="G47" s="1" t="s">
        <v>385</v>
      </c>
    </row>
    <row r="48" spans="1:19" x14ac:dyDescent="0.35">
      <c r="B48" s="1" t="s">
        <v>354</v>
      </c>
      <c r="C48" s="1" t="s">
        <v>383</v>
      </c>
      <c r="D48" s="166" t="s">
        <v>405</v>
      </c>
      <c r="E48" s="1" t="s">
        <v>394</v>
      </c>
      <c r="G48" s="1" t="s">
        <v>386</v>
      </c>
    </row>
    <row r="50" spans="1:7" x14ac:dyDescent="0.35">
      <c r="A50" s="220" t="s">
        <v>466</v>
      </c>
    </row>
    <row r="51" spans="1:7" x14ac:dyDescent="0.35">
      <c r="A51" s="214"/>
      <c r="B51" s="225">
        <v>2026</v>
      </c>
      <c r="C51" s="84"/>
      <c r="D51" s="84"/>
      <c r="E51" s="84"/>
      <c r="F51" s="84"/>
    </row>
    <row r="52" spans="1:7" x14ac:dyDescent="0.35">
      <c r="B52" s="215" t="s">
        <v>349</v>
      </c>
      <c r="C52" s="215" t="s">
        <v>208</v>
      </c>
      <c r="D52" s="218" t="s">
        <v>404</v>
      </c>
      <c r="E52" s="219" t="s">
        <v>401</v>
      </c>
      <c r="F52" s="218" t="s">
        <v>359</v>
      </c>
    </row>
    <row r="53" spans="1:7" x14ac:dyDescent="0.35">
      <c r="B53" s="1" t="s">
        <v>348</v>
      </c>
      <c r="C53" s="1" t="s">
        <v>387</v>
      </c>
      <c r="D53" s="166" t="s">
        <v>405</v>
      </c>
    </row>
    <row r="54" spans="1:7" x14ac:dyDescent="0.35">
      <c r="B54" s="1" t="s">
        <v>350</v>
      </c>
      <c r="C54" s="1" t="s">
        <v>388</v>
      </c>
      <c r="D54" s="166" t="s">
        <v>405</v>
      </c>
      <c r="F54" s="2" t="s">
        <v>375</v>
      </c>
      <c r="G54" s="1" t="s">
        <v>376</v>
      </c>
    </row>
    <row r="55" spans="1:7" x14ac:dyDescent="0.35">
      <c r="B55" s="1" t="s">
        <v>353</v>
      </c>
      <c r="C55" s="1" t="s">
        <v>389</v>
      </c>
      <c r="D55" s="166" t="s">
        <v>405</v>
      </c>
      <c r="E55" s="1" t="s">
        <v>395</v>
      </c>
      <c r="G55" s="1" t="s">
        <v>390</v>
      </c>
    </row>
  </sheetData>
  <mergeCells count="2">
    <mergeCell ref="J4:M4"/>
    <mergeCell ref="J17:M17"/>
  </mergeCells>
  <phoneticPr fontId="5" type="noConversion"/>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6A5D-6923-4A79-B973-0CEE24D7FE03}">
  <sheetPr codeName="Sheet6"/>
  <dimension ref="A2:BM62"/>
  <sheetViews>
    <sheetView topLeftCell="R1" zoomScale="80" zoomScaleNormal="80" workbookViewId="0"/>
  </sheetViews>
  <sheetFormatPr defaultColWidth="8.81640625" defaultRowHeight="14.5" x14ac:dyDescent="0.35"/>
  <cols>
    <col min="1" max="1" width="8.81640625" style="1"/>
    <col min="2" max="2" width="14.1796875" style="1" bestFit="1" customWidth="1"/>
    <col min="3" max="3" width="8.81640625" style="1"/>
    <col min="4" max="4" width="21.54296875" style="1" customWidth="1"/>
    <col min="5" max="5" width="16.54296875" style="1" customWidth="1"/>
    <col min="6" max="6" width="18.54296875" style="1" customWidth="1"/>
    <col min="7" max="9" width="8.81640625" style="1"/>
    <col min="10" max="10" width="12.453125" style="1" customWidth="1"/>
    <col min="11" max="11" width="18.81640625" style="1" customWidth="1"/>
    <col min="12" max="12" width="17.453125" style="1" customWidth="1"/>
    <col min="13" max="13" width="18.81640625" style="1" customWidth="1"/>
    <col min="14" max="14" width="13.453125" style="1" bestFit="1" customWidth="1"/>
    <col min="15" max="16" width="8.81640625" style="1"/>
    <col min="17" max="17" width="13.1796875" style="1" customWidth="1"/>
    <col min="18" max="18" width="8.81640625" style="1"/>
    <col min="19" max="19" width="13.1796875" style="2" customWidth="1"/>
    <col min="20" max="20" width="12.1796875" style="2" bestFit="1" customWidth="1"/>
    <col min="21" max="21" width="47.453125" style="1" bestFit="1" customWidth="1"/>
    <col min="22" max="22" width="4.81640625" style="1" bestFit="1" customWidth="1"/>
    <col min="23" max="23" width="12.453125" style="1" customWidth="1"/>
    <col min="24" max="24" width="8.81640625" style="1"/>
    <col min="25" max="25" width="5.81640625" style="1" customWidth="1"/>
    <col min="26" max="26" width="21.81640625" style="1" bestFit="1" customWidth="1"/>
    <col min="27" max="27" width="9.54296875" style="1" bestFit="1" customWidth="1"/>
    <col min="28" max="28" width="2.81640625" style="1" bestFit="1" customWidth="1"/>
    <col min="29" max="29" width="14.1796875" style="1" customWidth="1"/>
    <col min="30" max="30" width="24" style="2" customWidth="1"/>
    <col min="31" max="31" width="8.81640625" style="1"/>
    <col min="32" max="32" width="6.1796875" style="1" customWidth="1"/>
    <col min="33" max="33" width="18.54296875" style="1" bestFit="1" customWidth="1"/>
    <col min="34" max="34" width="9.54296875" style="1" bestFit="1" customWidth="1"/>
    <col min="35" max="35" width="2.81640625" style="1" bestFit="1" customWidth="1"/>
    <col min="36" max="36" width="13.81640625" style="1" customWidth="1"/>
    <col min="37" max="37" width="42.81640625" style="2" customWidth="1"/>
    <col min="38" max="39" width="8.81640625" style="1"/>
    <col min="40" max="40" width="13" style="1" customWidth="1"/>
    <col min="41" max="42" width="8.81640625" style="1"/>
    <col min="43" max="43" width="15.81640625" style="1" customWidth="1"/>
    <col min="44" max="44" width="10.1796875" style="1" customWidth="1"/>
    <col min="45" max="45" width="15.54296875" style="1" customWidth="1"/>
    <col min="46" max="47" width="8.81640625" style="1"/>
    <col min="48" max="48" width="15.81640625" style="1" customWidth="1"/>
    <col min="49" max="55" width="8.81640625" style="1"/>
    <col min="56" max="56" width="25.1796875" style="1" bestFit="1" customWidth="1"/>
    <col min="57" max="16384" width="8.81640625" style="1"/>
  </cols>
  <sheetData>
    <row r="2" spans="19:65" ht="24" customHeight="1" x14ac:dyDescent="0.35">
      <c r="Y2" s="78">
        <v>2025</v>
      </c>
      <c r="Z2" s="79" t="s">
        <v>323</v>
      </c>
      <c r="AF2" s="78">
        <v>2026</v>
      </c>
      <c r="AG2" s="79" t="s">
        <v>301</v>
      </c>
    </row>
    <row r="3" spans="19:65" ht="36" customHeight="1" thickBot="1" x14ac:dyDescent="0.4">
      <c r="S3" s="77" t="s">
        <v>232</v>
      </c>
      <c r="T3" s="77" t="s">
        <v>199</v>
      </c>
      <c r="U3" s="80" t="s">
        <v>214</v>
      </c>
      <c r="V3" s="80" t="s">
        <v>200</v>
      </c>
      <c r="W3" s="80" t="s">
        <v>206</v>
      </c>
      <c r="Y3" s="112"/>
      <c r="Z3" s="113" t="s">
        <v>279</v>
      </c>
      <c r="AA3" s="113" t="s">
        <v>206</v>
      </c>
      <c r="AB3" s="112"/>
      <c r="AC3" s="113" t="s">
        <v>278</v>
      </c>
      <c r="AD3" s="114" t="s">
        <v>81</v>
      </c>
      <c r="AF3" s="112"/>
      <c r="AG3" s="113" t="s">
        <v>281</v>
      </c>
      <c r="AH3" s="113" t="s">
        <v>206</v>
      </c>
      <c r="AI3" s="112"/>
      <c r="AJ3" s="113" t="s">
        <v>278</v>
      </c>
      <c r="AK3" s="114" t="s">
        <v>81</v>
      </c>
    </row>
    <row r="4" spans="19:65" ht="25" customHeight="1" x14ac:dyDescent="0.35">
      <c r="S4" s="556" t="s">
        <v>243</v>
      </c>
      <c r="T4" s="5" t="s">
        <v>235</v>
      </c>
      <c r="U4" s="3" t="s">
        <v>236</v>
      </c>
      <c r="V4" s="3" t="s">
        <v>201</v>
      </c>
      <c r="W4" s="3" t="s">
        <v>86</v>
      </c>
      <c r="Y4" s="116" t="s">
        <v>276</v>
      </c>
      <c r="Z4" s="117" t="str">
        <f>T4</f>
        <v>100CP02C00</v>
      </c>
      <c r="AA4" s="117" t="s">
        <v>280</v>
      </c>
      <c r="AB4" s="117" t="s">
        <v>277</v>
      </c>
      <c r="AC4" s="118">
        <f>$T$38</f>
        <v>9000000000</v>
      </c>
      <c r="AD4" s="547" t="s">
        <v>304</v>
      </c>
      <c r="AF4" s="116" t="s">
        <v>276</v>
      </c>
      <c r="AG4" s="150" t="str">
        <f>T4</f>
        <v>100CP02C00</v>
      </c>
      <c r="AH4" s="117" t="s">
        <v>86</v>
      </c>
      <c r="AI4" s="117" t="s">
        <v>277</v>
      </c>
      <c r="AJ4" s="118">
        <f>$T$43</f>
        <v>9000000004</v>
      </c>
      <c r="AK4" s="547" t="s">
        <v>303</v>
      </c>
      <c r="AM4" s="79" t="s">
        <v>283</v>
      </c>
      <c r="BA4" s="84" t="s">
        <v>516</v>
      </c>
      <c r="BB4" s="84"/>
      <c r="BC4" s="84"/>
      <c r="BD4" s="84"/>
      <c r="BE4" s="84" t="s">
        <v>517</v>
      </c>
      <c r="BF4" s="84"/>
      <c r="BG4" s="84"/>
      <c r="BH4" s="84"/>
      <c r="BI4" s="84"/>
      <c r="BJ4" s="84"/>
    </row>
    <row r="5" spans="19:65" ht="24.75" customHeight="1" x14ac:dyDescent="0.35">
      <c r="S5" s="557"/>
      <c r="T5" s="5" t="s">
        <v>237</v>
      </c>
      <c r="U5" s="3" t="s">
        <v>238</v>
      </c>
      <c r="V5" s="3" t="s">
        <v>201</v>
      </c>
      <c r="W5" s="3" t="s">
        <v>86</v>
      </c>
      <c r="Y5" s="119" t="s">
        <v>276</v>
      </c>
      <c r="Z5" s="115" t="str">
        <f t="shared" ref="Z5:Z7" si="0">T5</f>
        <v>100CP03C00</v>
      </c>
      <c r="AA5" s="115" t="s">
        <v>280</v>
      </c>
      <c r="AB5" s="115" t="s">
        <v>277</v>
      </c>
      <c r="AC5" s="120">
        <f>$T$38</f>
        <v>9000000000</v>
      </c>
      <c r="AD5" s="553"/>
      <c r="AF5" s="119" t="s">
        <v>276</v>
      </c>
      <c r="AG5" s="133" t="str">
        <f t="shared" ref="AG5:AG35" si="1">T5</f>
        <v>100CP03C00</v>
      </c>
      <c r="AH5" s="115" t="s">
        <v>86</v>
      </c>
      <c r="AI5" s="115" t="s">
        <v>277</v>
      </c>
      <c r="AJ5" s="120">
        <f>$T$43</f>
        <v>9000000004</v>
      </c>
      <c r="AK5" s="553"/>
      <c r="AM5" s="79" t="s">
        <v>285</v>
      </c>
      <c r="BA5" s="84" t="s">
        <v>518</v>
      </c>
      <c r="BB5" s="84"/>
      <c r="BC5" s="84"/>
      <c r="BD5" s="84"/>
      <c r="BE5" s="84" t="s">
        <v>519</v>
      </c>
      <c r="BF5" s="84"/>
      <c r="BG5" s="84"/>
      <c r="BH5" s="84"/>
      <c r="BI5" s="84"/>
      <c r="BJ5" s="84"/>
    </row>
    <row r="6" spans="19:65" ht="50.25" customHeight="1" x14ac:dyDescent="0.35">
      <c r="S6" s="557"/>
      <c r="T6" s="5" t="s">
        <v>204</v>
      </c>
      <c r="U6" s="3" t="s">
        <v>205</v>
      </c>
      <c r="V6" s="3" t="s">
        <v>201</v>
      </c>
      <c r="W6" s="3" t="s">
        <v>86</v>
      </c>
      <c r="Y6" s="119" t="s">
        <v>277</v>
      </c>
      <c r="Z6" s="115" t="str">
        <f t="shared" si="0"/>
        <v>100FL01A00</v>
      </c>
      <c r="AA6" s="115" t="s">
        <v>280</v>
      </c>
      <c r="AB6" s="115" t="s">
        <v>276</v>
      </c>
      <c r="AC6" s="120">
        <f>$T$38</f>
        <v>9000000000</v>
      </c>
      <c r="AD6" s="553"/>
      <c r="AF6" s="119" t="s">
        <v>277</v>
      </c>
      <c r="AG6" s="133" t="str">
        <f t="shared" si="1"/>
        <v>100FL01A00</v>
      </c>
      <c r="AH6" s="115" t="s">
        <v>86</v>
      </c>
      <c r="AI6" s="115" t="s">
        <v>276</v>
      </c>
      <c r="AJ6" s="120">
        <f>$T$43</f>
        <v>9000000004</v>
      </c>
      <c r="AK6" s="553"/>
      <c r="AM6" s="1" t="s">
        <v>494</v>
      </c>
      <c r="AN6" s="79"/>
      <c r="BA6" s="544" t="s">
        <v>520</v>
      </c>
      <c r="BB6" s="544"/>
      <c r="BC6" s="544"/>
      <c r="BD6" s="544"/>
      <c r="BE6" s="544"/>
      <c r="BF6" s="544"/>
      <c r="BG6" s="544"/>
      <c r="BH6" s="544"/>
      <c r="BI6" s="544"/>
      <c r="BJ6" s="544"/>
    </row>
    <row r="7" spans="19:65" ht="25" customHeight="1" x14ac:dyDescent="0.35">
      <c r="S7" s="558"/>
      <c r="T7" s="5" t="s">
        <v>212</v>
      </c>
      <c r="U7" s="3" t="s">
        <v>213</v>
      </c>
      <c r="V7" s="3" t="s">
        <v>201</v>
      </c>
      <c r="W7" s="3" t="s">
        <v>86</v>
      </c>
      <c r="Y7" s="119" t="s">
        <v>277</v>
      </c>
      <c r="Z7" s="115" t="str">
        <f t="shared" si="0"/>
        <v>100PM01A00</v>
      </c>
      <c r="AA7" s="115" t="s">
        <v>280</v>
      </c>
      <c r="AB7" s="115" t="s">
        <v>276</v>
      </c>
      <c r="AC7" s="120">
        <f>$T$38</f>
        <v>9000000000</v>
      </c>
      <c r="AD7" s="553"/>
      <c r="AF7" s="119" t="s">
        <v>277</v>
      </c>
      <c r="AG7" s="133" t="str">
        <f t="shared" si="1"/>
        <v>100PM01A00</v>
      </c>
      <c r="AH7" s="115" t="s">
        <v>86</v>
      </c>
      <c r="AI7" s="115" t="s">
        <v>276</v>
      </c>
      <c r="AJ7" s="120">
        <f>$T$43</f>
        <v>9000000004</v>
      </c>
      <c r="AK7" s="548"/>
      <c r="AM7" s="1" t="s">
        <v>495</v>
      </c>
      <c r="AN7" s="79"/>
    </row>
    <row r="8" spans="19:65" ht="25" customHeight="1" x14ac:dyDescent="0.35">
      <c r="S8" s="559" t="s">
        <v>244</v>
      </c>
      <c r="T8" s="81" t="s">
        <v>239</v>
      </c>
      <c r="U8" s="82" t="s">
        <v>240</v>
      </c>
      <c r="V8" s="82" t="s">
        <v>202</v>
      </c>
      <c r="W8" s="82" t="s">
        <v>86</v>
      </c>
      <c r="Y8" s="121"/>
      <c r="Z8" s="122"/>
      <c r="AA8" s="122"/>
      <c r="AB8" s="122"/>
      <c r="AC8" s="123"/>
      <c r="AD8" s="553"/>
      <c r="AF8" s="151" t="s">
        <v>276</v>
      </c>
      <c r="AG8" s="134" t="str">
        <f t="shared" si="1"/>
        <v>711PP11000</v>
      </c>
      <c r="AH8" s="135" t="s">
        <v>280</v>
      </c>
      <c r="AI8" s="135" t="s">
        <v>277</v>
      </c>
      <c r="AJ8" s="152">
        <v>9000000000</v>
      </c>
      <c r="AK8" s="547" t="s">
        <v>302</v>
      </c>
      <c r="AM8" s="1" t="s">
        <v>496</v>
      </c>
      <c r="AN8" s="79"/>
    </row>
    <row r="9" spans="19:65" ht="25" customHeight="1" thickBot="1" x14ac:dyDescent="0.4">
      <c r="S9" s="560"/>
      <c r="T9" s="81" t="s">
        <v>241</v>
      </c>
      <c r="U9" s="82" t="s">
        <v>242</v>
      </c>
      <c r="V9" s="82" t="s">
        <v>202</v>
      </c>
      <c r="W9" s="82" t="s">
        <v>86</v>
      </c>
      <c r="Y9" s="124"/>
      <c r="Z9" s="125"/>
      <c r="AA9" s="125"/>
      <c r="AB9" s="125"/>
      <c r="AC9" s="126"/>
      <c r="AD9" s="553"/>
      <c r="AF9" s="153" t="s">
        <v>276</v>
      </c>
      <c r="AG9" s="154" t="str">
        <f t="shared" si="1"/>
        <v>711PP12000</v>
      </c>
      <c r="AH9" s="155" t="s">
        <v>280</v>
      </c>
      <c r="AI9" s="155" t="s">
        <v>277</v>
      </c>
      <c r="AJ9" s="156">
        <v>9000000000</v>
      </c>
      <c r="AK9" s="548"/>
      <c r="AM9" s="1" t="s">
        <v>497</v>
      </c>
      <c r="AN9" s="79"/>
      <c r="AY9" s="238">
        <v>2025</v>
      </c>
      <c r="AZ9" s="243">
        <v>2026</v>
      </c>
    </row>
    <row r="10" spans="19:65" ht="25" customHeight="1" x14ac:dyDescent="0.35">
      <c r="S10" s="555" t="s">
        <v>93</v>
      </c>
      <c r="T10" s="5" t="s">
        <v>224</v>
      </c>
      <c r="U10" s="3" t="s">
        <v>225</v>
      </c>
      <c r="V10" s="3" t="s">
        <v>201</v>
      </c>
      <c r="W10" s="3" t="s">
        <v>207</v>
      </c>
      <c r="Y10" s="116" t="s">
        <v>276</v>
      </c>
      <c r="Z10" s="127">
        <f>T41</f>
        <v>9000000002</v>
      </c>
      <c r="AA10" s="117" t="s">
        <v>280</v>
      </c>
      <c r="AB10" s="117" t="s">
        <v>277</v>
      </c>
      <c r="AC10" s="118">
        <f t="shared" ref="AC10:AC25" si="2">$T$38</f>
        <v>9000000000</v>
      </c>
      <c r="AD10" s="553"/>
      <c r="AF10" s="116" t="s">
        <v>276</v>
      </c>
      <c r="AG10" s="150" t="str">
        <f t="shared" si="1"/>
        <v>156TD00000</v>
      </c>
      <c r="AH10" s="117" t="s">
        <v>207</v>
      </c>
      <c r="AI10" s="117" t="s">
        <v>277</v>
      </c>
      <c r="AJ10" s="118">
        <f>T41</f>
        <v>9000000002</v>
      </c>
      <c r="AK10" s="547" t="s">
        <v>489</v>
      </c>
      <c r="AN10" s="79" t="s">
        <v>498</v>
      </c>
      <c r="BB10" s="62"/>
    </row>
    <row r="11" spans="19:65" ht="25" customHeight="1" thickBot="1" x14ac:dyDescent="0.4">
      <c r="S11" s="555"/>
      <c r="T11" s="5" t="s">
        <v>226</v>
      </c>
      <c r="U11" s="3" t="s">
        <v>227</v>
      </c>
      <c r="V11" s="3" t="s">
        <v>201</v>
      </c>
      <c r="W11" s="3" t="s">
        <v>207</v>
      </c>
      <c r="Y11" s="128" t="s">
        <v>277</v>
      </c>
      <c r="Z11" s="129">
        <f>T45</f>
        <v>9000000006</v>
      </c>
      <c r="AA11" s="130" t="s">
        <v>280</v>
      </c>
      <c r="AB11" s="130" t="s">
        <v>276</v>
      </c>
      <c r="AC11" s="131">
        <f t="shared" si="2"/>
        <v>9000000000</v>
      </c>
      <c r="AD11" s="553"/>
      <c r="AF11" s="128" t="s">
        <v>277</v>
      </c>
      <c r="AG11" s="157" t="str">
        <f t="shared" si="1"/>
        <v>153AC01000</v>
      </c>
      <c r="AH11" s="130" t="s">
        <v>207</v>
      </c>
      <c r="AI11" s="130" t="s">
        <v>276</v>
      </c>
      <c r="AJ11" s="131">
        <f>T45</f>
        <v>9000000006</v>
      </c>
      <c r="AK11" s="548"/>
      <c r="AN11" s="241" t="s">
        <v>523</v>
      </c>
      <c r="AO11" s="215" t="s">
        <v>526</v>
      </c>
      <c r="AP11" s="215"/>
      <c r="AQ11" s="215"/>
      <c r="AS11" s="241" t="s">
        <v>525</v>
      </c>
      <c r="AT11" s="215" t="s">
        <v>530</v>
      </c>
      <c r="AU11" s="215"/>
      <c r="AV11" s="215"/>
      <c r="AY11" s="36"/>
      <c r="AZ11" s="219" t="s">
        <v>647</v>
      </c>
    </row>
    <row r="12" spans="19:65" ht="25" customHeight="1" x14ac:dyDescent="0.35">
      <c r="S12" s="555" t="s">
        <v>94</v>
      </c>
      <c r="T12" s="5" t="s">
        <v>228</v>
      </c>
      <c r="U12" s="3" t="s">
        <v>229</v>
      </c>
      <c r="V12" s="3" t="s">
        <v>201</v>
      </c>
      <c r="W12" s="3" t="s">
        <v>208</v>
      </c>
      <c r="Y12" s="116" t="s">
        <v>277</v>
      </c>
      <c r="Z12" s="127">
        <f>T39</f>
        <v>9000000001</v>
      </c>
      <c r="AA12" s="117" t="s">
        <v>280</v>
      </c>
      <c r="AB12" s="117" t="s">
        <v>276</v>
      </c>
      <c r="AC12" s="118">
        <f t="shared" si="2"/>
        <v>9000000000</v>
      </c>
      <c r="AD12" s="553"/>
      <c r="AF12" s="116" t="s">
        <v>277</v>
      </c>
      <c r="AG12" s="150" t="str">
        <f t="shared" si="1"/>
        <v>206AP00000</v>
      </c>
      <c r="AH12" s="117" t="s">
        <v>208</v>
      </c>
      <c r="AI12" s="117" t="s">
        <v>276</v>
      </c>
      <c r="AJ12" s="118">
        <f>T39</f>
        <v>9000000001</v>
      </c>
      <c r="AK12" s="547" t="s">
        <v>490</v>
      </c>
      <c r="AN12" s="241" t="s">
        <v>523</v>
      </c>
      <c r="AO12" s="84" t="s">
        <v>528</v>
      </c>
      <c r="AP12" s="84"/>
      <c r="AQ12" s="84"/>
      <c r="AS12" s="241" t="s">
        <v>525</v>
      </c>
      <c r="AT12" s="84" t="s">
        <v>532</v>
      </c>
      <c r="AU12" s="84"/>
      <c r="AV12" s="84"/>
      <c r="AY12" s="36"/>
      <c r="AZ12" s="219" t="s">
        <v>511</v>
      </c>
    </row>
    <row r="13" spans="19:65" ht="25" customHeight="1" thickBot="1" x14ac:dyDescent="0.4">
      <c r="S13" s="555"/>
      <c r="T13" s="5" t="s">
        <v>230</v>
      </c>
      <c r="U13" s="3" t="s">
        <v>231</v>
      </c>
      <c r="V13" s="3" t="s">
        <v>201</v>
      </c>
      <c r="W13" s="3" t="s">
        <v>208</v>
      </c>
      <c r="Y13" s="128" t="s">
        <v>276</v>
      </c>
      <c r="Z13" s="129">
        <f>T44</f>
        <v>9000000005</v>
      </c>
      <c r="AA13" s="130" t="s">
        <v>280</v>
      </c>
      <c r="AB13" s="130" t="s">
        <v>277</v>
      </c>
      <c r="AC13" s="131">
        <f t="shared" si="2"/>
        <v>9000000000</v>
      </c>
      <c r="AD13" s="553"/>
      <c r="AF13" s="128" t="s">
        <v>276</v>
      </c>
      <c r="AG13" s="157" t="str">
        <f t="shared" si="1"/>
        <v>159AP00000</v>
      </c>
      <c r="AH13" s="130" t="s">
        <v>208</v>
      </c>
      <c r="AI13" s="130" t="s">
        <v>277</v>
      </c>
      <c r="AJ13" s="131">
        <f>T44</f>
        <v>9000000005</v>
      </c>
      <c r="AK13" s="548"/>
      <c r="AN13" s="241" t="s">
        <v>523</v>
      </c>
      <c r="AO13" s="237" t="s">
        <v>527</v>
      </c>
      <c r="AP13" s="237"/>
      <c r="AQ13" s="237"/>
      <c r="AS13" s="241" t="s">
        <v>525</v>
      </c>
      <c r="AT13" s="237" t="s">
        <v>531</v>
      </c>
      <c r="AU13" s="237"/>
      <c r="AV13" s="237"/>
      <c r="AY13" s="36"/>
      <c r="AZ13" s="219" t="s">
        <v>510</v>
      </c>
      <c r="BK13"/>
      <c r="BL13"/>
      <c r="BM13"/>
    </row>
    <row r="14" spans="19:65" ht="25" customHeight="1" x14ac:dyDescent="0.35">
      <c r="S14" s="555" t="s">
        <v>234</v>
      </c>
      <c r="T14" s="5" t="s">
        <v>220</v>
      </c>
      <c r="U14" s="3" t="s">
        <v>221</v>
      </c>
      <c r="V14" s="3" t="s">
        <v>201</v>
      </c>
      <c r="W14" s="3" t="s">
        <v>209</v>
      </c>
      <c r="Y14" s="116" t="s">
        <v>276</v>
      </c>
      <c r="Z14" s="117" t="str">
        <f>T14</f>
        <v>158NT05000</v>
      </c>
      <c r="AA14" s="117" t="s">
        <v>280</v>
      </c>
      <c r="AB14" s="117" t="s">
        <v>277</v>
      </c>
      <c r="AC14" s="118">
        <f t="shared" si="2"/>
        <v>9000000000</v>
      </c>
      <c r="AD14" s="553"/>
      <c r="AF14" s="116" t="s">
        <v>276</v>
      </c>
      <c r="AG14" s="117" t="str">
        <f t="shared" si="1"/>
        <v>158NT05000</v>
      </c>
      <c r="AH14" s="117" t="s">
        <v>280</v>
      </c>
      <c r="AI14" s="117" t="s">
        <v>277</v>
      </c>
      <c r="AJ14" s="118">
        <f>$T$38</f>
        <v>9000000000</v>
      </c>
      <c r="AK14" s="547" t="s">
        <v>491</v>
      </c>
      <c r="AN14" s="241" t="s">
        <v>523</v>
      </c>
      <c r="AO14" s="239" t="s">
        <v>529</v>
      </c>
      <c r="AP14" s="239"/>
      <c r="AQ14" s="239"/>
      <c r="AS14" s="241" t="s">
        <v>525</v>
      </c>
      <c r="AT14" s="239" t="s">
        <v>529</v>
      </c>
      <c r="AU14" s="239"/>
      <c r="AV14" s="239"/>
      <c r="AY14" s="36"/>
      <c r="AZ14" s="219" t="s">
        <v>512</v>
      </c>
      <c r="BK14"/>
      <c r="BL14"/>
      <c r="BM14"/>
    </row>
    <row r="15" spans="19:65" ht="28.5" customHeight="1" thickBot="1" x14ac:dyDescent="0.4">
      <c r="S15" s="555"/>
      <c r="T15" s="5" t="s">
        <v>222</v>
      </c>
      <c r="U15" s="3" t="s">
        <v>223</v>
      </c>
      <c r="V15" s="3" t="s">
        <v>201</v>
      </c>
      <c r="W15" s="3" t="s">
        <v>209</v>
      </c>
      <c r="Y15" s="128" t="s">
        <v>277</v>
      </c>
      <c r="Z15" s="130" t="str">
        <f t="shared" ref="Z15:Z25" si="3">T15</f>
        <v>206OT54000</v>
      </c>
      <c r="AA15" s="130" t="s">
        <v>280</v>
      </c>
      <c r="AB15" s="130" t="s">
        <v>276</v>
      </c>
      <c r="AC15" s="131">
        <f t="shared" si="2"/>
        <v>9000000000</v>
      </c>
      <c r="AD15" s="553"/>
      <c r="AF15" s="128" t="s">
        <v>277</v>
      </c>
      <c r="AG15" s="130" t="str">
        <f t="shared" si="1"/>
        <v>206OT54000</v>
      </c>
      <c r="AH15" s="130" t="s">
        <v>280</v>
      </c>
      <c r="AI15" s="130" t="s">
        <v>276</v>
      </c>
      <c r="AJ15" s="131">
        <f>$T$38</f>
        <v>9000000000</v>
      </c>
      <c r="AK15" s="552"/>
      <c r="AN15" s="79" t="s">
        <v>499</v>
      </c>
      <c r="BB15" s="543" t="s">
        <v>649</v>
      </c>
      <c r="BC15" s="543"/>
      <c r="BD15" s="543"/>
      <c r="BE15" s="543"/>
      <c r="BF15" s="543"/>
      <c r="BG15" s="543"/>
      <c r="BH15" s="543"/>
      <c r="BI15" s="543"/>
      <c r="BJ15" s="543"/>
      <c r="BK15" s="543"/>
      <c r="BL15" s="543"/>
      <c r="BM15" s="543"/>
    </row>
    <row r="16" spans="19:65" ht="25" customHeight="1" x14ac:dyDescent="0.35">
      <c r="S16" s="555" t="s">
        <v>233</v>
      </c>
      <c r="T16" s="5" t="s">
        <v>245</v>
      </c>
      <c r="U16" s="3" t="s">
        <v>246</v>
      </c>
      <c r="V16" s="3" t="s">
        <v>201</v>
      </c>
      <c r="W16" s="3" t="s">
        <v>210</v>
      </c>
      <c r="Y16" s="116" t="s">
        <v>276</v>
      </c>
      <c r="Z16" s="137" t="str">
        <f t="shared" si="3"/>
        <v>188CC01M00</v>
      </c>
      <c r="AA16" s="117" t="s">
        <v>280</v>
      </c>
      <c r="AB16" s="117" t="s">
        <v>277</v>
      </c>
      <c r="AC16" s="118">
        <f t="shared" si="2"/>
        <v>9000000000</v>
      </c>
      <c r="AD16" s="553"/>
      <c r="AF16" s="158" t="s">
        <v>276</v>
      </c>
      <c r="AG16" s="159" t="str">
        <f t="shared" si="1"/>
        <v>188CC01M00</v>
      </c>
      <c r="AH16" s="159" t="s">
        <v>280</v>
      </c>
      <c r="AI16" s="159" t="s">
        <v>277</v>
      </c>
      <c r="AJ16" s="160">
        <f>$T$38</f>
        <v>9000000000</v>
      </c>
      <c r="AK16" s="547" t="s">
        <v>492</v>
      </c>
      <c r="AN16" s="241" t="s">
        <v>524</v>
      </c>
      <c r="AO16" s="84" t="s">
        <v>528</v>
      </c>
      <c r="AP16" s="84"/>
      <c r="AQ16" s="84"/>
      <c r="AS16" s="241" t="s">
        <v>533</v>
      </c>
      <c r="AT16" s="242" t="s">
        <v>532</v>
      </c>
      <c r="AU16" s="84"/>
      <c r="AV16" s="84"/>
      <c r="AY16" s="36"/>
      <c r="AZ16" s="219" t="s">
        <v>514</v>
      </c>
      <c r="BB16" s="1" t="s">
        <v>528</v>
      </c>
      <c r="BD16" s="1" t="s">
        <v>533</v>
      </c>
      <c r="BK16"/>
      <c r="BL16"/>
      <c r="BM16"/>
    </row>
    <row r="17" spans="1:65" ht="25" customHeight="1" thickBot="1" x14ac:dyDescent="0.4">
      <c r="B17" s="62" t="s">
        <v>137</v>
      </c>
      <c r="D17" s="62" t="s">
        <v>138</v>
      </c>
      <c r="E17" s="62" t="s">
        <v>139</v>
      </c>
      <c r="H17" s="62" t="s">
        <v>140</v>
      </c>
      <c r="I17" s="62" t="s">
        <v>141</v>
      </c>
      <c r="S17" s="555"/>
      <c r="T17" s="5" t="s">
        <v>247</v>
      </c>
      <c r="U17" s="3" t="s">
        <v>248</v>
      </c>
      <c r="V17" s="3" t="s">
        <v>201</v>
      </c>
      <c r="W17" s="3" t="s">
        <v>210</v>
      </c>
      <c r="Y17" s="138" t="s">
        <v>277</v>
      </c>
      <c r="Z17" s="84" t="str">
        <f t="shared" si="3"/>
        <v>300SC01000</v>
      </c>
      <c r="AA17" s="30" t="s">
        <v>280</v>
      </c>
      <c r="AB17" s="30" t="s">
        <v>276</v>
      </c>
      <c r="AC17" s="139">
        <f t="shared" si="2"/>
        <v>9000000000</v>
      </c>
      <c r="AD17" s="553"/>
      <c r="AF17" s="138" t="s">
        <v>277</v>
      </c>
      <c r="AG17" s="30" t="str">
        <f t="shared" si="1"/>
        <v>300SC01000</v>
      </c>
      <c r="AH17" s="30" t="s">
        <v>280</v>
      </c>
      <c r="AI17" s="30" t="s">
        <v>276</v>
      </c>
      <c r="AJ17" s="139">
        <f>$T$38</f>
        <v>9000000000</v>
      </c>
      <c r="AK17" s="552"/>
      <c r="AN17" s="241" t="s">
        <v>524</v>
      </c>
      <c r="AO17" s="237" t="s">
        <v>527</v>
      </c>
      <c r="AP17" s="237"/>
      <c r="AQ17" s="237"/>
      <c r="AS17" s="241" t="s">
        <v>533</v>
      </c>
      <c r="AT17" s="236" t="s">
        <v>531</v>
      </c>
      <c r="AU17" s="236"/>
      <c r="AV17" s="236"/>
      <c r="AY17" s="36"/>
      <c r="AZ17" s="219" t="s">
        <v>509</v>
      </c>
      <c r="BB17" s="1" t="s">
        <v>527</v>
      </c>
      <c r="BD17" s="1" t="s">
        <v>533</v>
      </c>
      <c r="BK17"/>
      <c r="BL17"/>
      <c r="BM17"/>
    </row>
    <row r="18" spans="1:65" ht="25" customHeight="1" x14ac:dyDescent="0.35">
      <c r="A18" s="2">
        <v>1</v>
      </c>
      <c r="B18" s="1" t="s">
        <v>120</v>
      </c>
      <c r="D18" s="85" t="s">
        <v>142</v>
      </c>
      <c r="E18" s="16"/>
      <c r="F18" s="86" t="s">
        <v>143</v>
      </c>
      <c r="H18" s="85" t="s">
        <v>144</v>
      </c>
      <c r="I18" s="16"/>
      <c r="J18" s="16"/>
      <c r="K18" s="16"/>
      <c r="L18" s="16"/>
      <c r="M18" s="87" t="s">
        <v>145</v>
      </c>
      <c r="N18" s="86"/>
      <c r="P18" s="1" t="s">
        <v>146</v>
      </c>
      <c r="Q18" s="513" t="s">
        <v>147</v>
      </c>
      <c r="S18" s="555"/>
      <c r="T18" s="88" t="s">
        <v>261</v>
      </c>
      <c r="U18" s="32" t="s">
        <v>262</v>
      </c>
      <c r="V18" s="32" t="s">
        <v>201</v>
      </c>
      <c r="W18" s="32" t="s">
        <v>275</v>
      </c>
      <c r="Y18" s="140" t="s">
        <v>276</v>
      </c>
      <c r="Z18" s="132" t="str">
        <f t="shared" si="3"/>
        <v>152RM00000</v>
      </c>
      <c r="AA18" s="132" t="s">
        <v>280</v>
      </c>
      <c r="AB18" s="132" t="s">
        <v>277</v>
      </c>
      <c r="AC18" s="141">
        <f t="shared" si="2"/>
        <v>9000000000</v>
      </c>
      <c r="AD18" s="553"/>
      <c r="AF18" s="140" t="s">
        <v>276</v>
      </c>
      <c r="AG18" s="136" t="str">
        <f t="shared" si="1"/>
        <v>152RM00000</v>
      </c>
      <c r="AH18" s="132" t="s">
        <v>282</v>
      </c>
      <c r="AI18" s="132" t="s">
        <v>277</v>
      </c>
      <c r="AJ18" s="141">
        <f t="shared" ref="AJ18:AJ25" si="4">$T$42</f>
        <v>9000000003</v>
      </c>
      <c r="AK18" s="549" t="s">
        <v>284</v>
      </c>
      <c r="AN18" s="241" t="s">
        <v>524</v>
      </c>
      <c r="AO18" s="239" t="s">
        <v>529</v>
      </c>
      <c r="AP18" s="239"/>
      <c r="AQ18" s="239"/>
      <c r="AS18" s="241" t="s">
        <v>533</v>
      </c>
      <c r="AT18" s="240" t="s">
        <v>529</v>
      </c>
      <c r="AU18" s="240"/>
      <c r="AV18" s="240"/>
      <c r="AY18" s="36"/>
      <c r="AZ18" s="219" t="s">
        <v>522</v>
      </c>
      <c r="BB18" s="1" t="s">
        <v>650</v>
      </c>
      <c r="BD18" s="1" t="s">
        <v>525</v>
      </c>
      <c r="BK18"/>
      <c r="BL18"/>
      <c r="BM18"/>
    </row>
    <row r="19" spans="1:65" ht="25" customHeight="1" x14ac:dyDescent="0.35">
      <c r="A19" s="2">
        <v>2</v>
      </c>
      <c r="B19" s="1" t="s">
        <v>148</v>
      </c>
      <c r="D19" s="48" t="s">
        <v>149</v>
      </c>
      <c r="F19" s="89" t="s">
        <v>150</v>
      </c>
      <c r="H19" s="48" t="s">
        <v>151</v>
      </c>
      <c r="M19" s="90" t="s">
        <v>145</v>
      </c>
      <c r="N19" s="89"/>
      <c r="Q19" s="514"/>
      <c r="S19" s="555"/>
      <c r="T19" s="88" t="s">
        <v>263</v>
      </c>
      <c r="U19" s="32" t="s">
        <v>264</v>
      </c>
      <c r="V19" s="32" t="s">
        <v>201</v>
      </c>
      <c r="W19" s="32" t="s">
        <v>275</v>
      </c>
      <c r="Y19" s="140" t="s">
        <v>276</v>
      </c>
      <c r="Z19" s="132" t="str">
        <f t="shared" si="3"/>
        <v>152TG00000</v>
      </c>
      <c r="AA19" s="132" t="s">
        <v>280</v>
      </c>
      <c r="AB19" s="132" t="s">
        <v>277</v>
      </c>
      <c r="AC19" s="141">
        <f t="shared" si="2"/>
        <v>9000000000</v>
      </c>
      <c r="AD19" s="553"/>
      <c r="AF19" s="140" t="s">
        <v>276</v>
      </c>
      <c r="AG19" s="136" t="str">
        <f t="shared" si="1"/>
        <v>152TG00000</v>
      </c>
      <c r="AH19" s="132" t="s">
        <v>282</v>
      </c>
      <c r="AI19" s="132" t="s">
        <v>277</v>
      </c>
      <c r="AJ19" s="141">
        <f t="shared" si="4"/>
        <v>9000000003</v>
      </c>
      <c r="AK19" s="550"/>
      <c r="AM19" s="1" t="s">
        <v>500</v>
      </c>
      <c r="BK19"/>
      <c r="BL19"/>
      <c r="BM19"/>
    </row>
    <row r="20" spans="1:65" ht="25" customHeight="1" x14ac:dyDescent="0.35">
      <c r="A20" s="2">
        <v>3</v>
      </c>
      <c r="B20" s="1" t="s">
        <v>3</v>
      </c>
      <c r="D20" s="48" t="s">
        <v>149</v>
      </c>
      <c r="F20" s="89" t="s">
        <v>152</v>
      </c>
      <c r="H20" s="48" t="s">
        <v>151</v>
      </c>
      <c r="M20" s="90" t="s">
        <v>145</v>
      </c>
      <c r="N20" s="89"/>
      <c r="Q20" s="514"/>
      <c r="S20" s="555"/>
      <c r="T20" s="88" t="s">
        <v>265</v>
      </c>
      <c r="U20" s="32" t="s">
        <v>266</v>
      </c>
      <c r="V20" s="32" t="s">
        <v>201</v>
      </c>
      <c r="W20" s="32" t="s">
        <v>275</v>
      </c>
      <c r="Y20" s="140" t="s">
        <v>276</v>
      </c>
      <c r="Z20" s="132" t="str">
        <f t="shared" si="3"/>
        <v>152SP00000</v>
      </c>
      <c r="AA20" s="132" t="s">
        <v>280</v>
      </c>
      <c r="AB20" s="132" t="s">
        <v>277</v>
      </c>
      <c r="AC20" s="141">
        <f t="shared" si="2"/>
        <v>9000000000</v>
      </c>
      <c r="AD20" s="553"/>
      <c r="AF20" s="140" t="s">
        <v>276</v>
      </c>
      <c r="AG20" s="136" t="str">
        <f t="shared" si="1"/>
        <v>152SP00000</v>
      </c>
      <c r="AH20" s="132" t="s">
        <v>282</v>
      </c>
      <c r="AI20" s="132" t="s">
        <v>277</v>
      </c>
      <c r="AJ20" s="141">
        <f t="shared" si="4"/>
        <v>9000000003</v>
      </c>
      <c r="AK20" s="550"/>
      <c r="AN20" s="1" t="s">
        <v>502</v>
      </c>
      <c r="BA20" s="235" t="s">
        <v>503</v>
      </c>
      <c r="BK20"/>
      <c r="BL20"/>
      <c r="BM20"/>
    </row>
    <row r="21" spans="1:65" ht="25" customHeight="1" x14ac:dyDescent="0.35">
      <c r="A21" s="2">
        <v>4</v>
      </c>
      <c r="B21" s="1" t="s">
        <v>4</v>
      </c>
      <c r="D21" s="48" t="s">
        <v>149</v>
      </c>
      <c r="F21" s="89" t="s">
        <v>153</v>
      </c>
      <c r="H21" s="48" t="s">
        <v>151</v>
      </c>
      <c r="M21" s="90" t="s">
        <v>145</v>
      </c>
      <c r="N21" s="89"/>
      <c r="Q21" s="514"/>
      <c r="S21" s="555"/>
      <c r="T21" s="88" t="s">
        <v>267</v>
      </c>
      <c r="U21" s="32" t="s">
        <v>268</v>
      </c>
      <c r="V21" s="32" t="s">
        <v>201</v>
      </c>
      <c r="W21" s="32" t="s">
        <v>275</v>
      </c>
      <c r="Y21" s="140" t="s">
        <v>276</v>
      </c>
      <c r="Z21" s="132" t="str">
        <f t="shared" si="3"/>
        <v>152PG00000</v>
      </c>
      <c r="AA21" s="132" t="s">
        <v>280</v>
      </c>
      <c r="AB21" s="132" t="s">
        <v>277</v>
      </c>
      <c r="AC21" s="141">
        <f t="shared" si="2"/>
        <v>9000000000</v>
      </c>
      <c r="AD21" s="553"/>
      <c r="AF21" s="140" t="s">
        <v>276</v>
      </c>
      <c r="AG21" s="136" t="str">
        <f t="shared" si="1"/>
        <v>152PG00000</v>
      </c>
      <c r="AH21" s="132" t="s">
        <v>282</v>
      </c>
      <c r="AI21" s="132" t="s">
        <v>277</v>
      </c>
      <c r="AJ21" s="141">
        <f t="shared" si="4"/>
        <v>9000000003</v>
      </c>
      <c r="AK21" s="550"/>
      <c r="AN21" s="1" t="s">
        <v>535</v>
      </c>
      <c r="BA21" s="235" t="s">
        <v>504</v>
      </c>
      <c r="BK21"/>
      <c r="BL21"/>
      <c r="BM21"/>
    </row>
    <row r="22" spans="1:65" ht="25" customHeight="1" x14ac:dyDescent="0.35">
      <c r="A22" s="2">
        <v>5</v>
      </c>
      <c r="B22" s="1" t="s">
        <v>154</v>
      </c>
      <c r="D22" s="48" t="s">
        <v>151</v>
      </c>
      <c r="F22" s="89" t="s">
        <v>150</v>
      </c>
      <c r="H22" s="48" t="s">
        <v>151</v>
      </c>
      <c r="M22" s="90" t="s">
        <v>150</v>
      </c>
      <c r="N22" s="89"/>
      <c r="Q22" s="514"/>
      <c r="S22" s="555"/>
      <c r="T22" s="88" t="s">
        <v>265</v>
      </c>
      <c r="U22" s="32" t="s">
        <v>266</v>
      </c>
      <c r="V22" s="32" t="s">
        <v>201</v>
      </c>
      <c r="W22" s="32" t="s">
        <v>275</v>
      </c>
      <c r="Y22" s="140" t="s">
        <v>276</v>
      </c>
      <c r="Z22" s="132" t="str">
        <f t="shared" si="3"/>
        <v>152SP00000</v>
      </c>
      <c r="AA22" s="132" t="s">
        <v>280</v>
      </c>
      <c r="AB22" s="132" t="s">
        <v>277</v>
      </c>
      <c r="AC22" s="141">
        <f t="shared" si="2"/>
        <v>9000000000</v>
      </c>
      <c r="AD22" s="553"/>
      <c r="AF22" s="140" t="s">
        <v>276</v>
      </c>
      <c r="AG22" s="136" t="str">
        <f t="shared" si="1"/>
        <v>152SP00000</v>
      </c>
      <c r="AH22" s="132" t="s">
        <v>282</v>
      </c>
      <c r="AI22" s="132" t="s">
        <v>277</v>
      </c>
      <c r="AJ22" s="141">
        <f t="shared" si="4"/>
        <v>9000000003</v>
      </c>
      <c r="AK22" s="550"/>
      <c r="AM22" s="1" t="s">
        <v>541</v>
      </c>
      <c r="BK22"/>
      <c r="BL22"/>
      <c r="BM22"/>
    </row>
    <row r="23" spans="1:65" ht="25" customHeight="1" thickBot="1" x14ac:dyDescent="0.4">
      <c r="A23" s="2">
        <v>6</v>
      </c>
      <c r="B23" s="1" t="s">
        <v>155</v>
      </c>
      <c r="D23" s="91" t="s">
        <v>108</v>
      </c>
      <c r="E23" s="92"/>
      <c r="F23" s="93"/>
      <c r="H23" s="91" t="s">
        <v>108</v>
      </c>
      <c r="I23" s="92"/>
      <c r="J23" s="92"/>
      <c r="K23" s="92"/>
      <c r="L23" s="92"/>
      <c r="M23" s="92"/>
      <c r="N23" s="93"/>
      <c r="Q23" s="514"/>
      <c r="S23" s="555"/>
      <c r="T23" s="88" t="s">
        <v>269</v>
      </c>
      <c r="U23" s="32" t="s">
        <v>270</v>
      </c>
      <c r="V23" s="32" t="s">
        <v>201</v>
      </c>
      <c r="W23" s="32" t="s">
        <v>275</v>
      </c>
      <c r="Y23" s="140" t="s">
        <v>276</v>
      </c>
      <c r="Z23" s="132" t="str">
        <f t="shared" si="3"/>
        <v>152OS00000</v>
      </c>
      <c r="AA23" s="132" t="s">
        <v>280</v>
      </c>
      <c r="AB23" s="132" t="s">
        <v>277</v>
      </c>
      <c r="AC23" s="141">
        <f t="shared" si="2"/>
        <v>9000000000</v>
      </c>
      <c r="AD23" s="553"/>
      <c r="AF23" s="140" t="s">
        <v>276</v>
      </c>
      <c r="AG23" s="136" t="str">
        <f t="shared" si="1"/>
        <v>152OS00000</v>
      </c>
      <c r="AH23" s="132" t="s">
        <v>282</v>
      </c>
      <c r="AI23" s="132" t="s">
        <v>277</v>
      </c>
      <c r="AJ23" s="141">
        <f t="shared" si="4"/>
        <v>9000000003</v>
      </c>
      <c r="AK23" s="550"/>
      <c r="AN23" s="241" t="s">
        <v>525</v>
      </c>
      <c r="AO23" s="245" t="s">
        <v>526</v>
      </c>
      <c r="AP23" s="246"/>
      <c r="AQ23" s="246"/>
      <c r="AS23" s="241" t="s">
        <v>523</v>
      </c>
      <c r="AT23" s="245" t="s">
        <v>538</v>
      </c>
      <c r="AU23" s="246"/>
      <c r="AV23" s="246"/>
      <c r="AY23" s="37"/>
      <c r="AZ23" s="219" t="s">
        <v>648</v>
      </c>
      <c r="BA23" s="1" t="s">
        <v>515</v>
      </c>
    </row>
    <row r="24" spans="1:65" ht="22.5" customHeight="1" thickBot="1" x14ac:dyDescent="0.4">
      <c r="Q24" s="514"/>
      <c r="S24" s="555"/>
      <c r="T24" s="88" t="s">
        <v>271</v>
      </c>
      <c r="U24" s="32" t="s">
        <v>272</v>
      </c>
      <c r="V24" s="32" t="s">
        <v>201</v>
      </c>
      <c r="W24" s="32" t="s">
        <v>275</v>
      </c>
      <c r="Y24" s="140" t="s">
        <v>276</v>
      </c>
      <c r="Z24" s="132" t="str">
        <f t="shared" si="3"/>
        <v>152SF00000</v>
      </c>
      <c r="AA24" s="132" t="s">
        <v>280</v>
      </c>
      <c r="AB24" s="132" t="s">
        <v>277</v>
      </c>
      <c r="AC24" s="141">
        <f t="shared" si="2"/>
        <v>9000000000</v>
      </c>
      <c r="AD24" s="553"/>
      <c r="AF24" s="140" t="s">
        <v>276</v>
      </c>
      <c r="AG24" s="136" t="str">
        <f t="shared" si="1"/>
        <v>152SF00000</v>
      </c>
      <c r="AH24" s="132" t="s">
        <v>282</v>
      </c>
      <c r="AI24" s="132" t="s">
        <v>277</v>
      </c>
      <c r="AJ24" s="141">
        <f t="shared" si="4"/>
        <v>9000000003</v>
      </c>
      <c r="AK24" s="550"/>
      <c r="AN24" s="241" t="s">
        <v>525</v>
      </c>
      <c r="AO24" s="246" t="s">
        <v>537</v>
      </c>
      <c r="AP24" s="247"/>
      <c r="AQ24" s="247"/>
      <c r="AR24"/>
      <c r="AS24" s="241" t="s">
        <v>523</v>
      </c>
      <c r="AT24" s="248" t="s">
        <v>536</v>
      </c>
      <c r="AU24" s="247"/>
      <c r="AV24" s="247"/>
      <c r="AW24"/>
      <c r="AY24" s="37"/>
      <c r="AZ24" s="219" t="s">
        <v>513</v>
      </c>
      <c r="BA24" s="1" t="s">
        <v>521</v>
      </c>
    </row>
    <row r="25" spans="1:65" ht="21" customHeight="1" thickBot="1" x14ac:dyDescent="0.4">
      <c r="H25" s="94" t="s">
        <v>156</v>
      </c>
      <c r="I25" s="95"/>
      <c r="J25" s="95"/>
      <c r="K25" s="95"/>
      <c r="L25" s="95"/>
      <c r="M25" s="95"/>
      <c r="N25" s="96"/>
      <c r="P25" s="1" t="s">
        <v>157</v>
      </c>
      <c r="Q25" s="515"/>
      <c r="S25" s="555"/>
      <c r="T25" s="88" t="s">
        <v>273</v>
      </c>
      <c r="U25" s="32" t="s">
        <v>274</v>
      </c>
      <c r="V25" s="32" t="s">
        <v>201</v>
      </c>
      <c r="W25" s="32" t="s">
        <v>275</v>
      </c>
      <c r="Y25" s="142" t="s">
        <v>276</v>
      </c>
      <c r="Z25" s="143" t="str">
        <f t="shared" si="3"/>
        <v>152FG00000</v>
      </c>
      <c r="AA25" s="143" t="s">
        <v>280</v>
      </c>
      <c r="AB25" s="143" t="s">
        <v>277</v>
      </c>
      <c r="AC25" s="144">
        <f t="shared" si="2"/>
        <v>9000000000</v>
      </c>
      <c r="AD25" s="553"/>
      <c r="AF25" s="142" t="s">
        <v>276</v>
      </c>
      <c r="AG25" s="161" t="str">
        <f t="shared" si="1"/>
        <v>152FG00000</v>
      </c>
      <c r="AH25" s="143" t="s">
        <v>282</v>
      </c>
      <c r="AI25" s="143" t="s">
        <v>277</v>
      </c>
      <c r="AJ25" s="144">
        <f t="shared" si="4"/>
        <v>9000000003</v>
      </c>
      <c r="AK25" s="551"/>
      <c r="AM25" s="1" t="s">
        <v>542</v>
      </c>
      <c r="BA25" s="244"/>
      <c r="BB25" s="244"/>
      <c r="BC25" s="244"/>
      <c r="BD25" s="244"/>
      <c r="BE25" s="244"/>
      <c r="BF25" s="244"/>
      <c r="BG25" s="244"/>
      <c r="BH25" s="244"/>
      <c r="BI25" s="244"/>
      <c r="BJ25" s="244"/>
      <c r="BK25" s="244"/>
    </row>
    <row r="26" spans="1:65" ht="25" customHeight="1" thickBot="1" x14ac:dyDescent="0.4">
      <c r="S26" s="559" t="s">
        <v>155</v>
      </c>
      <c r="T26" s="81" t="s">
        <v>249</v>
      </c>
      <c r="U26" s="82" t="s">
        <v>250</v>
      </c>
      <c r="V26" s="82" t="s">
        <v>202</v>
      </c>
      <c r="W26" s="82" t="s">
        <v>211</v>
      </c>
      <c r="Y26" s="145"/>
      <c r="Z26" s="146"/>
      <c r="AA26" s="146"/>
      <c r="AB26" s="146"/>
      <c r="AC26" s="147"/>
      <c r="AD26" s="553"/>
      <c r="AF26" s="162" t="s">
        <v>276</v>
      </c>
      <c r="AG26" s="163" t="str">
        <f t="shared" si="1"/>
        <v>705AW01000</v>
      </c>
      <c r="AH26" s="163" t="s">
        <v>280</v>
      </c>
      <c r="AI26" s="163" t="s">
        <v>277</v>
      </c>
      <c r="AJ26" s="164">
        <f>$T$38</f>
        <v>9000000000</v>
      </c>
      <c r="AK26" s="552" t="s">
        <v>493</v>
      </c>
      <c r="AN26" s="241" t="s">
        <v>523</v>
      </c>
      <c r="AO26" s="246" t="s">
        <v>529</v>
      </c>
      <c r="AP26" s="246"/>
      <c r="AQ26" s="246"/>
      <c r="AS26" s="241" t="s">
        <v>523</v>
      </c>
      <c r="AT26" s="246" t="s">
        <v>534</v>
      </c>
      <c r="AU26" s="246"/>
      <c r="AV26" s="246"/>
    </row>
    <row r="27" spans="1:65" ht="22.5" customHeight="1" x14ac:dyDescent="0.35">
      <c r="H27" s="85" t="s">
        <v>158</v>
      </c>
      <c r="I27" s="16"/>
      <c r="J27" s="16"/>
      <c r="K27" s="16"/>
      <c r="L27" s="16"/>
      <c r="M27" s="87" t="s">
        <v>143</v>
      </c>
      <c r="N27" s="17"/>
      <c r="P27" s="1" t="s">
        <v>159</v>
      </c>
      <c r="S27" s="561"/>
      <c r="T27" s="81" t="s">
        <v>259</v>
      </c>
      <c r="U27" s="82" t="s">
        <v>260</v>
      </c>
      <c r="V27" s="82" t="s">
        <v>202</v>
      </c>
      <c r="W27" s="82" t="s">
        <v>211</v>
      </c>
      <c r="Y27" s="121"/>
      <c r="Z27" s="122"/>
      <c r="AA27" s="122"/>
      <c r="AB27" s="122"/>
      <c r="AC27" s="148"/>
      <c r="AD27" s="553"/>
      <c r="AF27" s="151" t="s">
        <v>276</v>
      </c>
      <c r="AG27" s="135" t="str">
        <f t="shared" si="1"/>
        <v>735EX06000</v>
      </c>
      <c r="AH27" s="135" t="s">
        <v>280</v>
      </c>
      <c r="AI27" s="135" t="s">
        <v>277</v>
      </c>
      <c r="AJ27" s="152">
        <f>$T$38</f>
        <v>9000000000</v>
      </c>
      <c r="AK27" s="553"/>
      <c r="AN27" s="241" t="s">
        <v>523</v>
      </c>
      <c r="AO27" s="246" t="s">
        <v>527</v>
      </c>
      <c r="AP27" s="246"/>
      <c r="AQ27" s="246"/>
      <c r="AS27" s="241" t="s">
        <v>523</v>
      </c>
      <c r="AT27" s="1" t="s">
        <v>539</v>
      </c>
    </row>
    <row r="28" spans="1:65" ht="25" customHeight="1" x14ac:dyDescent="0.35">
      <c r="H28" s="48" t="s">
        <v>160</v>
      </c>
      <c r="M28" s="90" t="s">
        <v>150</v>
      </c>
      <c r="N28" s="19"/>
      <c r="S28" s="561"/>
      <c r="T28" s="81" t="s">
        <v>251</v>
      </c>
      <c r="U28" s="82" t="s">
        <v>252</v>
      </c>
      <c r="V28" s="82" t="s">
        <v>202</v>
      </c>
      <c r="W28" s="82" t="s">
        <v>211</v>
      </c>
      <c r="Y28" s="121"/>
      <c r="Z28" s="122"/>
      <c r="AA28" s="122"/>
      <c r="AB28" s="122"/>
      <c r="AC28" s="148"/>
      <c r="AD28" s="553"/>
      <c r="AF28" s="151" t="s">
        <v>276</v>
      </c>
      <c r="AG28" s="135" t="str">
        <f t="shared" si="1"/>
        <v>610SC02000</v>
      </c>
      <c r="AH28" s="135" t="s">
        <v>280</v>
      </c>
      <c r="AI28" s="135" t="s">
        <v>277</v>
      </c>
      <c r="AJ28" s="152">
        <f>$T$38</f>
        <v>9000000000</v>
      </c>
      <c r="AK28" s="553"/>
      <c r="AN28" s="241" t="s">
        <v>523</v>
      </c>
      <c r="AO28" s="1" t="s">
        <v>540</v>
      </c>
      <c r="AS28" s="241" t="s">
        <v>523</v>
      </c>
      <c r="AT28" s="246" t="s">
        <v>530</v>
      </c>
      <c r="AU28" s="246"/>
      <c r="AV28" s="246"/>
    </row>
    <row r="29" spans="1:65" ht="25" customHeight="1" x14ac:dyDescent="0.35">
      <c r="H29" s="48" t="s">
        <v>160</v>
      </c>
      <c r="M29" s="90" t="s">
        <v>152</v>
      </c>
      <c r="N29" s="19"/>
      <c r="S29" s="561"/>
      <c r="T29" s="81" t="s">
        <v>253</v>
      </c>
      <c r="U29" s="82" t="s">
        <v>254</v>
      </c>
      <c r="V29" s="82" t="s">
        <v>202</v>
      </c>
      <c r="W29" s="82" t="s">
        <v>211</v>
      </c>
      <c r="Y29" s="121"/>
      <c r="Z29" s="122"/>
      <c r="AA29" s="122"/>
      <c r="AB29" s="122"/>
      <c r="AC29" s="148"/>
      <c r="AD29" s="553"/>
      <c r="AF29" s="151" t="s">
        <v>276</v>
      </c>
      <c r="AG29" s="135" t="str">
        <f t="shared" si="1"/>
        <v>610OH01000</v>
      </c>
      <c r="AH29" s="135" t="s">
        <v>280</v>
      </c>
      <c r="AI29" s="135" t="s">
        <v>277</v>
      </c>
      <c r="AJ29" s="152">
        <f>$T$38</f>
        <v>9000000000</v>
      </c>
      <c r="AK29" s="553"/>
      <c r="AN29" s="249" t="s">
        <v>543</v>
      </c>
    </row>
    <row r="30" spans="1:65" ht="25" customHeight="1" x14ac:dyDescent="0.35">
      <c r="H30" s="48" t="s">
        <v>160</v>
      </c>
      <c r="M30" s="90" t="s">
        <v>153</v>
      </c>
      <c r="N30" s="19"/>
      <c r="S30" s="561"/>
      <c r="T30" s="81"/>
      <c r="U30" s="82"/>
      <c r="V30" s="82"/>
      <c r="W30" s="82"/>
      <c r="Y30" s="121"/>
      <c r="Z30" s="122"/>
      <c r="AA30" s="122"/>
      <c r="AB30" s="122"/>
      <c r="AC30" s="148"/>
      <c r="AD30" s="553"/>
      <c r="AF30" s="151"/>
      <c r="AG30" s="135"/>
      <c r="AH30" s="135"/>
      <c r="AI30" s="135"/>
      <c r="AJ30" s="152"/>
      <c r="AK30" s="553"/>
      <c r="AN30" s="249"/>
    </row>
    <row r="31" spans="1:65" ht="25" customHeight="1" x14ac:dyDescent="0.35">
      <c r="H31" s="48" t="s">
        <v>161</v>
      </c>
      <c r="L31" s="1" t="s">
        <v>162</v>
      </c>
      <c r="M31" s="90" t="s">
        <v>150</v>
      </c>
      <c r="N31" s="19"/>
      <c r="S31" s="561"/>
      <c r="T31" s="81"/>
      <c r="U31" s="82"/>
      <c r="V31" s="82"/>
      <c r="W31" s="82"/>
      <c r="Y31" s="121"/>
      <c r="Z31" s="122"/>
      <c r="AA31" s="122"/>
      <c r="AB31" s="122"/>
      <c r="AC31" s="148"/>
      <c r="AD31" s="553"/>
      <c r="AF31" s="151"/>
      <c r="AG31" s="135"/>
      <c r="AH31" s="135"/>
      <c r="AI31" s="135"/>
      <c r="AJ31" s="152"/>
      <c r="AK31" s="553"/>
      <c r="AN31" s="249" t="s">
        <v>646</v>
      </c>
    </row>
    <row r="32" spans="1:65" ht="25" customHeight="1" thickBot="1" x14ac:dyDescent="0.4">
      <c r="H32" s="91" t="s">
        <v>161</v>
      </c>
      <c r="I32" s="92"/>
      <c r="J32" s="92"/>
      <c r="K32" s="92"/>
      <c r="L32" s="92" t="s">
        <v>163</v>
      </c>
      <c r="M32" s="97" t="s">
        <v>150</v>
      </c>
      <c r="N32" s="93"/>
      <c r="S32" s="561"/>
      <c r="T32" s="81"/>
      <c r="U32" s="82"/>
      <c r="V32" s="82"/>
      <c r="W32" s="82"/>
      <c r="Y32" s="121"/>
      <c r="Z32" s="122"/>
      <c r="AA32" s="122"/>
      <c r="AB32" s="122"/>
      <c r="AC32" s="148"/>
      <c r="AD32" s="553"/>
      <c r="AF32" s="151"/>
      <c r="AG32" s="135"/>
      <c r="AH32" s="135"/>
      <c r="AI32" s="135"/>
      <c r="AJ32" s="152"/>
      <c r="AK32" s="553"/>
      <c r="AN32" s="249"/>
    </row>
    <row r="33" spans="1:52" ht="25" customHeight="1" x14ac:dyDescent="0.35">
      <c r="A33" s="36">
        <v>7</v>
      </c>
      <c r="B33" s="37" t="s">
        <v>164</v>
      </c>
      <c r="C33" s="37"/>
      <c r="D33" s="37" t="s">
        <v>165</v>
      </c>
      <c r="E33" s="37"/>
      <c r="F33" s="37"/>
      <c r="H33" s="16"/>
      <c r="I33" s="16"/>
      <c r="J33" s="16"/>
      <c r="K33" s="16"/>
      <c r="L33" s="16"/>
      <c r="M33" s="87"/>
      <c r="N33" s="16"/>
      <c r="S33" s="561"/>
      <c r="T33" s="81"/>
      <c r="U33" s="82"/>
      <c r="V33" s="82"/>
      <c r="W33" s="82"/>
      <c r="Y33" s="121"/>
      <c r="Z33" s="122"/>
      <c r="AA33" s="122"/>
      <c r="AB33" s="122"/>
      <c r="AC33" s="148"/>
      <c r="AD33" s="553"/>
      <c r="AF33" s="151"/>
      <c r="AG33" s="135"/>
      <c r="AH33" s="135"/>
      <c r="AI33" s="135"/>
      <c r="AJ33" s="152"/>
      <c r="AK33" s="553"/>
      <c r="AN33" s="249"/>
    </row>
    <row r="34" spans="1:52" ht="25" customHeight="1" x14ac:dyDescent="0.35">
      <c r="S34" s="561"/>
      <c r="T34" s="81" t="s">
        <v>257</v>
      </c>
      <c r="U34" s="82" t="s">
        <v>258</v>
      </c>
      <c r="V34" s="82" t="s">
        <v>202</v>
      </c>
      <c r="W34" s="82" t="s">
        <v>203</v>
      </c>
      <c r="Y34" s="121"/>
      <c r="Z34" s="122"/>
      <c r="AA34" s="122"/>
      <c r="AB34" s="122"/>
      <c r="AC34" s="148"/>
      <c r="AD34" s="553"/>
      <c r="AF34" s="151" t="s">
        <v>277</v>
      </c>
      <c r="AG34" s="135" t="str">
        <f t="shared" si="1"/>
        <v>500SD01000</v>
      </c>
      <c r="AH34" s="135" t="s">
        <v>280</v>
      </c>
      <c r="AI34" s="135" t="s">
        <v>276</v>
      </c>
      <c r="AJ34" s="152">
        <f>$T$38</f>
        <v>9000000000</v>
      </c>
      <c r="AK34" s="553"/>
      <c r="AM34" s="234" t="s">
        <v>501</v>
      </c>
      <c r="AO34"/>
      <c r="AP34"/>
      <c r="AQ34"/>
      <c r="AR34"/>
      <c r="AS34"/>
      <c r="AT34"/>
      <c r="AU34"/>
      <c r="AV34"/>
      <c r="AW34"/>
      <c r="AX34"/>
      <c r="AY34"/>
      <c r="AZ34"/>
    </row>
    <row r="35" spans="1:52" ht="25" customHeight="1" thickBot="1" x14ac:dyDescent="0.4">
      <c r="B35" s="100" t="s">
        <v>166</v>
      </c>
      <c r="C35" s="101"/>
      <c r="D35" s="101"/>
      <c r="E35" s="101"/>
      <c r="F35" s="102"/>
      <c r="H35" s="100" t="s">
        <v>167</v>
      </c>
      <c r="I35" s="101"/>
      <c r="J35" s="101"/>
      <c r="K35" s="101"/>
      <c r="L35" s="101"/>
      <c r="M35" s="102"/>
      <c r="S35" s="560"/>
      <c r="T35" s="81" t="s">
        <v>255</v>
      </c>
      <c r="U35" s="82" t="s">
        <v>256</v>
      </c>
      <c r="V35" s="82" t="s">
        <v>202</v>
      </c>
      <c r="W35" s="82" t="s">
        <v>203</v>
      </c>
      <c r="Y35" s="124"/>
      <c r="Z35" s="125"/>
      <c r="AA35" s="125"/>
      <c r="AB35" s="125"/>
      <c r="AC35" s="149"/>
      <c r="AD35" s="548"/>
      <c r="AF35" s="153" t="s">
        <v>277</v>
      </c>
      <c r="AG35" s="155" t="str">
        <f t="shared" si="1"/>
        <v>810DQ00000</v>
      </c>
      <c r="AH35" s="155" t="s">
        <v>280</v>
      </c>
      <c r="AI35" s="155" t="s">
        <v>276</v>
      </c>
      <c r="AJ35" s="156">
        <f>$T$38</f>
        <v>9000000000</v>
      </c>
      <c r="AK35" s="548"/>
      <c r="AM35" s="79" t="s">
        <v>505</v>
      </c>
      <c r="AN35" s="79"/>
      <c r="AO35"/>
      <c r="AP35"/>
      <c r="AQ35"/>
      <c r="AR35"/>
      <c r="AS35"/>
      <c r="AT35"/>
      <c r="AU35"/>
      <c r="AV35"/>
      <c r="AW35"/>
      <c r="AX35"/>
      <c r="AY35"/>
      <c r="AZ35"/>
    </row>
    <row r="36" spans="1:52" ht="25" customHeight="1" x14ac:dyDescent="0.35">
      <c r="B36" s="76">
        <v>1</v>
      </c>
      <c r="C36" s="1" t="s">
        <v>193</v>
      </c>
      <c r="F36" s="103"/>
      <c r="H36" s="76">
        <v>1</v>
      </c>
      <c r="I36" s="1" t="s">
        <v>179</v>
      </c>
      <c r="M36" s="103"/>
      <c r="AM36" s="79"/>
      <c r="AN36" s="79" t="s">
        <v>506</v>
      </c>
    </row>
    <row r="37" spans="1:52" ht="25" customHeight="1" x14ac:dyDescent="0.35">
      <c r="B37" s="76"/>
      <c r="D37" s="83" t="s">
        <v>195</v>
      </c>
      <c r="E37" s="83"/>
      <c r="F37" s="104" t="s">
        <v>170</v>
      </c>
      <c r="H37" s="76"/>
      <c r="J37" s="84" t="s">
        <v>148</v>
      </c>
      <c r="K37" s="84"/>
      <c r="L37" s="84"/>
      <c r="M37" s="105" t="s">
        <v>170</v>
      </c>
      <c r="Y37" s="545" t="s">
        <v>324</v>
      </c>
      <c r="Z37" s="546"/>
      <c r="AA37" s="546"/>
      <c r="AB37" s="546"/>
      <c r="AC37" s="546"/>
      <c r="AD37" s="546"/>
      <c r="AF37" s="1" t="s">
        <v>286</v>
      </c>
      <c r="AH37" s="79" t="s">
        <v>287</v>
      </c>
      <c r="AK37" s="106" t="s">
        <v>94</v>
      </c>
      <c r="AM37" s="79"/>
      <c r="AN37" s="79" t="s">
        <v>507</v>
      </c>
    </row>
    <row r="38" spans="1:52" ht="25" customHeight="1" x14ac:dyDescent="0.35">
      <c r="B38" s="76">
        <v>2</v>
      </c>
      <c r="C38" s="1" t="s">
        <v>172</v>
      </c>
      <c r="F38" s="103"/>
      <c r="H38" s="76">
        <v>2</v>
      </c>
      <c r="I38" s="1" t="s">
        <v>181</v>
      </c>
      <c r="M38" s="103"/>
      <c r="S38" s="562" t="s">
        <v>217</v>
      </c>
      <c r="T38" s="98">
        <v>9000000000</v>
      </c>
      <c r="U38" s="99" t="s">
        <v>170</v>
      </c>
      <c r="V38" s="99" t="s">
        <v>201</v>
      </c>
      <c r="W38" s="99" t="s">
        <v>217</v>
      </c>
      <c r="Y38" s="165"/>
      <c r="AF38" s="1" t="s">
        <v>288</v>
      </c>
      <c r="AH38" s="79" t="s">
        <v>289</v>
      </c>
      <c r="AK38" s="106" t="s">
        <v>93</v>
      </c>
      <c r="AM38" s="79"/>
      <c r="AN38" s="79" t="s">
        <v>508</v>
      </c>
    </row>
    <row r="39" spans="1:52" ht="25" customHeight="1" x14ac:dyDescent="0.35">
      <c r="B39" s="76"/>
      <c r="D39" s="83" t="s">
        <v>171</v>
      </c>
      <c r="E39" s="83"/>
      <c r="F39" s="104" t="s">
        <v>170</v>
      </c>
      <c r="H39" s="76"/>
      <c r="J39" s="84" t="s">
        <v>187</v>
      </c>
      <c r="K39" s="84"/>
      <c r="L39" s="84"/>
      <c r="M39" s="105" t="s">
        <v>171</v>
      </c>
      <c r="S39" s="563"/>
      <c r="T39" s="98">
        <v>9000000001</v>
      </c>
      <c r="U39" s="99" t="s">
        <v>171</v>
      </c>
      <c r="V39" s="99" t="s">
        <v>201</v>
      </c>
      <c r="W39" s="99" t="s">
        <v>217</v>
      </c>
      <c r="AF39" s="1" t="s">
        <v>290</v>
      </c>
      <c r="AH39" s="79" t="s">
        <v>291</v>
      </c>
      <c r="AK39" s="106" t="s">
        <v>275</v>
      </c>
    </row>
    <row r="40" spans="1:52" ht="25" customHeight="1" x14ac:dyDescent="0.35">
      <c r="B40" s="76">
        <v>3</v>
      </c>
      <c r="C40" s="1" t="s">
        <v>173</v>
      </c>
      <c r="F40" s="103"/>
      <c r="H40" s="76">
        <v>3</v>
      </c>
      <c r="I40" s="1" t="s">
        <v>180</v>
      </c>
      <c r="M40" s="103"/>
      <c r="S40" s="563"/>
      <c r="T40" s="98"/>
      <c r="U40" s="99"/>
      <c r="V40" s="99"/>
      <c r="W40" s="99"/>
      <c r="AH40" s="79"/>
      <c r="AK40" s="106"/>
    </row>
    <row r="41" spans="1:52" ht="25" customHeight="1" x14ac:dyDescent="0.35">
      <c r="B41" s="76"/>
      <c r="D41" s="83" t="s">
        <v>197</v>
      </c>
      <c r="E41" s="83"/>
      <c r="F41" s="104" t="s">
        <v>170</v>
      </c>
      <c r="H41" s="76"/>
      <c r="J41" s="84" t="s">
        <v>188</v>
      </c>
      <c r="K41" s="84"/>
      <c r="L41" s="84"/>
      <c r="M41" s="105" t="s">
        <v>174</v>
      </c>
      <c r="S41" s="563"/>
      <c r="T41" s="98">
        <v>9000000002</v>
      </c>
      <c r="U41" s="99" t="s">
        <v>174</v>
      </c>
      <c r="V41" s="99" t="s">
        <v>201</v>
      </c>
      <c r="W41" s="99" t="s">
        <v>217</v>
      </c>
      <c r="AF41" s="1" t="s">
        <v>292</v>
      </c>
      <c r="AH41" s="79" t="s">
        <v>293</v>
      </c>
      <c r="AK41" s="106" t="s">
        <v>294</v>
      </c>
    </row>
    <row r="42" spans="1:52" ht="25" customHeight="1" x14ac:dyDescent="0.35">
      <c r="B42" s="76">
        <v>4</v>
      </c>
      <c r="C42" s="1" t="s">
        <v>175</v>
      </c>
      <c r="F42" s="103"/>
      <c r="H42" s="76">
        <v>4</v>
      </c>
      <c r="I42" s="1" t="s">
        <v>182</v>
      </c>
      <c r="M42" s="103"/>
      <c r="S42" s="563"/>
      <c r="T42" s="98">
        <v>9000000003</v>
      </c>
      <c r="U42" s="99" t="s">
        <v>215</v>
      </c>
      <c r="V42" s="99" t="s">
        <v>201</v>
      </c>
      <c r="W42" s="99" t="s">
        <v>217</v>
      </c>
      <c r="AF42" s="1" t="s">
        <v>295</v>
      </c>
      <c r="AH42" s="79" t="s">
        <v>296</v>
      </c>
      <c r="AK42" s="106" t="s">
        <v>297</v>
      </c>
    </row>
    <row r="43" spans="1:52" ht="25" customHeight="1" x14ac:dyDescent="0.35">
      <c r="B43" s="76"/>
      <c r="D43" s="83" t="s">
        <v>174</v>
      </c>
      <c r="E43" s="83"/>
      <c r="F43" s="104" t="s">
        <v>170</v>
      </c>
      <c r="H43" s="76"/>
      <c r="J43" s="1" t="s">
        <v>178</v>
      </c>
      <c r="M43" s="103"/>
      <c r="S43" s="563"/>
      <c r="T43" s="98">
        <v>9000000004</v>
      </c>
      <c r="U43" s="99" t="s">
        <v>216</v>
      </c>
      <c r="V43" s="99" t="s">
        <v>201</v>
      </c>
      <c r="W43" s="99" t="s">
        <v>217</v>
      </c>
      <c r="AF43" s="1" t="s">
        <v>298</v>
      </c>
      <c r="AH43" s="79" t="s">
        <v>299</v>
      </c>
      <c r="AK43" s="106" t="s">
        <v>300</v>
      </c>
    </row>
    <row r="44" spans="1:52" ht="25" customHeight="1" x14ac:dyDescent="0.35">
      <c r="B44" s="76">
        <v>5</v>
      </c>
      <c r="C44" s="1" t="s">
        <v>176</v>
      </c>
      <c r="F44" s="103"/>
      <c r="H44" s="76">
        <v>5</v>
      </c>
      <c r="I44" s="1" t="s">
        <v>183</v>
      </c>
      <c r="M44" s="103"/>
      <c r="S44" s="563"/>
      <c r="T44" s="98">
        <v>9000000005</v>
      </c>
      <c r="U44" s="99" t="s">
        <v>218</v>
      </c>
      <c r="V44" s="99" t="s">
        <v>201</v>
      </c>
      <c r="W44" s="99" t="s">
        <v>217</v>
      </c>
    </row>
    <row r="45" spans="1:52" ht="25" customHeight="1" x14ac:dyDescent="0.35">
      <c r="B45" s="76"/>
      <c r="D45" s="83" t="s">
        <v>198</v>
      </c>
      <c r="E45" s="83"/>
      <c r="F45" s="104" t="s">
        <v>170</v>
      </c>
      <c r="H45" s="76"/>
      <c r="J45" s="84" t="s">
        <v>189</v>
      </c>
      <c r="K45" s="84"/>
      <c r="L45" s="84"/>
      <c r="M45" s="105" t="s">
        <v>190</v>
      </c>
      <c r="S45" s="564"/>
      <c r="T45" s="98">
        <v>9000000006</v>
      </c>
      <c r="U45" s="99" t="s">
        <v>219</v>
      </c>
      <c r="V45" s="99" t="s">
        <v>201</v>
      </c>
      <c r="W45" s="99" t="s">
        <v>217</v>
      </c>
    </row>
    <row r="46" spans="1:52" ht="25" customHeight="1" x14ac:dyDescent="0.35">
      <c r="B46" s="76">
        <v>6</v>
      </c>
      <c r="C46" s="1" t="s">
        <v>194</v>
      </c>
      <c r="F46" s="103"/>
      <c r="H46" s="76">
        <v>6</v>
      </c>
      <c r="I46" s="1" t="s">
        <v>185</v>
      </c>
      <c r="M46" s="103"/>
    </row>
    <row r="47" spans="1:52" ht="25" customHeight="1" x14ac:dyDescent="0.35">
      <c r="B47" s="76"/>
      <c r="D47" s="83" t="s">
        <v>169</v>
      </c>
      <c r="E47" s="83"/>
      <c r="F47" s="104" t="s">
        <v>170</v>
      </c>
      <c r="H47" s="76"/>
      <c r="J47" s="84" t="s">
        <v>154</v>
      </c>
      <c r="K47" s="84"/>
      <c r="L47" s="84"/>
      <c r="M47" s="105" t="s">
        <v>170</v>
      </c>
    </row>
    <row r="48" spans="1:52" ht="25" customHeight="1" x14ac:dyDescent="0.35">
      <c r="B48" s="76">
        <v>7</v>
      </c>
      <c r="C48" s="1" t="s">
        <v>184</v>
      </c>
      <c r="F48" s="103"/>
      <c r="H48" s="76">
        <v>7</v>
      </c>
      <c r="I48" s="1" t="s">
        <v>177</v>
      </c>
      <c r="M48" s="103"/>
    </row>
    <row r="49" spans="2:13" ht="25" customHeight="1" x14ac:dyDescent="0.35">
      <c r="B49" s="76"/>
      <c r="D49" s="84" t="s">
        <v>196</v>
      </c>
      <c r="E49" s="84"/>
      <c r="F49" s="105" t="s">
        <v>170</v>
      </c>
      <c r="H49" s="107"/>
      <c r="J49" s="84" t="s">
        <v>191</v>
      </c>
      <c r="K49" s="84"/>
      <c r="L49" s="84"/>
      <c r="M49" s="105" t="s">
        <v>170</v>
      </c>
    </row>
    <row r="50" spans="2:13" ht="25" customHeight="1" x14ac:dyDescent="0.35">
      <c r="B50" s="76">
        <v>8</v>
      </c>
      <c r="C50" s="1" t="s">
        <v>177</v>
      </c>
      <c r="F50" s="103"/>
      <c r="H50" s="107"/>
      <c r="M50" s="103"/>
    </row>
    <row r="51" spans="2:13" ht="25" customHeight="1" x14ac:dyDescent="0.35">
      <c r="B51" s="108"/>
      <c r="C51" s="109"/>
      <c r="D51" s="109" t="s">
        <v>168</v>
      </c>
      <c r="E51" s="109"/>
      <c r="F51" s="110"/>
      <c r="H51" s="111" t="s">
        <v>192</v>
      </c>
      <c r="I51" s="109"/>
      <c r="J51" s="109"/>
      <c r="K51" s="109"/>
      <c r="L51" s="109"/>
      <c r="M51" s="110"/>
    </row>
    <row r="52" spans="2:13" ht="25" customHeight="1" x14ac:dyDescent="0.35"/>
    <row r="53" spans="2:13" ht="25" customHeight="1" x14ac:dyDescent="0.35">
      <c r="B53" s="554" t="s">
        <v>186</v>
      </c>
      <c r="C53" s="554"/>
      <c r="D53" s="554"/>
      <c r="E53" s="554"/>
      <c r="F53" s="554"/>
      <c r="G53" s="554"/>
      <c r="H53" s="554"/>
      <c r="I53" s="554"/>
      <c r="J53" s="554"/>
      <c r="K53" s="554"/>
      <c r="L53" s="554"/>
      <c r="M53" s="554"/>
    </row>
    <row r="54" spans="2:13" ht="25" customHeight="1" x14ac:dyDescent="0.35"/>
    <row r="55" spans="2:13" ht="25" customHeight="1" x14ac:dyDescent="0.35"/>
    <row r="56" spans="2:13" ht="25" customHeight="1" x14ac:dyDescent="0.35"/>
    <row r="57" spans="2:13" ht="25" customHeight="1" x14ac:dyDescent="0.35"/>
    <row r="58" spans="2:13" ht="25" customHeight="1" x14ac:dyDescent="0.35"/>
    <row r="59" spans="2:13" ht="25" customHeight="1" x14ac:dyDescent="0.35"/>
    <row r="60" spans="2:13" ht="25" customHeight="1" x14ac:dyDescent="0.35"/>
    <row r="61" spans="2:13" ht="25" customHeight="1" x14ac:dyDescent="0.35"/>
    <row r="62" spans="2:13" ht="25" customHeight="1" x14ac:dyDescent="0.35"/>
  </sheetData>
  <mergeCells count="22">
    <mergeCell ref="B53:M53"/>
    <mergeCell ref="S10:S11"/>
    <mergeCell ref="S12:S13"/>
    <mergeCell ref="S14:S15"/>
    <mergeCell ref="AD4:AD35"/>
    <mergeCell ref="S4:S7"/>
    <mergeCell ref="S8:S9"/>
    <mergeCell ref="S16:S25"/>
    <mergeCell ref="S26:S35"/>
    <mergeCell ref="S38:S45"/>
    <mergeCell ref="BB15:BM15"/>
    <mergeCell ref="BA6:BJ6"/>
    <mergeCell ref="Y37:AD37"/>
    <mergeCell ref="Q18:Q25"/>
    <mergeCell ref="AK10:AK11"/>
    <mergeCell ref="AK12:AK13"/>
    <mergeCell ref="AK18:AK25"/>
    <mergeCell ref="AK26:AK35"/>
    <mergeCell ref="AK4:AK7"/>
    <mergeCell ref="AK8:AK9"/>
    <mergeCell ref="AK14:AK15"/>
    <mergeCell ref="AK16:AK17"/>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71045-A738-4572-89B8-9B0088A7251A}">
  <dimension ref="A2:W31"/>
  <sheetViews>
    <sheetView zoomScale="80" zoomScaleNormal="80" workbookViewId="0"/>
  </sheetViews>
  <sheetFormatPr defaultColWidth="8.81640625" defaultRowHeight="14.5" x14ac:dyDescent="0.35"/>
  <cols>
    <col min="1" max="1" width="8.81640625" style="166"/>
    <col min="2" max="2" width="11" style="1" bestFit="1" customWidth="1"/>
    <col min="3" max="3" width="38.54296875" style="1" bestFit="1" customWidth="1"/>
    <col min="4" max="4" width="10.54296875" style="1" customWidth="1"/>
    <col min="5" max="5" width="9.1796875" style="2" bestFit="1" customWidth="1"/>
    <col min="6" max="6" width="11.81640625" style="2" bestFit="1" customWidth="1"/>
    <col min="7" max="7" width="12.81640625" style="62" bestFit="1" customWidth="1"/>
    <col min="8" max="8" width="8.81640625" style="1"/>
    <col min="9" max="9" width="8.81640625" style="166"/>
    <col min="10" max="10" width="11" style="1" bestFit="1" customWidth="1"/>
    <col min="11" max="11" width="22.81640625" style="1" bestFit="1" customWidth="1"/>
    <col min="12" max="12" width="8.81640625" style="1"/>
    <col min="13" max="13" width="9" style="2" bestFit="1" customWidth="1"/>
    <col min="14" max="14" width="9.81640625" style="2" customWidth="1"/>
    <col min="15" max="15" width="12.81640625" style="1" bestFit="1" customWidth="1"/>
    <col min="16" max="17" width="8.81640625" style="1"/>
    <col min="18" max="18" width="10" style="1" bestFit="1" customWidth="1"/>
    <col min="19" max="19" width="17.1796875" style="1" bestFit="1" customWidth="1"/>
    <col min="20" max="20" width="8.81640625" style="1"/>
    <col min="21" max="21" width="9" style="2" bestFit="1" customWidth="1"/>
    <col min="22" max="22" width="8.81640625" style="2"/>
    <col min="23" max="16384" width="8.81640625" style="1"/>
  </cols>
  <sheetData>
    <row r="2" spans="1:23" ht="15" thickBot="1" x14ac:dyDescent="0.4">
      <c r="A2" s="2" t="s">
        <v>81</v>
      </c>
      <c r="B2" s="1" t="s">
        <v>316</v>
      </c>
      <c r="D2" s="1" t="s">
        <v>315</v>
      </c>
      <c r="E2" s="2" t="s">
        <v>334</v>
      </c>
      <c r="F2" s="2" t="s">
        <v>314</v>
      </c>
      <c r="I2" s="2" t="s">
        <v>81</v>
      </c>
      <c r="J2" s="1" t="s">
        <v>316</v>
      </c>
      <c r="L2" s="1" t="s">
        <v>315</v>
      </c>
      <c r="M2" s="2" t="s">
        <v>334</v>
      </c>
      <c r="N2" s="2" t="s">
        <v>314</v>
      </c>
      <c r="Q2" s="2" t="s">
        <v>81</v>
      </c>
      <c r="R2" s="1" t="s">
        <v>316</v>
      </c>
      <c r="T2" s="1" t="s">
        <v>315</v>
      </c>
      <c r="U2" s="2" t="s">
        <v>334</v>
      </c>
      <c r="V2" s="2" t="s">
        <v>314</v>
      </c>
    </row>
    <row r="3" spans="1:23" ht="29" x14ac:dyDescent="0.35">
      <c r="A3" s="179" t="s">
        <v>310</v>
      </c>
      <c r="B3" s="173" t="s">
        <v>309</v>
      </c>
      <c r="C3" s="172" t="s">
        <v>329</v>
      </c>
      <c r="D3" s="172">
        <v>2000</v>
      </c>
      <c r="E3" s="191" t="s">
        <v>333</v>
      </c>
      <c r="F3" s="202">
        <v>2025</v>
      </c>
      <c r="G3" s="200" t="s">
        <v>338</v>
      </c>
      <c r="I3" s="179" t="s">
        <v>310</v>
      </c>
      <c r="J3" s="173" t="s">
        <v>309</v>
      </c>
      <c r="K3" s="172" t="s">
        <v>330</v>
      </c>
      <c r="L3" s="172">
        <v>2000</v>
      </c>
      <c r="M3" s="191" t="s">
        <v>333</v>
      </c>
      <c r="N3" s="202">
        <v>2025</v>
      </c>
      <c r="O3" s="201" t="s">
        <v>339</v>
      </c>
      <c r="Q3" s="166"/>
      <c r="R3" s="85"/>
      <c r="S3" s="189" t="s">
        <v>325</v>
      </c>
      <c r="T3" s="189">
        <v>0</v>
      </c>
      <c r="U3" s="199"/>
      <c r="V3" s="210">
        <v>2025</v>
      </c>
      <c r="W3" s="190" t="s">
        <v>108</v>
      </c>
    </row>
    <row r="4" spans="1:23" x14ac:dyDescent="0.35">
      <c r="B4" s="48"/>
      <c r="C4" s="188" t="s">
        <v>307</v>
      </c>
      <c r="F4" s="187"/>
      <c r="J4" s="48"/>
      <c r="K4" s="188" t="s">
        <v>307</v>
      </c>
      <c r="N4" s="187"/>
      <c r="Q4" s="166"/>
      <c r="R4" s="48"/>
      <c r="S4" s="188" t="s">
        <v>307</v>
      </c>
      <c r="V4" s="187"/>
    </row>
    <row r="5" spans="1:23" x14ac:dyDescent="0.35">
      <c r="B5" s="48"/>
      <c r="C5" s="174" t="s">
        <v>308</v>
      </c>
      <c r="D5" s="168">
        <v>-200</v>
      </c>
      <c r="E5" s="192"/>
      <c r="F5" s="203">
        <v>2026</v>
      </c>
      <c r="I5" s="179" t="s">
        <v>310</v>
      </c>
      <c r="J5" s="171" t="s">
        <v>305</v>
      </c>
      <c r="K5" s="175" t="s">
        <v>312</v>
      </c>
      <c r="L5" s="84">
        <v>-200</v>
      </c>
      <c r="M5" s="197" t="s">
        <v>333</v>
      </c>
      <c r="N5" s="208">
        <v>2026</v>
      </c>
      <c r="Q5" s="179" t="s">
        <v>310</v>
      </c>
      <c r="R5" s="171" t="s">
        <v>305</v>
      </c>
      <c r="S5" s="175" t="s">
        <v>328</v>
      </c>
      <c r="T5" s="84">
        <v>-200</v>
      </c>
      <c r="U5" s="197" t="s">
        <v>333</v>
      </c>
      <c r="V5" s="208">
        <v>2026</v>
      </c>
    </row>
    <row r="6" spans="1:23" x14ac:dyDescent="0.35">
      <c r="B6" s="48"/>
      <c r="C6" s="174" t="s">
        <v>306</v>
      </c>
      <c r="D6" s="168">
        <v>-300</v>
      </c>
      <c r="E6" s="192"/>
      <c r="F6" s="203">
        <v>2026</v>
      </c>
      <c r="I6" s="179" t="s">
        <v>310</v>
      </c>
      <c r="J6" s="171" t="s">
        <v>305</v>
      </c>
      <c r="K6" s="175" t="s">
        <v>311</v>
      </c>
      <c r="L6" s="84">
        <v>-300</v>
      </c>
      <c r="M6" s="197" t="s">
        <v>333</v>
      </c>
      <c r="N6" s="208">
        <v>2026</v>
      </c>
      <c r="Q6" s="179" t="s">
        <v>310</v>
      </c>
      <c r="R6" s="171" t="s">
        <v>305</v>
      </c>
      <c r="S6" s="175" t="s">
        <v>327</v>
      </c>
      <c r="T6" s="84">
        <v>-300</v>
      </c>
      <c r="U6" s="197" t="s">
        <v>333</v>
      </c>
      <c r="V6" s="208">
        <v>2026</v>
      </c>
    </row>
    <row r="7" spans="1:23" x14ac:dyDescent="0.35">
      <c r="B7" s="48"/>
      <c r="C7" s="174" t="s">
        <v>317</v>
      </c>
      <c r="D7" s="168">
        <v>400</v>
      </c>
      <c r="E7" s="192"/>
      <c r="F7" s="203">
        <v>2026</v>
      </c>
      <c r="I7" s="179" t="s">
        <v>310</v>
      </c>
      <c r="J7" s="171" t="s">
        <v>305</v>
      </c>
      <c r="K7" s="175" t="s">
        <v>318</v>
      </c>
      <c r="L7" s="84">
        <v>400</v>
      </c>
      <c r="M7" s="197" t="s">
        <v>333</v>
      </c>
      <c r="N7" s="208">
        <v>2026</v>
      </c>
      <c r="Q7" s="179" t="s">
        <v>310</v>
      </c>
      <c r="R7" s="171" t="s">
        <v>305</v>
      </c>
      <c r="S7" s="175" t="s">
        <v>326</v>
      </c>
      <c r="T7" s="84">
        <v>400</v>
      </c>
      <c r="U7" s="197" t="s">
        <v>333</v>
      </c>
      <c r="V7" s="208">
        <v>2026</v>
      </c>
    </row>
    <row r="8" spans="1:23" x14ac:dyDescent="0.35">
      <c r="B8" s="48"/>
      <c r="F8" s="187"/>
      <c r="J8" s="48"/>
      <c r="N8" s="187"/>
      <c r="Q8" s="166"/>
      <c r="R8" s="48"/>
      <c r="V8" s="187"/>
    </row>
    <row r="9" spans="1:23" ht="15" thickBot="1" x14ac:dyDescent="0.4">
      <c r="A9" s="179" t="s">
        <v>310</v>
      </c>
      <c r="B9" s="176" t="s">
        <v>305</v>
      </c>
      <c r="C9" s="177" t="s">
        <v>329</v>
      </c>
      <c r="D9" s="177">
        <f>D3+D5+D6+D7</f>
        <v>1900</v>
      </c>
      <c r="E9" s="193" t="s">
        <v>333</v>
      </c>
      <c r="F9" s="204">
        <v>2026</v>
      </c>
      <c r="J9" s="91"/>
      <c r="K9" s="170" t="s">
        <v>330</v>
      </c>
      <c r="L9" s="170">
        <f>L3+L5+L6+L7</f>
        <v>1900</v>
      </c>
      <c r="M9" s="198"/>
      <c r="N9" s="209">
        <v>2026</v>
      </c>
      <c r="Q9" s="166"/>
      <c r="R9" s="91"/>
      <c r="S9" s="170" t="s">
        <v>325</v>
      </c>
      <c r="T9" s="170">
        <f>T3+T5+T6+T7</f>
        <v>-100</v>
      </c>
      <c r="U9" s="198"/>
      <c r="V9" s="209">
        <v>2026</v>
      </c>
    </row>
    <row r="10" spans="1:23" ht="15" thickBot="1" x14ac:dyDescent="0.4"/>
    <row r="11" spans="1:23" ht="29" x14ac:dyDescent="0.35">
      <c r="A11" s="179" t="s">
        <v>310</v>
      </c>
      <c r="B11" s="173" t="s">
        <v>309</v>
      </c>
      <c r="C11" s="178" t="s">
        <v>319</v>
      </c>
      <c r="D11" s="172">
        <v>2000</v>
      </c>
      <c r="E11" s="191" t="s">
        <v>333</v>
      </c>
      <c r="F11" s="202">
        <v>2025</v>
      </c>
      <c r="G11" s="200" t="s">
        <v>338</v>
      </c>
    </row>
    <row r="12" spans="1:23" x14ac:dyDescent="0.35">
      <c r="B12" s="48"/>
      <c r="C12" s="188" t="s">
        <v>307</v>
      </c>
      <c r="F12" s="187"/>
    </row>
    <row r="13" spans="1:23" x14ac:dyDescent="0.35">
      <c r="B13" s="48"/>
      <c r="C13" s="174" t="s">
        <v>308</v>
      </c>
      <c r="D13" s="168">
        <v>-200</v>
      </c>
      <c r="E13" s="192"/>
      <c r="F13" s="203">
        <v>2026</v>
      </c>
    </row>
    <row r="14" spans="1:23" x14ac:dyDescent="0.35">
      <c r="B14" s="48"/>
      <c r="C14" s="174" t="s">
        <v>306</v>
      </c>
      <c r="D14" s="168">
        <v>-300</v>
      </c>
      <c r="E14" s="192"/>
      <c r="F14" s="203">
        <v>2026</v>
      </c>
    </row>
    <row r="15" spans="1:23" x14ac:dyDescent="0.35">
      <c r="B15" s="48"/>
      <c r="C15" s="174" t="s">
        <v>317</v>
      </c>
      <c r="D15" s="168">
        <v>400</v>
      </c>
      <c r="E15" s="192"/>
      <c r="F15" s="203">
        <v>2026</v>
      </c>
    </row>
    <row r="16" spans="1:23" x14ac:dyDescent="0.35">
      <c r="B16" s="48"/>
      <c r="F16" s="187"/>
    </row>
    <row r="17" spans="1:7" ht="29.5" thickBot="1" x14ac:dyDescent="0.4">
      <c r="A17" s="180" t="s">
        <v>313</v>
      </c>
      <c r="B17" s="167" t="s">
        <v>305</v>
      </c>
      <c r="C17" s="169" t="s">
        <v>320</v>
      </c>
      <c r="D17" s="28">
        <f>D11+D13+D14+D15</f>
        <v>1900</v>
      </c>
      <c r="E17" s="196" t="s">
        <v>335</v>
      </c>
      <c r="F17" s="205">
        <v>2026</v>
      </c>
    </row>
    <row r="18" spans="1:7" ht="15" thickBot="1" x14ac:dyDescent="0.4"/>
    <row r="19" spans="1:7" ht="29" x14ac:dyDescent="0.35">
      <c r="A19" s="179" t="s">
        <v>310</v>
      </c>
      <c r="B19" s="173" t="s">
        <v>309</v>
      </c>
      <c r="C19" s="178" t="s">
        <v>331</v>
      </c>
      <c r="D19" s="172">
        <v>2000</v>
      </c>
      <c r="E19" s="191" t="s">
        <v>333</v>
      </c>
      <c r="F19" s="202">
        <v>2025</v>
      </c>
      <c r="G19" s="200" t="s">
        <v>338</v>
      </c>
    </row>
    <row r="20" spans="1:7" x14ac:dyDescent="0.35">
      <c r="B20" s="48"/>
      <c r="C20" s="188" t="s">
        <v>307</v>
      </c>
      <c r="F20" s="187"/>
    </row>
    <row r="21" spans="1:7" x14ac:dyDescent="0.35">
      <c r="B21" s="48"/>
      <c r="C21" s="168" t="s">
        <v>312</v>
      </c>
      <c r="D21" s="168">
        <v>-200</v>
      </c>
      <c r="E21" s="192"/>
      <c r="F21" s="203">
        <v>2026</v>
      </c>
    </row>
    <row r="22" spans="1:7" x14ac:dyDescent="0.35">
      <c r="B22" s="48"/>
      <c r="C22" s="168" t="s">
        <v>311</v>
      </c>
      <c r="D22" s="168">
        <v>-300</v>
      </c>
      <c r="E22" s="192"/>
      <c r="F22" s="203">
        <v>2026</v>
      </c>
    </row>
    <row r="23" spans="1:7" x14ac:dyDescent="0.35">
      <c r="B23" s="48"/>
      <c r="F23" s="187"/>
    </row>
    <row r="24" spans="1:7" ht="15" thickBot="1" x14ac:dyDescent="0.4">
      <c r="A24" s="183" t="s">
        <v>282</v>
      </c>
      <c r="B24" s="181" t="s">
        <v>305</v>
      </c>
      <c r="C24" s="182" t="s">
        <v>321</v>
      </c>
      <c r="D24" s="182">
        <f>D19+D21+D22</f>
        <v>1500</v>
      </c>
      <c r="E24" s="194" t="s">
        <v>336</v>
      </c>
      <c r="F24" s="206">
        <v>2026</v>
      </c>
    </row>
    <row r="25" spans="1:7" ht="15" thickBot="1" x14ac:dyDescent="0.4"/>
    <row r="26" spans="1:7" ht="29" x14ac:dyDescent="0.35">
      <c r="A26" s="179" t="s">
        <v>310</v>
      </c>
      <c r="B26" s="173" t="s">
        <v>309</v>
      </c>
      <c r="C26" s="178" t="s">
        <v>332</v>
      </c>
      <c r="D26" s="172">
        <v>2000</v>
      </c>
      <c r="E26" s="191" t="s">
        <v>333</v>
      </c>
      <c r="F26" s="202">
        <v>2025</v>
      </c>
      <c r="G26" s="200" t="s">
        <v>338</v>
      </c>
    </row>
    <row r="27" spans="1:7" x14ac:dyDescent="0.35">
      <c r="B27" s="48"/>
      <c r="C27" s="188" t="s">
        <v>307</v>
      </c>
      <c r="F27" s="187"/>
    </row>
    <row r="28" spans="1:7" x14ac:dyDescent="0.35">
      <c r="B28" s="48"/>
      <c r="C28" s="174" t="s">
        <v>312</v>
      </c>
      <c r="D28" s="168">
        <v>-200</v>
      </c>
      <c r="E28" s="192"/>
      <c r="F28" s="203">
        <v>2026</v>
      </c>
    </row>
    <row r="29" spans="1:7" x14ac:dyDescent="0.35">
      <c r="B29" s="48"/>
      <c r="C29" s="174" t="s">
        <v>311</v>
      </c>
      <c r="D29" s="168">
        <v>-300</v>
      </c>
      <c r="E29" s="192"/>
      <c r="F29" s="203">
        <v>2026</v>
      </c>
    </row>
    <row r="30" spans="1:7" x14ac:dyDescent="0.35">
      <c r="B30" s="48"/>
      <c r="F30" s="187"/>
    </row>
    <row r="31" spans="1:7" ht="15" thickBot="1" x14ac:dyDescent="0.4">
      <c r="A31" s="184" t="s">
        <v>86</v>
      </c>
      <c r="B31" s="185" t="s">
        <v>305</v>
      </c>
      <c r="C31" s="186" t="s">
        <v>322</v>
      </c>
      <c r="D31" s="186">
        <f>D26+D28+D29</f>
        <v>1500</v>
      </c>
      <c r="E31" s="195" t="s">
        <v>337</v>
      </c>
      <c r="F31" s="207">
        <v>2026</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BFDC-3E36-40B6-9F0D-F52B4B11C898}">
  <dimension ref="A1:AF145"/>
  <sheetViews>
    <sheetView showGridLines="0" topLeftCell="A93" zoomScale="80" zoomScaleNormal="80" workbookViewId="0">
      <selection activeCell="Y92" sqref="Y92"/>
    </sheetView>
  </sheetViews>
  <sheetFormatPr defaultColWidth="9.1796875" defaultRowHeight="12.5" x14ac:dyDescent="0.25"/>
  <cols>
    <col min="1" max="1" width="14.81640625" style="281" bestFit="1" customWidth="1"/>
    <col min="2" max="2" width="12.81640625" style="281" customWidth="1"/>
    <col min="3" max="3" width="18.453125" style="281" bestFit="1" customWidth="1"/>
    <col min="4" max="4" width="35.453125" style="281" customWidth="1"/>
    <col min="5" max="5" width="11.54296875" style="281" bestFit="1" customWidth="1"/>
    <col min="6" max="6" width="17.54296875" style="281" customWidth="1"/>
    <col min="7" max="7" width="16.54296875" style="281" customWidth="1"/>
    <col min="8" max="8" width="18.1796875" style="281" customWidth="1"/>
    <col min="9" max="9" width="12.1796875" style="281" bestFit="1" customWidth="1"/>
    <col min="10" max="10" width="10.81640625" style="281" bestFit="1" customWidth="1"/>
    <col min="11" max="11" width="10" style="281" hidden="1" customWidth="1"/>
    <col min="12" max="12" width="10.1796875" style="281" hidden="1" customWidth="1"/>
    <col min="13" max="13" width="9.81640625" style="281" hidden="1" customWidth="1"/>
    <col min="14" max="14" width="10" style="281" hidden="1" customWidth="1"/>
    <col min="15" max="16" width="10.1796875" style="281" hidden="1" customWidth="1"/>
    <col min="17" max="17" width="11" style="281" bestFit="1" customWidth="1"/>
    <col min="18" max="18" width="9.81640625" style="281" hidden="1" customWidth="1"/>
    <col min="19" max="19" width="10" style="281" hidden="1" customWidth="1"/>
    <col min="20" max="20" width="9.81640625" style="281" hidden="1" customWidth="1"/>
    <col min="21" max="21" width="10" style="281" hidden="1" customWidth="1"/>
    <col min="22" max="23" width="10.1796875" style="281" hidden="1" customWidth="1"/>
    <col min="24" max="24" width="11.81640625" style="281" bestFit="1" customWidth="1"/>
    <col min="25" max="25" width="15" style="281" customWidth="1"/>
    <col min="26" max="26" width="10.54296875" style="281" bestFit="1" customWidth="1"/>
    <col min="27" max="27" width="17.81640625" style="281" customWidth="1"/>
    <col min="28" max="28" width="17.1796875" style="281" customWidth="1"/>
    <col min="29" max="29" width="12.1796875" style="281" customWidth="1"/>
    <col min="30" max="30" width="16.1796875" style="281" bestFit="1" customWidth="1"/>
    <col min="31" max="31" width="10" style="281" bestFit="1" customWidth="1"/>
    <col min="32" max="32" width="13.453125" style="281" bestFit="1" customWidth="1"/>
    <col min="33" max="16384" width="9.1796875" style="281"/>
  </cols>
  <sheetData>
    <row r="1" spans="1:28" s="265" customFormat="1" ht="13" x14ac:dyDescent="0.3">
      <c r="A1" s="250" t="s">
        <v>544</v>
      </c>
      <c r="B1" s="251"/>
      <c r="C1" s="252" t="s">
        <v>545</v>
      </c>
      <c r="D1" s="253" t="s">
        <v>203</v>
      </c>
      <c r="E1" s="254"/>
      <c r="F1" s="253"/>
      <c r="G1" s="255"/>
      <c r="H1" s="256"/>
      <c r="I1" s="256"/>
      <c r="J1" s="257" t="s">
        <v>546</v>
      </c>
      <c r="K1" s="258"/>
      <c r="L1" s="258"/>
      <c r="M1" s="258"/>
      <c r="N1" s="258"/>
      <c r="O1" s="258"/>
      <c r="P1" s="258"/>
      <c r="Q1" s="259" t="s">
        <v>547</v>
      </c>
      <c r="R1" s="260"/>
      <c r="S1" s="260"/>
      <c r="T1" s="260"/>
      <c r="U1" s="260"/>
      <c r="V1" s="260"/>
      <c r="W1" s="260"/>
      <c r="X1" s="261" t="s">
        <v>548</v>
      </c>
      <c r="Y1" s="262"/>
      <c r="Z1" s="263"/>
      <c r="AA1" s="263"/>
      <c r="AB1" s="264"/>
    </row>
    <row r="2" spans="1:28" s="273" customFormat="1" ht="26" x14ac:dyDescent="0.3">
      <c r="A2" s="266" t="s">
        <v>549</v>
      </c>
      <c r="B2" s="266"/>
      <c r="C2" s="267"/>
      <c r="D2" s="268" t="s">
        <v>550</v>
      </c>
      <c r="E2" s="268" t="s">
        <v>551</v>
      </c>
      <c r="F2" s="268" t="s">
        <v>552</v>
      </c>
      <c r="G2" s="269" t="s">
        <v>552</v>
      </c>
      <c r="H2" s="268" t="s">
        <v>203</v>
      </c>
      <c r="I2" s="269" t="s">
        <v>203</v>
      </c>
      <c r="J2" s="270" t="s">
        <v>553</v>
      </c>
      <c r="K2" s="270" t="s">
        <v>554</v>
      </c>
      <c r="L2" s="270" t="s">
        <v>555</v>
      </c>
      <c r="M2" s="270" t="s">
        <v>556</v>
      </c>
      <c r="N2" s="270" t="s">
        <v>557</v>
      </c>
      <c r="O2" s="270" t="s">
        <v>558</v>
      </c>
      <c r="P2" s="270" t="s">
        <v>559</v>
      </c>
      <c r="Q2" s="271" t="s">
        <v>553</v>
      </c>
      <c r="R2" s="271" t="s">
        <v>554</v>
      </c>
      <c r="S2" s="271" t="s">
        <v>555</v>
      </c>
      <c r="T2" s="271" t="s">
        <v>556</v>
      </c>
      <c r="U2" s="271" t="s">
        <v>557</v>
      </c>
      <c r="V2" s="271" t="s">
        <v>560</v>
      </c>
      <c r="W2" s="271" t="s">
        <v>559</v>
      </c>
      <c r="X2" s="272" t="s">
        <v>552</v>
      </c>
      <c r="Y2" s="272" t="s">
        <v>561</v>
      </c>
      <c r="Z2" s="272" t="s">
        <v>203</v>
      </c>
      <c r="AA2" s="272" t="s">
        <v>546</v>
      </c>
      <c r="AB2" s="272" t="s">
        <v>547</v>
      </c>
    </row>
    <row r="3" spans="1:28" ht="13" x14ac:dyDescent="0.3">
      <c r="A3" s="274" t="s">
        <v>562</v>
      </c>
      <c r="B3" s="274" t="s">
        <v>563</v>
      </c>
      <c r="C3" s="275" t="s">
        <v>564</v>
      </c>
      <c r="D3" s="276" t="s">
        <v>565</v>
      </c>
      <c r="E3" s="276"/>
      <c r="F3" s="276" t="s">
        <v>566</v>
      </c>
      <c r="G3" s="277" t="s">
        <v>567</v>
      </c>
      <c r="H3" s="276" t="s">
        <v>566</v>
      </c>
      <c r="I3" s="277" t="s">
        <v>567</v>
      </c>
      <c r="J3" s="278" t="s">
        <v>568</v>
      </c>
      <c r="K3" s="278" t="s">
        <v>569</v>
      </c>
      <c r="L3" s="278" t="s">
        <v>570</v>
      </c>
      <c r="M3" s="278" t="s">
        <v>571</v>
      </c>
      <c r="N3" s="278" t="s">
        <v>572</v>
      </c>
      <c r="O3" s="278" t="s">
        <v>573</v>
      </c>
      <c r="P3" s="278" t="s">
        <v>574</v>
      </c>
      <c r="Q3" s="279" t="s">
        <v>575</v>
      </c>
      <c r="R3" s="279" t="s">
        <v>576</v>
      </c>
      <c r="S3" s="279" t="s">
        <v>251</v>
      </c>
      <c r="T3" s="279" t="s">
        <v>577</v>
      </c>
      <c r="U3" s="279" t="s">
        <v>578</v>
      </c>
      <c r="V3" s="279" t="s">
        <v>253</v>
      </c>
      <c r="W3" s="279" t="s">
        <v>579</v>
      </c>
      <c r="X3" s="280"/>
      <c r="Y3" s="280"/>
      <c r="Z3" s="280"/>
      <c r="AA3" s="280"/>
      <c r="AB3" s="280"/>
    </row>
    <row r="4" spans="1:28" x14ac:dyDescent="0.25">
      <c r="A4" s="282">
        <v>1100</v>
      </c>
      <c r="B4" s="283">
        <v>46022</v>
      </c>
      <c r="C4" s="284" t="s">
        <v>580</v>
      </c>
      <c r="D4" s="282" t="s">
        <v>581</v>
      </c>
      <c r="E4" s="282" t="s">
        <v>582</v>
      </c>
      <c r="F4" s="285"/>
      <c r="G4" s="286">
        <v>436000</v>
      </c>
      <c r="H4" s="286"/>
      <c r="I4" s="286">
        <v>396222.66</v>
      </c>
      <c r="J4" s="285"/>
      <c r="K4" s="285"/>
      <c r="L4" s="285"/>
      <c r="M4" s="285"/>
      <c r="N4" s="285"/>
      <c r="O4" s="285"/>
      <c r="P4" s="285"/>
      <c r="Q4" s="285">
        <f t="shared" ref="Q4:W4" si="0">SUM(J4:J5)</f>
        <v>396222.66000000003</v>
      </c>
      <c r="R4" s="287">
        <f t="shared" si="0"/>
        <v>0</v>
      </c>
      <c r="S4" s="287">
        <f t="shared" si="0"/>
        <v>0</v>
      </c>
      <c r="T4" s="287">
        <f t="shared" si="0"/>
        <v>0</v>
      </c>
      <c r="U4" s="287">
        <f t="shared" si="0"/>
        <v>0</v>
      </c>
      <c r="V4" s="287">
        <f t="shared" si="0"/>
        <v>0</v>
      </c>
      <c r="W4" s="287">
        <f t="shared" si="0"/>
        <v>0</v>
      </c>
      <c r="X4" s="288">
        <f t="shared" ref="X4:X7" si="1">G4</f>
        <v>436000</v>
      </c>
      <c r="Y4" s="288">
        <f>IF(Z4&gt;X4,Z4-X4,0)</f>
        <v>0</v>
      </c>
      <c r="Z4" s="288">
        <f>I4</f>
        <v>396222.66</v>
      </c>
      <c r="AA4" s="288">
        <f t="shared" ref="AA4:AA7" si="2">SUM(J4:P4)</f>
        <v>0</v>
      </c>
      <c r="AB4" s="288">
        <f t="shared" ref="AB4:AB7" si="3">SUM(Q4:W4)</f>
        <v>396222.66000000003</v>
      </c>
    </row>
    <row r="5" spans="1:28" ht="12" customHeight="1" x14ac:dyDescent="0.25">
      <c r="A5" s="282">
        <v>1100</v>
      </c>
      <c r="B5" s="283">
        <v>46022</v>
      </c>
      <c r="C5" s="284" t="s">
        <v>583</v>
      </c>
      <c r="D5" s="282" t="s">
        <v>581</v>
      </c>
      <c r="E5" s="282" t="s">
        <v>582</v>
      </c>
      <c r="F5" s="285"/>
      <c r="G5" s="286"/>
      <c r="H5" s="286"/>
      <c r="I5" s="286"/>
      <c r="J5" s="285">
        <v>396222.66000000003</v>
      </c>
      <c r="K5" s="285" t="s">
        <v>584</v>
      </c>
      <c r="L5" s="285" t="s">
        <v>584</v>
      </c>
      <c r="M5" s="285" t="s">
        <v>584</v>
      </c>
      <c r="N5" s="285" t="s">
        <v>584</v>
      </c>
      <c r="O5" s="285" t="s">
        <v>584</v>
      </c>
      <c r="P5" s="285" t="s">
        <v>584</v>
      </c>
      <c r="Q5" s="285"/>
      <c r="R5" s="285"/>
      <c r="S5" s="285"/>
      <c r="T5" s="285"/>
      <c r="U5" s="285"/>
      <c r="V5" s="285"/>
      <c r="W5" s="285"/>
      <c r="X5" s="288">
        <f t="shared" si="1"/>
        <v>0</v>
      </c>
      <c r="Y5" s="288">
        <f t="shared" ref="Y5" si="4">IF(Z5&gt;X5,Z5-X5,0)</f>
        <v>0</v>
      </c>
      <c r="Z5" s="288">
        <f t="shared" ref="Z5" si="5">I5</f>
        <v>0</v>
      </c>
      <c r="AA5" s="288">
        <f t="shared" si="2"/>
        <v>396222.66000000003</v>
      </c>
      <c r="AB5" s="288">
        <f t="shared" si="3"/>
        <v>0</v>
      </c>
    </row>
    <row r="6" spans="1:28" x14ac:dyDescent="0.25">
      <c r="A6" s="282">
        <v>1100</v>
      </c>
      <c r="B6" s="283">
        <v>46053</v>
      </c>
      <c r="C6" s="284" t="s">
        <v>580</v>
      </c>
      <c r="D6" s="282" t="s">
        <v>581</v>
      </c>
      <c r="E6" s="282" t="s">
        <v>582</v>
      </c>
      <c r="F6" s="285"/>
      <c r="G6" s="286">
        <v>436000</v>
      </c>
      <c r="H6" s="286"/>
      <c r="I6" s="286">
        <v>401650.56</v>
      </c>
      <c r="J6" s="285"/>
      <c r="K6" s="285"/>
      <c r="L6" s="285"/>
      <c r="M6" s="285"/>
      <c r="N6" s="285"/>
      <c r="O6" s="285"/>
      <c r="P6" s="285"/>
      <c r="Q6" s="285">
        <f t="shared" ref="Q6:W6" si="6">SUM(J6:J8)</f>
        <v>401650.56000000006</v>
      </c>
      <c r="R6" s="287">
        <f t="shared" si="6"/>
        <v>0</v>
      </c>
      <c r="S6" s="287">
        <f t="shared" si="6"/>
        <v>0</v>
      </c>
      <c r="T6" s="287">
        <f t="shared" si="6"/>
        <v>0</v>
      </c>
      <c r="U6" s="287">
        <f t="shared" si="6"/>
        <v>0</v>
      </c>
      <c r="V6" s="287">
        <f t="shared" si="6"/>
        <v>0</v>
      </c>
      <c r="W6" s="287">
        <f t="shared" si="6"/>
        <v>0</v>
      </c>
      <c r="X6" s="288">
        <f t="shared" si="1"/>
        <v>436000</v>
      </c>
      <c r="Y6" s="288">
        <f>IF(Z6&gt;X6,Z6-X6,0)</f>
        <v>0</v>
      </c>
      <c r="Z6" s="288">
        <f>I6</f>
        <v>401650.56</v>
      </c>
      <c r="AA6" s="288">
        <f t="shared" si="2"/>
        <v>0</v>
      </c>
      <c r="AB6" s="288">
        <f t="shared" si="3"/>
        <v>401650.56000000006</v>
      </c>
    </row>
    <row r="7" spans="1:28" ht="12" customHeight="1" x14ac:dyDescent="0.25">
      <c r="A7" s="282">
        <v>1100</v>
      </c>
      <c r="B7" s="283">
        <v>46053</v>
      </c>
      <c r="C7" s="284" t="s">
        <v>583</v>
      </c>
      <c r="D7" s="282" t="s">
        <v>581</v>
      </c>
      <c r="E7" s="282" t="s">
        <v>582</v>
      </c>
      <c r="F7" s="285"/>
      <c r="G7" s="286"/>
      <c r="H7" s="286"/>
      <c r="I7" s="286"/>
      <c r="J7" s="285">
        <v>401650.56000000006</v>
      </c>
      <c r="K7" s="285"/>
      <c r="L7" s="285"/>
      <c r="M7" s="285"/>
      <c r="N7" s="285"/>
      <c r="O7" s="285"/>
      <c r="P7" s="285"/>
      <c r="Q7" s="285"/>
      <c r="R7" s="285"/>
      <c r="S7" s="285"/>
      <c r="T7" s="285"/>
      <c r="U7" s="285"/>
      <c r="V7" s="285"/>
      <c r="W7" s="285"/>
      <c r="X7" s="288">
        <f t="shared" si="1"/>
        <v>0</v>
      </c>
      <c r="Y7" s="288">
        <f t="shared" ref="Y7" si="7">IF(Z7&gt;X7,Z7-X7,0)</f>
        <v>0</v>
      </c>
      <c r="Z7" s="288">
        <f t="shared" ref="Z7" si="8">I7</f>
        <v>0</v>
      </c>
      <c r="AA7" s="288">
        <f t="shared" si="2"/>
        <v>401650.56000000006</v>
      </c>
      <c r="AB7" s="288">
        <f t="shared" si="3"/>
        <v>0</v>
      </c>
    </row>
    <row r="10" spans="1:28" s="293" customFormat="1" ht="17.75" customHeight="1" x14ac:dyDescent="0.35">
      <c r="A10" s="289">
        <v>1</v>
      </c>
      <c r="B10" s="290" t="s">
        <v>585</v>
      </c>
      <c r="C10" s="291"/>
      <c r="D10" s="291"/>
      <c r="E10" s="291"/>
      <c r="F10" s="291"/>
      <c r="G10" s="291"/>
      <c r="H10" s="291"/>
      <c r="I10" s="291"/>
      <c r="J10" s="292"/>
    </row>
    <row r="12" spans="1:28" ht="13" x14ac:dyDescent="0.3">
      <c r="B12" s="294" t="s">
        <v>316</v>
      </c>
      <c r="C12" s="294" t="s">
        <v>586</v>
      </c>
      <c r="D12" s="294" t="s">
        <v>214</v>
      </c>
      <c r="E12" s="294" t="s">
        <v>315</v>
      </c>
      <c r="F12" s="294" t="s">
        <v>587</v>
      </c>
      <c r="G12" s="294" t="s">
        <v>588</v>
      </c>
    </row>
    <row r="13" spans="1:28" ht="14.5" x14ac:dyDescent="0.25">
      <c r="B13" s="295">
        <v>46022</v>
      </c>
      <c r="C13" s="296" t="s">
        <v>589</v>
      </c>
      <c r="D13" s="296" t="s">
        <v>590</v>
      </c>
      <c r="E13" s="297">
        <v>396222.66</v>
      </c>
      <c r="F13" s="296" t="s">
        <v>587</v>
      </c>
      <c r="G13" s="298"/>
    </row>
    <row r="14" spans="1:28" ht="14.5" x14ac:dyDescent="0.25">
      <c r="B14" s="295">
        <v>46022</v>
      </c>
      <c r="C14" s="296" t="s">
        <v>568</v>
      </c>
      <c r="D14" s="296" t="s">
        <v>591</v>
      </c>
      <c r="E14" s="297">
        <v>396222.66</v>
      </c>
      <c r="F14" s="296" t="s">
        <v>587</v>
      </c>
      <c r="G14" s="298"/>
    </row>
    <row r="15" spans="1:28" ht="14.5" x14ac:dyDescent="0.25">
      <c r="B15" s="295">
        <v>46022</v>
      </c>
      <c r="C15" s="296" t="s">
        <v>592</v>
      </c>
      <c r="D15" s="296" t="s">
        <v>593</v>
      </c>
      <c r="E15" s="297">
        <v>39777.339999999997</v>
      </c>
      <c r="F15" s="296" t="s">
        <v>587</v>
      </c>
      <c r="G15" s="298"/>
    </row>
    <row r="16" spans="1:28" ht="14.5" x14ac:dyDescent="0.25">
      <c r="B16" s="295">
        <v>46022</v>
      </c>
      <c r="C16" s="296" t="s">
        <v>594</v>
      </c>
      <c r="D16" s="296" t="s">
        <v>595</v>
      </c>
      <c r="E16" s="299">
        <v>-436000</v>
      </c>
      <c r="F16" s="296" t="s">
        <v>587</v>
      </c>
      <c r="G16" s="298"/>
    </row>
    <row r="17" spans="1:10" ht="14.5" x14ac:dyDescent="0.25">
      <c r="B17" s="295">
        <v>46022</v>
      </c>
      <c r="C17" s="296" t="s">
        <v>589</v>
      </c>
      <c r="D17" s="296" t="s">
        <v>590</v>
      </c>
      <c r="E17" s="299">
        <v>-396222.66</v>
      </c>
      <c r="F17" s="296" t="s">
        <v>596</v>
      </c>
      <c r="G17" s="298"/>
    </row>
    <row r="18" spans="1:10" ht="14.5" x14ac:dyDescent="0.25">
      <c r="B18" s="295">
        <v>46022</v>
      </c>
      <c r="C18" s="296" t="s">
        <v>568</v>
      </c>
      <c r="D18" s="296" t="s">
        <v>591</v>
      </c>
      <c r="E18" s="299">
        <v>-396222.66</v>
      </c>
      <c r="F18" s="296" t="s">
        <v>596</v>
      </c>
      <c r="G18" s="298"/>
    </row>
    <row r="19" spans="1:10" ht="14.5" x14ac:dyDescent="0.25">
      <c r="B19" s="295">
        <v>46022</v>
      </c>
      <c r="C19" s="296" t="s">
        <v>592</v>
      </c>
      <c r="D19" s="296" t="s">
        <v>593</v>
      </c>
      <c r="E19" s="299">
        <v>-39777.339999999997</v>
      </c>
      <c r="F19" s="296" t="s">
        <v>596</v>
      </c>
      <c r="G19" s="298"/>
    </row>
    <row r="20" spans="1:10" ht="14.5" x14ac:dyDescent="0.25">
      <c r="B20" s="295">
        <v>46022</v>
      </c>
      <c r="C20" s="296" t="s">
        <v>594</v>
      </c>
      <c r="D20" s="296" t="s">
        <v>595</v>
      </c>
      <c r="E20" s="297">
        <v>436000</v>
      </c>
      <c r="F20" s="296" t="s">
        <v>596</v>
      </c>
      <c r="G20" s="298"/>
    </row>
    <row r="23" spans="1:10" s="293" customFormat="1" ht="17.75" customHeight="1" x14ac:dyDescent="0.35">
      <c r="A23" s="289">
        <v>2</v>
      </c>
      <c r="B23" s="290" t="s">
        <v>597</v>
      </c>
      <c r="C23" s="291"/>
      <c r="D23" s="291"/>
      <c r="E23" s="291"/>
      <c r="F23" s="291"/>
      <c r="G23" s="291"/>
      <c r="H23" s="291"/>
      <c r="I23" s="291"/>
      <c r="J23" s="292"/>
    </row>
    <row r="25" spans="1:10" ht="13" x14ac:dyDescent="0.3">
      <c r="B25" s="294" t="s">
        <v>316</v>
      </c>
      <c r="C25" s="294" t="s">
        <v>586</v>
      </c>
      <c r="D25" s="294" t="s">
        <v>214</v>
      </c>
      <c r="E25" s="294" t="s">
        <v>315</v>
      </c>
      <c r="F25" s="294" t="s">
        <v>587</v>
      </c>
      <c r="G25" s="294" t="s">
        <v>588</v>
      </c>
    </row>
    <row r="26" spans="1:10" ht="14.5" x14ac:dyDescent="0.25">
      <c r="B26" s="295">
        <v>46022</v>
      </c>
      <c r="C26" s="296" t="s">
        <v>589</v>
      </c>
      <c r="D26" s="296" t="s">
        <v>590</v>
      </c>
      <c r="E26" s="297">
        <v>396222.66</v>
      </c>
      <c r="F26" s="296"/>
      <c r="G26" s="298" t="s">
        <v>587</v>
      </c>
    </row>
    <row r="27" spans="1:10" ht="14.5" x14ac:dyDescent="0.25">
      <c r="B27" s="295">
        <v>46022</v>
      </c>
      <c r="C27" s="296" t="s">
        <v>594</v>
      </c>
      <c r="D27" s="296" t="s">
        <v>595</v>
      </c>
      <c r="E27" s="297">
        <v>-436000</v>
      </c>
      <c r="F27" s="296"/>
      <c r="G27" s="298" t="s">
        <v>587</v>
      </c>
    </row>
    <row r="28" spans="1:10" ht="14.5" x14ac:dyDescent="0.25">
      <c r="B28" s="295">
        <v>46022</v>
      </c>
      <c r="C28" s="296" t="s">
        <v>592</v>
      </c>
      <c r="D28" s="296" t="s">
        <v>593</v>
      </c>
      <c r="E28" s="297">
        <v>39777.339999999997</v>
      </c>
      <c r="F28" s="296"/>
      <c r="G28" s="298" t="s">
        <v>587</v>
      </c>
    </row>
    <row r="29" spans="1:10" ht="14.5" x14ac:dyDescent="0.25">
      <c r="B29" s="295">
        <v>46022</v>
      </c>
      <c r="C29" s="296" t="s">
        <v>589</v>
      </c>
      <c r="D29" s="296" t="s">
        <v>590</v>
      </c>
      <c r="E29" s="299">
        <v>-396222.66</v>
      </c>
      <c r="F29" s="296"/>
      <c r="G29" s="298" t="s">
        <v>596</v>
      </c>
    </row>
    <row r="30" spans="1:10" ht="14.5" x14ac:dyDescent="0.25">
      <c r="B30" s="295">
        <v>46022</v>
      </c>
      <c r="C30" s="296" t="s">
        <v>594</v>
      </c>
      <c r="D30" s="296" t="s">
        <v>595</v>
      </c>
      <c r="E30" s="299">
        <v>436000</v>
      </c>
      <c r="F30" s="296"/>
      <c r="G30" s="298" t="s">
        <v>596</v>
      </c>
    </row>
    <row r="31" spans="1:10" ht="14.5" x14ac:dyDescent="0.25">
      <c r="B31" s="295">
        <v>46022</v>
      </c>
      <c r="C31" s="296" t="s">
        <v>592</v>
      </c>
      <c r="D31" s="296" t="s">
        <v>593</v>
      </c>
      <c r="E31" s="299">
        <v>-39777.339999999997</v>
      </c>
      <c r="F31" s="296"/>
      <c r="G31" s="298" t="s">
        <v>596</v>
      </c>
    </row>
    <row r="34" spans="1:10" s="293" customFormat="1" ht="17.75" customHeight="1" x14ac:dyDescent="0.35">
      <c r="A34" s="289">
        <v>3</v>
      </c>
      <c r="B34" s="290" t="s">
        <v>598</v>
      </c>
      <c r="C34" s="291"/>
      <c r="D34" s="291"/>
      <c r="E34" s="291"/>
      <c r="F34" s="291"/>
      <c r="G34" s="291"/>
      <c r="H34" s="291"/>
      <c r="I34" s="291"/>
      <c r="J34" s="292"/>
    </row>
    <row r="36" spans="1:10" ht="13" x14ac:dyDescent="0.3">
      <c r="B36" s="294" t="s">
        <v>316</v>
      </c>
      <c r="C36" s="294" t="s">
        <v>586</v>
      </c>
      <c r="D36" s="294" t="s">
        <v>214</v>
      </c>
      <c r="E36" s="294" t="s">
        <v>315</v>
      </c>
      <c r="F36" s="294" t="s">
        <v>587</v>
      </c>
      <c r="G36" s="294" t="s">
        <v>588</v>
      </c>
    </row>
    <row r="37" spans="1:10" ht="14.5" x14ac:dyDescent="0.25">
      <c r="B37" s="295">
        <v>46023</v>
      </c>
      <c r="C37" s="296" t="s">
        <v>589</v>
      </c>
      <c r="D37" s="296" t="s">
        <v>590</v>
      </c>
      <c r="E37" s="297">
        <v>-396222.66</v>
      </c>
      <c r="F37" s="296" t="s">
        <v>587</v>
      </c>
      <c r="G37" s="298"/>
    </row>
    <row r="38" spans="1:10" ht="14.5" x14ac:dyDescent="0.25">
      <c r="B38" s="295">
        <v>46023</v>
      </c>
      <c r="C38" s="296" t="s">
        <v>568</v>
      </c>
      <c r="D38" s="296" t="s">
        <v>591</v>
      </c>
      <c r="E38" s="297">
        <v>-396222.66</v>
      </c>
      <c r="F38" s="296" t="s">
        <v>587</v>
      </c>
      <c r="G38" s="298"/>
    </row>
    <row r="39" spans="1:10" ht="14.5" x14ac:dyDescent="0.25">
      <c r="B39" s="295">
        <v>46023</v>
      </c>
      <c r="C39" s="296" t="s">
        <v>592</v>
      </c>
      <c r="D39" s="296" t="s">
        <v>593</v>
      </c>
      <c r="E39" s="297">
        <v>-39777.339999999997</v>
      </c>
      <c r="F39" s="296" t="s">
        <v>587</v>
      </c>
      <c r="G39" s="298"/>
    </row>
    <row r="40" spans="1:10" ht="14.5" x14ac:dyDescent="0.25">
      <c r="B40" s="295">
        <v>46023</v>
      </c>
      <c r="C40" s="296" t="s">
        <v>594</v>
      </c>
      <c r="D40" s="296" t="s">
        <v>595</v>
      </c>
      <c r="E40" s="299">
        <v>436000</v>
      </c>
      <c r="F40" s="296" t="s">
        <v>587</v>
      </c>
      <c r="G40" s="298"/>
    </row>
    <row r="41" spans="1:10" ht="14.5" x14ac:dyDescent="0.25">
      <c r="B41" s="295">
        <v>46023</v>
      </c>
      <c r="C41" s="296" t="s">
        <v>589</v>
      </c>
      <c r="D41" s="296" t="s">
        <v>590</v>
      </c>
      <c r="E41" s="299">
        <v>396222.66</v>
      </c>
      <c r="F41" s="296" t="s">
        <v>596</v>
      </c>
      <c r="G41" s="298"/>
    </row>
    <row r="42" spans="1:10" ht="14.5" x14ac:dyDescent="0.25">
      <c r="B42" s="295">
        <v>46023</v>
      </c>
      <c r="C42" s="296" t="s">
        <v>568</v>
      </c>
      <c r="D42" s="296" t="s">
        <v>591</v>
      </c>
      <c r="E42" s="299">
        <v>396222.66</v>
      </c>
      <c r="F42" s="296" t="s">
        <v>596</v>
      </c>
      <c r="G42" s="298"/>
    </row>
    <row r="43" spans="1:10" ht="14.5" x14ac:dyDescent="0.25">
      <c r="B43" s="295">
        <v>46023</v>
      </c>
      <c r="C43" s="296" t="s">
        <v>592</v>
      </c>
      <c r="D43" s="296" t="s">
        <v>593</v>
      </c>
      <c r="E43" s="299">
        <v>39777.339999999997</v>
      </c>
      <c r="F43" s="296" t="s">
        <v>596</v>
      </c>
      <c r="G43" s="298"/>
    </row>
    <row r="44" spans="1:10" ht="14.5" x14ac:dyDescent="0.25">
      <c r="B44" s="295">
        <v>46023</v>
      </c>
      <c r="C44" s="296" t="s">
        <v>594</v>
      </c>
      <c r="D44" s="296" t="s">
        <v>595</v>
      </c>
      <c r="E44" s="297">
        <v>-436000</v>
      </c>
      <c r="F44" s="296" t="s">
        <v>596</v>
      </c>
      <c r="G44" s="298"/>
    </row>
    <row r="47" spans="1:10" s="293" customFormat="1" ht="17.75" customHeight="1" x14ac:dyDescent="0.35">
      <c r="A47" s="289">
        <v>4</v>
      </c>
      <c r="B47" s="290" t="s">
        <v>599</v>
      </c>
      <c r="C47" s="291"/>
      <c r="D47" s="291"/>
      <c r="E47" s="291"/>
      <c r="F47" s="291"/>
      <c r="G47" s="291"/>
      <c r="H47" s="291"/>
      <c r="I47" s="291"/>
      <c r="J47" s="292"/>
    </row>
    <row r="49" spans="1:17" ht="13" x14ac:dyDescent="0.3">
      <c r="B49" s="294" t="s">
        <v>316</v>
      </c>
      <c r="C49" s="294" t="s">
        <v>586</v>
      </c>
      <c r="D49" s="294" t="s">
        <v>214</v>
      </c>
      <c r="E49" s="294" t="s">
        <v>315</v>
      </c>
      <c r="F49" s="294" t="s">
        <v>587</v>
      </c>
      <c r="G49" s="294" t="s">
        <v>588</v>
      </c>
    </row>
    <row r="50" spans="1:17" ht="14.5" x14ac:dyDescent="0.25">
      <c r="B50" s="295">
        <v>46023</v>
      </c>
      <c r="C50" s="296" t="s">
        <v>589</v>
      </c>
      <c r="D50" s="296" t="s">
        <v>590</v>
      </c>
      <c r="E50" s="297">
        <v>-396222.66</v>
      </c>
      <c r="F50" s="296"/>
      <c r="G50" s="298" t="s">
        <v>587</v>
      </c>
    </row>
    <row r="51" spans="1:17" ht="14.5" x14ac:dyDescent="0.25">
      <c r="B51" s="295">
        <v>46023</v>
      </c>
      <c r="C51" s="296" t="s">
        <v>594</v>
      </c>
      <c r="D51" s="296" t="s">
        <v>595</v>
      </c>
      <c r="E51" s="297">
        <v>436000</v>
      </c>
      <c r="F51" s="296"/>
      <c r="G51" s="298" t="s">
        <v>587</v>
      </c>
    </row>
    <row r="52" spans="1:17" ht="14.5" x14ac:dyDescent="0.25">
      <c r="B52" s="295">
        <v>46023</v>
      </c>
      <c r="C52" s="296" t="s">
        <v>592</v>
      </c>
      <c r="D52" s="296" t="s">
        <v>593</v>
      </c>
      <c r="E52" s="297">
        <v>-39777.339999999997</v>
      </c>
      <c r="F52" s="296"/>
      <c r="G52" s="298" t="s">
        <v>587</v>
      </c>
    </row>
    <row r="53" spans="1:17" ht="14.5" x14ac:dyDescent="0.25">
      <c r="B53" s="295">
        <v>46023</v>
      </c>
      <c r="C53" s="296" t="s">
        <v>589</v>
      </c>
      <c r="D53" s="296" t="s">
        <v>590</v>
      </c>
      <c r="E53" s="299">
        <v>396222.66</v>
      </c>
      <c r="F53" s="296"/>
      <c r="G53" s="298" t="s">
        <v>596</v>
      </c>
    </row>
    <row r="54" spans="1:17" ht="14.5" x14ac:dyDescent="0.25">
      <c r="B54" s="295">
        <v>46023</v>
      </c>
      <c r="C54" s="296" t="s">
        <v>594</v>
      </c>
      <c r="D54" s="296" t="s">
        <v>595</v>
      </c>
      <c r="E54" s="299">
        <v>-436000</v>
      </c>
      <c r="F54" s="296"/>
      <c r="G54" s="298" t="s">
        <v>596</v>
      </c>
    </row>
    <row r="55" spans="1:17" ht="14.5" x14ac:dyDescent="0.25">
      <c r="B55" s="295">
        <v>46023</v>
      </c>
      <c r="C55" s="296" t="s">
        <v>592</v>
      </c>
      <c r="D55" s="296" t="s">
        <v>593</v>
      </c>
      <c r="E55" s="299">
        <v>39777.339999999997</v>
      </c>
      <c r="F55" s="296"/>
      <c r="G55" s="298" t="s">
        <v>596</v>
      </c>
    </row>
    <row r="56" spans="1:17" x14ac:dyDescent="0.25">
      <c r="Q56" s="281" t="s">
        <v>600</v>
      </c>
    </row>
    <row r="58" spans="1:17" s="293" customFormat="1" ht="17.75" customHeight="1" x14ac:dyDescent="0.35">
      <c r="A58" s="289">
        <v>5</v>
      </c>
      <c r="B58" s="290" t="s">
        <v>601</v>
      </c>
      <c r="C58" s="291"/>
      <c r="D58" s="291"/>
      <c r="E58" s="291"/>
      <c r="F58" s="291"/>
      <c r="G58" s="291"/>
      <c r="H58" s="291"/>
      <c r="I58" s="291"/>
      <c r="J58" s="292"/>
    </row>
    <row r="60" spans="1:17" ht="13" x14ac:dyDescent="0.3">
      <c r="B60" s="294" t="s">
        <v>316</v>
      </c>
      <c r="C60" s="294" t="s">
        <v>586</v>
      </c>
      <c r="D60" s="294" t="s">
        <v>214</v>
      </c>
      <c r="E60" s="294" t="s">
        <v>315</v>
      </c>
      <c r="F60" s="294" t="s">
        <v>587</v>
      </c>
      <c r="G60" s="294" t="s">
        <v>588</v>
      </c>
    </row>
    <row r="61" spans="1:17" ht="14.5" x14ac:dyDescent="0.25">
      <c r="B61" s="295">
        <v>46053</v>
      </c>
      <c r="C61" s="296" t="s">
        <v>589</v>
      </c>
      <c r="D61" s="296" t="s">
        <v>590</v>
      </c>
      <c r="E61" s="297">
        <v>401650.56</v>
      </c>
      <c r="F61" s="296" t="s">
        <v>587</v>
      </c>
      <c r="G61" s="298"/>
    </row>
    <row r="62" spans="1:17" ht="14.5" x14ac:dyDescent="0.25">
      <c r="B62" s="295">
        <v>46053</v>
      </c>
      <c r="C62" s="296" t="s">
        <v>568</v>
      </c>
      <c r="D62" s="296" t="s">
        <v>591</v>
      </c>
      <c r="E62" s="297">
        <v>401650.56</v>
      </c>
      <c r="F62" s="296" t="s">
        <v>587</v>
      </c>
      <c r="G62" s="298"/>
    </row>
    <row r="63" spans="1:17" ht="14.5" x14ac:dyDescent="0.25">
      <c r="B63" s="295">
        <v>46053</v>
      </c>
      <c r="C63" s="296" t="s">
        <v>592</v>
      </c>
      <c r="D63" s="296" t="s">
        <v>593</v>
      </c>
      <c r="E63" s="297">
        <v>34349.440000000002</v>
      </c>
      <c r="F63" s="296" t="s">
        <v>587</v>
      </c>
      <c r="G63" s="298"/>
    </row>
    <row r="64" spans="1:17" ht="14.5" x14ac:dyDescent="0.25">
      <c r="B64" s="295">
        <v>46053</v>
      </c>
      <c r="C64" s="296" t="s">
        <v>594</v>
      </c>
      <c r="D64" s="296" t="s">
        <v>595</v>
      </c>
      <c r="E64" s="299">
        <v>-436000</v>
      </c>
      <c r="F64" s="296" t="s">
        <v>587</v>
      </c>
      <c r="G64" s="298"/>
    </row>
    <row r="65" spans="1:10" ht="14.5" x14ac:dyDescent="0.25">
      <c r="B65" s="295">
        <v>46053</v>
      </c>
      <c r="C65" s="296" t="s">
        <v>589</v>
      </c>
      <c r="D65" s="296" t="s">
        <v>590</v>
      </c>
      <c r="E65" s="299">
        <v>-401650.56</v>
      </c>
      <c r="F65" s="296" t="s">
        <v>596</v>
      </c>
      <c r="G65" s="298"/>
    </row>
    <row r="66" spans="1:10" ht="14.5" x14ac:dyDescent="0.25">
      <c r="B66" s="295">
        <v>46053</v>
      </c>
      <c r="C66" s="296" t="s">
        <v>568</v>
      </c>
      <c r="D66" s="296" t="s">
        <v>591</v>
      </c>
      <c r="E66" s="299">
        <v>-401650.56</v>
      </c>
      <c r="F66" s="296" t="s">
        <v>596</v>
      </c>
      <c r="G66" s="298"/>
    </row>
    <row r="67" spans="1:10" ht="14.5" x14ac:dyDescent="0.25">
      <c r="B67" s="295">
        <v>46053</v>
      </c>
      <c r="C67" s="296" t="s">
        <v>592</v>
      </c>
      <c r="D67" s="296" t="s">
        <v>593</v>
      </c>
      <c r="E67" s="299">
        <v>-34349.440000000002</v>
      </c>
      <c r="F67" s="296" t="s">
        <v>596</v>
      </c>
      <c r="G67" s="298"/>
    </row>
    <row r="68" spans="1:10" ht="14.5" x14ac:dyDescent="0.25">
      <c r="B68" s="295">
        <v>46053</v>
      </c>
      <c r="C68" s="296" t="s">
        <v>594</v>
      </c>
      <c r="D68" s="296" t="s">
        <v>595</v>
      </c>
      <c r="E68" s="297">
        <v>436000</v>
      </c>
      <c r="F68" s="296" t="s">
        <v>596</v>
      </c>
      <c r="G68" s="298"/>
    </row>
    <row r="71" spans="1:10" s="293" customFormat="1" ht="17.75" customHeight="1" x14ac:dyDescent="0.35">
      <c r="A71" s="289">
        <v>6</v>
      </c>
      <c r="B71" s="290" t="s">
        <v>602</v>
      </c>
      <c r="C71" s="291"/>
      <c r="D71" s="291"/>
      <c r="E71" s="291"/>
      <c r="F71" s="291"/>
      <c r="G71" s="291"/>
      <c r="H71" s="291"/>
      <c r="I71" s="291"/>
      <c r="J71" s="292"/>
    </row>
    <row r="73" spans="1:10" ht="13" x14ac:dyDescent="0.3">
      <c r="B73" s="294" t="s">
        <v>316</v>
      </c>
      <c r="C73" s="294" t="s">
        <v>586</v>
      </c>
      <c r="D73" s="294" t="s">
        <v>214</v>
      </c>
      <c r="E73" s="294" t="s">
        <v>315</v>
      </c>
      <c r="F73" s="294" t="s">
        <v>587</v>
      </c>
      <c r="G73" s="294" t="s">
        <v>588</v>
      </c>
    </row>
    <row r="74" spans="1:10" ht="14.5" x14ac:dyDescent="0.25">
      <c r="B74" s="295">
        <v>46053</v>
      </c>
      <c r="C74" s="296" t="s">
        <v>589</v>
      </c>
      <c r="D74" s="296" t="s">
        <v>590</v>
      </c>
      <c r="E74" s="297">
        <v>401650.56</v>
      </c>
      <c r="F74" s="296"/>
      <c r="G74" s="298" t="s">
        <v>587</v>
      </c>
    </row>
    <row r="75" spans="1:10" ht="14.5" x14ac:dyDescent="0.25">
      <c r="B75" s="295">
        <v>46053</v>
      </c>
      <c r="C75" s="296" t="s">
        <v>594</v>
      </c>
      <c r="D75" s="296" t="s">
        <v>595</v>
      </c>
      <c r="E75" s="297">
        <v>-436000</v>
      </c>
      <c r="F75" s="296"/>
      <c r="G75" s="298" t="s">
        <v>587</v>
      </c>
    </row>
    <row r="76" spans="1:10" ht="14.5" x14ac:dyDescent="0.25">
      <c r="B76" s="295">
        <v>46053</v>
      </c>
      <c r="C76" s="296" t="s">
        <v>592</v>
      </c>
      <c r="D76" s="296" t="s">
        <v>593</v>
      </c>
      <c r="E76" s="297">
        <v>34349.440000000002</v>
      </c>
      <c r="F76" s="296"/>
      <c r="G76" s="298" t="s">
        <v>587</v>
      </c>
    </row>
    <row r="77" spans="1:10" ht="14.5" x14ac:dyDescent="0.25">
      <c r="B77" s="295">
        <v>46053</v>
      </c>
      <c r="C77" s="296" t="s">
        <v>589</v>
      </c>
      <c r="D77" s="296" t="s">
        <v>590</v>
      </c>
      <c r="E77" s="299">
        <v>-401650.56</v>
      </c>
      <c r="F77" s="296"/>
      <c r="G77" s="298" t="s">
        <v>596</v>
      </c>
    </row>
    <row r="78" spans="1:10" ht="14.5" x14ac:dyDescent="0.25">
      <c r="B78" s="295">
        <v>46053</v>
      </c>
      <c r="C78" s="296" t="s">
        <v>594</v>
      </c>
      <c r="D78" s="296" t="s">
        <v>595</v>
      </c>
      <c r="E78" s="299">
        <v>436000</v>
      </c>
      <c r="F78" s="296"/>
      <c r="G78" s="298" t="s">
        <v>596</v>
      </c>
    </row>
    <row r="79" spans="1:10" ht="14.5" x14ac:dyDescent="0.25">
      <c r="B79" s="295">
        <v>46053</v>
      </c>
      <c r="C79" s="296" t="s">
        <v>592</v>
      </c>
      <c r="D79" s="296" t="s">
        <v>593</v>
      </c>
      <c r="E79" s="299">
        <v>-34349.440000000002</v>
      </c>
      <c r="F79" s="296"/>
      <c r="G79" s="298" t="s">
        <v>596</v>
      </c>
    </row>
    <row r="82" spans="1:32" s="293" customFormat="1" ht="17.75" customHeight="1" x14ac:dyDescent="0.35">
      <c r="A82" s="289">
        <v>7</v>
      </c>
      <c r="B82" s="290" t="s">
        <v>603</v>
      </c>
      <c r="C82" s="291"/>
      <c r="D82" s="291"/>
      <c r="E82" s="291"/>
      <c r="F82" s="291"/>
      <c r="G82" s="291"/>
      <c r="H82" s="291"/>
      <c r="I82" s="291"/>
      <c r="J82" s="292"/>
    </row>
    <row r="84" spans="1:32" ht="13" x14ac:dyDescent="0.3">
      <c r="B84" s="294" t="s">
        <v>316</v>
      </c>
      <c r="C84" s="294" t="s">
        <v>586</v>
      </c>
      <c r="D84" s="294" t="s">
        <v>214</v>
      </c>
      <c r="E84" s="294" t="s">
        <v>315</v>
      </c>
      <c r="F84" s="294" t="s">
        <v>587</v>
      </c>
      <c r="G84" s="294" t="s">
        <v>588</v>
      </c>
    </row>
    <row r="85" spans="1:32" ht="14.5" x14ac:dyDescent="0.25">
      <c r="B85" s="295">
        <v>46054</v>
      </c>
      <c r="C85" s="296" t="s">
        <v>592</v>
      </c>
      <c r="D85" s="296" t="s">
        <v>593</v>
      </c>
      <c r="E85" s="299">
        <v>-34349.440000000002</v>
      </c>
      <c r="F85" s="296" t="s">
        <v>587</v>
      </c>
      <c r="G85" s="298"/>
      <c r="H85" s="300" t="s">
        <v>604</v>
      </c>
    </row>
    <row r="86" spans="1:32" ht="14.5" x14ac:dyDescent="0.25">
      <c r="B86" s="295">
        <v>46054</v>
      </c>
      <c r="C86" s="296" t="s">
        <v>589</v>
      </c>
      <c r="D86" s="296" t="s">
        <v>590</v>
      </c>
      <c r="E86" s="299">
        <v>-401650.56</v>
      </c>
      <c r="F86" s="296" t="s">
        <v>587</v>
      </c>
      <c r="G86" s="298"/>
    </row>
    <row r="87" spans="1:32" ht="14.5" x14ac:dyDescent="0.25">
      <c r="B87" s="295">
        <v>46054</v>
      </c>
      <c r="C87" s="296" t="s">
        <v>605</v>
      </c>
      <c r="D87" s="296" t="s">
        <v>606</v>
      </c>
      <c r="E87" s="299">
        <v>34349.440000000002</v>
      </c>
      <c r="F87" s="296" t="s">
        <v>596</v>
      </c>
      <c r="G87" s="298"/>
    </row>
    <row r="88" spans="1:32" ht="14.5" x14ac:dyDescent="0.25">
      <c r="B88" s="295">
        <v>46054</v>
      </c>
      <c r="C88" s="296" t="s">
        <v>568</v>
      </c>
      <c r="D88" s="296" t="s">
        <v>591</v>
      </c>
      <c r="E88" s="299">
        <v>401650.56</v>
      </c>
      <c r="F88" s="296" t="s">
        <v>596</v>
      </c>
      <c r="G88" s="298"/>
    </row>
    <row r="92" spans="1:32" s="293" customFormat="1" ht="17.75" customHeight="1" x14ac:dyDescent="0.25">
      <c r="A92" s="301">
        <v>8</v>
      </c>
      <c r="B92" s="302" t="s">
        <v>607</v>
      </c>
      <c r="C92" s="303"/>
      <c r="D92" s="303"/>
      <c r="E92" s="303"/>
      <c r="F92" s="303"/>
      <c r="G92" s="303"/>
      <c r="H92" s="303"/>
      <c r="I92" s="303"/>
      <c r="J92" s="304"/>
      <c r="Y92" s="305" t="s">
        <v>95</v>
      </c>
      <c r="Z92" s="293" t="s">
        <v>608</v>
      </c>
      <c r="AA92" s="281"/>
      <c r="AB92" s="281"/>
      <c r="AC92" s="281"/>
      <c r="AD92" s="281"/>
      <c r="AE92" s="281"/>
      <c r="AF92" s="265"/>
    </row>
    <row r="93" spans="1:32" ht="13" thickBot="1" x14ac:dyDescent="0.3">
      <c r="AF93" s="265"/>
    </row>
    <row r="94" spans="1:32" ht="13" x14ac:dyDescent="0.25">
      <c r="E94" s="265"/>
      <c r="F94" s="265"/>
      <c r="G94" s="265"/>
      <c r="H94" s="265"/>
      <c r="AA94" s="306" t="s">
        <v>609</v>
      </c>
      <c r="AB94" s="307" t="s">
        <v>610</v>
      </c>
      <c r="AF94" s="265"/>
    </row>
    <row r="95" spans="1:32" s="308" customFormat="1" ht="13" x14ac:dyDescent="0.25">
      <c r="B95" s="309" t="s">
        <v>586</v>
      </c>
      <c r="C95" s="310" t="s">
        <v>214</v>
      </c>
      <c r="D95" s="311"/>
      <c r="E95" s="309" t="s">
        <v>587</v>
      </c>
      <c r="F95" s="309" t="s">
        <v>596</v>
      </c>
      <c r="G95" s="309" t="s">
        <v>588</v>
      </c>
      <c r="H95" s="309" t="s">
        <v>611</v>
      </c>
      <c r="I95" s="309" t="s">
        <v>612</v>
      </c>
      <c r="Y95" s="281"/>
      <c r="Z95" s="281"/>
      <c r="AA95" s="312" t="s">
        <v>582</v>
      </c>
      <c r="AB95" s="313"/>
      <c r="AC95" s="281"/>
      <c r="AD95" s="281"/>
      <c r="AE95" s="281"/>
      <c r="AF95" s="265"/>
    </row>
    <row r="96" spans="1:32" ht="13" x14ac:dyDescent="0.3">
      <c r="A96" s="265"/>
      <c r="B96" s="314" t="s">
        <v>605</v>
      </c>
      <c r="C96" s="315" t="s">
        <v>606</v>
      </c>
      <c r="D96" s="316"/>
      <c r="E96" s="285"/>
      <c r="F96" s="285">
        <v>34349.440000000002</v>
      </c>
      <c r="G96" s="285"/>
      <c r="H96" s="285"/>
      <c r="I96" s="285">
        <f>SUM(E96:H96)</f>
        <v>34349.440000000002</v>
      </c>
      <c r="AA96" s="312" t="s">
        <v>613</v>
      </c>
      <c r="AB96" s="313"/>
      <c r="AF96" s="265"/>
    </row>
    <row r="97" spans="1:32" ht="13.5" thickBot="1" x14ac:dyDescent="0.35">
      <c r="A97" s="265"/>
      <c r="B97" s="314" t="s">
        <v>594</v>
      </c>
      <c r="C97" s="315" t="s">
        <v>595</v>
      </c>
      <c r="D97" s="316"/>
      <c r="E97" s="285">
        <v>-436000</v>
      </c>
      <c r="F97" s="285">
        <v>436000</v>
      </c>
      <c r="G97" s="285">
        <v>-436000</v>
      </c>
      <c r="H97" s="285">
        <v>436000</v>
      </c>
      <c r="I97" s="285">
        <f t="shared" ref="I97:I100" si="9">SUM(E97:H97)</f>
        <v>0</v>
      </c>
      <c r="AA97" s="317" t="s">
        <v>614</v>
      </c>
      <c r="AB97" s="318"/>
      <c r="AF97" s="265"/>
    </row>
    <row r="98" spans="1:32" ht="13" x14ac:dyDescent="0.3">
      <c r="A98" s="265"/>
      <c r="B98" s="314" t="s">
        <v>592</v>
      </c>
      <c r="C98" s="315" t="s">
        <v>593</v>
      </c>
      <c r="D98" s="316"/>
      <c r="E98" s="285">
        <v>0</v>
      </c>
      <c r="F98" s="285">
        <v>-34349.440000000002</v>
      </c>
      <c r="G98" s="285">
        <v>34349.440000000002</v>
      </c>
      <c r="H98" s="285">
        <v>-34349.440000000002</v>
      </c>
      <c r="I98" s="285">
        <f t="shared" si="9"/>
        <v>-34349.440000000002</v>
      </c>
    </row>
    <row r="99" spans="1:32" ht="13" x14ac:dyDescent="0.3">
      <c r="A99" s="265"/>
      <c r="B99" s="314" t="s">
        <v>589</v>
      </c>
      <c r="C99" s="315" t="s">
        <v>590</v>
      </c>
      <c r="D99" s="316"/>
      <c r="E99" s="285">
        <v>0</v>
      </c>
      <c r="F99" s="285">
        <v>-401650.56</v>
      </c>
      <c r="G99" s="285">
        <v>401650.56</v>
      </c>
      <c r="H99" s="285">
        <v>-401650.56</v>
      </c>
      <c r="I99" s="285">
        <f t="shared" si="9"/>
        <v>-401650.56</v>
      </c>
      <c r="Z99" s="281" t="s">
        <v>615</v>
      </c>
      <c r="AA99" s="293"/>
      <c r="AB99" s="293"/>
      <c r="AC99" s="293"/>
      <c r="AD99" s="293"/>
    </row>
    <row r="100" spans="1:32" ht="13.5" thickBot="1" x14ac:dyDescent="0.35">
      <c r="A100" s="265"/>
      <c r="B100" s="314" t="s">
        <v>568</v>
      </c>
      <c r="C100" s="315" t="s">
        <v>591</v>
      </c>
      <c r="D100" s="316"/>
      <c r="E100" s="285">
        <v>401650.56</v>
      </c>
      <c r="F100" s="285">
        <v>0</v>
      </c>
      <c r="G100" s="285"/>
      <c r="H100" s="285"/>
      <c r="I100" s="285">
        <f t="shared" si="9"/>
        <v>401650.56</v>
      </c>
    </row>
    <row r="101" spans="1:32" ht="13.5" thickBot="1" x14ac:dyDescent="0.3">
      <c r="AA101" s="307" t="s">
        <v>609</v>
      </c>
      <c r="AB101" s="319" t="s">
        <v>610</v>
      </c>
      <c r="AD101" s="265"/>
    </row>
    <row r="102" spans="1:32" ht="13" x14ac:dyDescent="0.25">
      <c r="AA102" s="320" t="s">
        <v>616</v>
      </c>
      <c r="AB102" s="321" t="s">
        <v>613</v>
      </c>
      <c r="AC102" s="322"/>
      <c r="AD102" s="323" t="s">
        <v>617</v>
      </c>
    </row>
    <row r="103" spans="1:32" s="293" customFormat="1" ht="17.75" customHeight="1" x14ac:dyDescent="0.25">
      <c r="A103" s="324">
        <v>9</v>
      </c>
      <c r="B103" s="325" t="s">
        <v>618</v>
      </c>
      <c r="C103" s="326"/>
      <c r="D103" s="326"/>
      <c r="E103" s="326"/>
      <c r="F103" s="326"/>
      <c r="G103" s="326"/>
      <c r="H103" s="326"/>
      <c r="I103" s="326"/>
      <c r="J103" s="327"/>
      <c r="Y103" s="281"/>
      <c r="Z103" s="281"/>
      <c r="AA103" s="328" t="s">
        <v>619</v>
      </c>
      <c r="AB103" s="329" t="s">
        <v>620</v>
      </c>
      <c r="AC103" s="330" t="s">
        <v>621</v>
      </c>
      <c r="AD103" s="331"/>
    </row>
    <row r="104" spans="1:32" ht="13" x14ac:dyDescent="0.3">
      <c r="B104" s="332"/>
      <c r="E104" s="265"/>
      <c r="F104" s="265"/>
      <c r="G104" s="265"/>
      <c r="H104" s="265"/>
      <c r="AA104" s="333" t="s">
        <v>622</v>
      </c>
      <c r="AB104" s="334" t="s">
        <v>614</v>
      </c>
      <c r="AC104" s="335"/>
      <c r="AD104" s="331"/>
    </row>
    <row r="105" spans="1:32" ht="13" x14ac:dyDescent="0.3">
      <c r="B105" s="336" t="s">
        <v>586</v>
      </c>
      <c r="C105" s="337" t="s">
        <v>214</v>
      </c>
      <c r="D105" s="338"/>
      <c r="E105" s="309" t="s">
        <v>587</v>
      </c>
      <c r="F105" s="309" t="s">
        <v>596</v>
      </c>
      <c r="G105" s="309" t="s">
        <v>588</v>
      </c>
      <c r="H105" s="309" t="s">
        <v>611</v>
      </c>
      <c r="I105" s="309" t="s">
        <v>612</v>
      </c>
      <c r="AA105" s="328" t="s">
        <v>623</v>
      </c>
      <c r="AB105" s="339" t="s">
        <v>624</v>
      </c>
      <c r="AC105" s="330" t="s">
        <v>621</v>
      </c>
      <c r="AD105" s="331"/>
    </row>
    <row r="106" spans="1:32" ht="13" x14ac:dyDescent="0.3">
      <c r="A106" s="265"/>
      <c r="B106" s="314" t="s">
        <v>605</v>
      </c>
      <c r="C106" s="315" t="s">
        <v>606</v>
      </c>
      <c r="D106" s="316"/>
      <c r="E106" s="285"/>
      <c r="F106" s="285">
        <v>-34349.440000000002</v>
      </c>
      <c r="G106" s="285"/>
      <c r="H106" s="285"/>
      <c r="I106" s="285">
        <f>SUM(E106:H106)</f>
        <v>-34349.440000000002</v>
      </c>
      <c r="AA106" s="328" t="s">
        <v>625</v>
      </c>
      <c r="AB106" s="339" t="s">
        <v>626</v>
      </c>
      <c r="AC106" s="330" t="s">
        <v>621</v>
      </c>
      <c r="AD106" s="331"/>
    </row>
    <row r="107" spans="1:32" ht="13" x14ac:dyDescent="0.3">
      <c r="A107" s="265"/>
      <c r="B107" s="314" t="s">
        <v>594</v>
      </c>
      <c r="C107" s="315" t="s">
        <v>595</v>
      </c>
      <c r="D107" s="316"/>
      <c r="E107" s="285"/>
      <c r="F107" s="285"/>
      <c r="G107" s="285"/>
      <c r="H107" s="285">
        <v>-401650.56</v>
      </c>
      <c r="I107" s="285">
        <f t="shared" ref="I107:I108" si="10">SUM(E107:H107)</f>
        <v>-401650.56</v>
      </c>
      <c r="AA107" s="328" t="s">
        <v>627</v>
      </c>
      <c r="AB107" s="339" t="s">
        <v>628</v>
      </c>
      <c r="AC107" s="330" t="s">
        <v>621</v>
      </c>
      <c r="AD107" s="331"/>
    </row>
    <row r="108" spans="1:32" ht="13.5" thickBot="1" x14ac:dyDescent="0.35">
      <c r="A108" s="265"/>
      <c r="B108" s="314" t="s">
        <v>589</v>
      </c>
      <c r="C108" s="315" t="s">
        <v>590</v>
      </c>
      <c r="D108" s="316"/>
      <c r="E108" s="285"/>
      <c r="F108" s="285"/>
      <c r="G108" s="285"/>
      <c r="H108" s="285">
        <v>401650.56</v>
      </c>
      <c r="I108" s="285">
        <f t="shared" si="10"/>
        <v>401650.56</v>
      </c>
      <c r="AA108" s="340" t="s">
        <v>629</v>
      </c>
      <c r="AB108" s="341" t="s">
        <v>546</v>
      </c>
      <c r="AC108" s="342" t="s">
        <v>621</v>
      </c>
      <c r="AD108" s="343"/>
      <c r="AF108" s="265"/>
    </row>
    <row r="109" spans="1:32" x14ac:dyDescent="0.25">
      <c r="AA109" s="320" t="s">
        <v>630</v>
      </c>
      <c r="AB109" s="344" t="s">
        <v>625</v>
      </c>
      <c r="AC109" s="345" t="s">
        <v>621</v>
      </c>
      <c r="AD109" s="323" t="s">
        <v>631</v>
      </c>
      <c r="AF109" s="265"/>
    </row>
    <row r="110" spans="1:32" ht="13.5" thickBot="1" x14ac:dyDescent="0.35">
      <c r="B110" s="332" t="s">
        <v>632</v>
      </c>
      <c r="AA110" s="317" t="s">
        <v>546</v>
      </c>
      <c r="AB110" s="346" t="s">
        <v>623</v>
      </c>
      <c r="AC110" s="347" t="s">
        <v>621</v>
      </c>
      <c r="AD110" s="343"/>
      <c r="AF110" s="265"/>
    </row>
    <row r="111" spans="1:32" x14ac:dyDescent="0.25">
      <c r="AF111" s="265"/>
    </row>
    <row r="112" spans="1:32" s="348" customFormat="1" ht="13" x14ac:dyDescent="0.3">
      <c r="B112" s="349" t="s">
        <v>586</v>
      </c>
      <c r="C112" s="350" t="s">
        <v>214</v>
      </c>
      <c r="D112" s="351"/>
      <c r="E112" s="352" t="s">
        <v>587</v>
      </c>
      <c r="F112" s="352" t="s">
        <v>596</v>
      </c>
      <c r="G112" s="352" t="s">
        <v>588</v>
      </c>
      <c r="H112" s="352" t="s">
        <v>611</v>
      </c>
      <c r="I112" s="352" t="s">
        <v>612</v>
      </c>
      <c r="Y112" s="281"/>
      <c r="Z112" s="281" t="s">
        <v>633</v>
      </c>
      <c r="AA112" s="293"/>
      <c r="AB112" s="293"/>
      <c r="AC112" s="293"/>
      <c r="AD112" s="293"/>
      <c r="AE112" s="281"/>
      <c r="AF112" s="265"/>
    </row>
    <row r="113" spans="1:32" ht="13.5" thickBot="1" x14ac:dyDescent="0.35">
      <c r="B113" s="314" t="s">
        <v>605</v>
      </c>
      <c r="C113" s="315" t="s">
        <v>606</v>
      </c>
      <c r="D113" s="316"/>
      <c r="E113" s="285">
        <f>SUMIF($B$96:$B$108,$B113,E$96:E$108)</f>
        <v>0</v>
      </c>
      <c r="F113" s="285">
        <f t="shared" ref="F113:I117" si="11">SUMIF($B$96:$B$108,$B113,F$96:F$108)</f>
        <v>0</v>
      </c>
      <c r="G113" s="285">
        <f t="shared" si="11"/>
        <v>0</v>
      </c>
      <c r="H113" s="285">
        <f t="shared" si="11"/>
        <v>0</v>
      </c>
      <c r="I113" s="285">
        <f t="shared" si="11"/>
        <v>0</v>
      </c>
      <c r="AF113" s="265"/>
    </row>
    <row r="114" spans="1:32" ht="13" x14ac:dyDescent="0.3">
      <c r="B114" s="314" t="s">
        <v>594</v>
      </c>
      <c r="C114" s="315" t="s">
        <v>595</v>
      </c>
      <c r="D114" s="316"/>
      <c r="E114" s="285">
        <f t="shared" ref="E114:E117" si="12">SUMIF($B$96:$B$108,$B114,E$96:E$108)</f>
        <v>-436000</v>
      </c>
      <c r="F114" s="285">
        <f t="shared" si="11"/>
        <v>436000</v>
      </c>
      <c r="G114" s="285">
        <f t="shared" si="11"/>
        <v>-436000</v>
      </c>
      <c r="H114" s="285">
        <f t="shared" si="11"/>
        <v>34349.440000000002</v>
      </c>
      <c r="I114" s="285">
        <f t="shared" si="11"/>
        <v>-401650.56</v>
      </c>
      <c r="AA114" s="307" t="s">
        <v>609</v>
      </c>
      <c r="AB114" s="307" t="s">
        <v>610</v>
      </c>
      <c r="AF114" s="265"/>
    </row>
    <row r="115" spans="1:32" ht="13" x14ac:dyDescent="0.3">
      <c r="B115" s="314" t="s">
        <v>592</v>
      </c>
      <c r="C115" s="315" t="s">
        <v>593</v>
      </c>
      <c r="D115" s="316"/>
      <c r="E115" s="285">
        <f t="shared" si="12"/>
        <v>0</v>
      </c>
      <c r="F115" s="285">
        <f t="shared" si="11"/>
        <v>-34349.440000000002</v>
      </c>
      <c r="G115" s="285">
        <f t="shared" si="11"/>
        <v>34349.440000000002</v>
      </c>
      <c r="H115" s="285">
        <f t="shared" si="11"/>
        <v>-34349.440000000002</v>
      </c>
      <c r="I115" s="285">
        <f t="shared" si="11"/>
        <v>-34349.440000000002</v>
      </c>
      <c r="AA115" s="313"/>
      <c r="AB115" s="312" t="s">
        <v>626</v>
      </c>
      <c r="AF115" s="265"/>
    </row>
    <row r="116" spans="1:32" ht="13" x14ac:dyDescent="0.3">
      <c r="B116" s="314" t="s">
        <v>589</v>
      </c>
      <c r="C116" s="315" t="s">
        <v>590</v>
      </c>
      <c r="D116" s="316"/>
      <c r="E116" s="285">
        <f t="shared" si="12"/>
        <v>0</v>
      </c>
      <c r="F116" s="285">
        <f t="shared" si="11"/>
        <v>-401650.56</v>
      </c>
      <c r="G116" s="285">
        <f t="shared" si="11"/>
        <v>401650.56</v>
      </c>
      <c r="H116" s="285">
        <f t="shared" si="11"/>
        <v>0</v>
      </c>
      <c r="I116" s="285">
        <f t="shared" si="11"/>
        <v>0</v>
      </c>
      <c r="AA116" s="313"/>
      <c r="AB116" s="353" t="s">
        <v>582</v>
      </c>
      <c r="AF116" s="265"/>
    </row>
    <row r="117" spans="1:32" ht="13" x14ac:dyDescent="0.3">
      <c r="B117" s="314" t="s">
        <v>568</v>
      </c>
      <c r="C117" s="315" t="s">
        <v>591</v>
      </c>
      <c r="D117" s="316"/>
      <c r="E117" s="285">
        <f t="shared" si="12"/>
        <v>401650.56</v>
      </c>
      <c r="F117" s="285">
        <f t="shared" si="11"/>
        <v>0</v>
      </c>
      <c r="G117" s="285">
        <f t="shared" si="11"/>
        <v>0</v>
      </c>
      <c r="H117" s="285">
        <f t="shared" si="11"/>
        <v>0</v>
      </c>
      <c r="I117" s="285">
        <f t="shared" si="11"/>
        <v>401650.56</v>
      </c>
      <c r="AA117" s="313"/>
      <c r="AB117" s="312" t="s">
        <v>624</v>
      </c>
      <c r="AF117" s="265"/>
    </row>
    <row r="118" spans="1:32" ht="13" x14ac:dyDescent="0.25">
      <c r="AA118" s="313"/>
      <c r="AB118" s="354" t="s">
        <v>634</v>
      </c>
      <c r="AF118" s="265"/>
    </row>
    <row r="119" spans="1:32" ht="13" x14ac:dyDescent="0.25">
      <c r="AA119" s="313"/>
      <c r="AB119" s="354" t="s">
        <v>635</v>
      </c>
      <c r="AF119" s="265"/>
    </row>
    <row r="120" spans="1:32" s="293" customFormat="1" ht="17.75" customHeight="1" thickBot="1" x14ac:dyDescent="0.3">
      <c r="A120" s="289">
        <v>10</v>
      </c>
      <c r="B120" s="290" t="s">
        <v>636</v>
      </c>
      <c r="C120" s="291"/>
      <c r="D120" s="291"/>
      <c r="E120" s="291"/>
      <c r="F120" s="291"/>
      <c r="G120" s="291"/>
      <c r="H120" s="291"/>
      <c r="I120" s="291"/>
      <c r="J120" s="292"/>
      <c r="Y120" s="281"/>
      <c r="Z120" s="281"/>
      <c r="AA120" s="318"/>
      <c r="AB120" s="340" t="s">
        <v>629</v>
      </c>
      <c r="AC120" s="281"/>
      <c r="AD120" s="281"/>
      <c r="AE120" s="281"/>
      <c r="AF120" s="265"/>
    </row>
    <row r="121" spans="1:32" ht="13" x14ac:dyDescent="0.3">
      <c r="B121" s="332"/>
      <c r="E121" s="355"/>
      <c r="F121" s="355"/>
      <c r="G121" s="355"/>
      <c r="H121" s="355"/>
      <c r="AF121" s="265"/>
    </row>
    <row r="122" spans="1:32" ht="13" x14ac:dyDescent="0.3">
      <c r="B122" s="349" t="s">
        <v>586</v>
      </c>
      <c r="C122" s="350" t="s">
        <v>214</v>
      </c>
      <c r="D122" s="351"/>
      <c r="E122" s="352" t="s">
        <v>587</v>
      </c>
      <c r="F122" s="352" t="s">
        <v>596</v>
      </c>
      <c r="G122" s="352" t="s">
        <v>588</v>
      </c>
      <c r="H122" s="352" t="s">
        <v>611</v>
      </c>
      <c r="I122" s="352" t="s">
        <v>612</v>
      </c>
      <c r="Z122" s="281" t="s">
        <v>637</v>
      </c>
      <c r="AA122" s="293"/>
      <c r="AB122" s="293"/>
      <c r="AC122" s="293"/>
      <c r="AD122" s="293"/>
      <c r="AF122" s="265"/>
    </row>
    <row r="123" spans="1:32" ht="13.5" thickBot="1" x14ac:dyDescent="0.35">
      <c r="A123" s="265"/>
      <c r="B123" s="314" t="s">
        <v>638</v>
      </c>
      <c r="C123" s="315" t="s">
        <v>639</v>
      </c>
      <c r="D123" s="316"/>
      <c r="E123" s="285">
        <v>-401650.56</v>
      </c>
      <c r="F123" s="285"/>
      <c r="G123" s="285"/>
      <c r="H123" s="285"/>
      <c r="I123" s="285">
        <f>SUM(E123:H123)</f>
        <v>-401650.56</v>
      </c>
      <c r="AF123" s="265"/>
    </row>
    <row r="124" spans="1:32" ht="13" x14ac:dyDescent="0.3">
      <c r="A124" s="265"/>
      <c r="B124" s="314" t="s">
        <v>605</v>
      </c>
      <c r="C124" s="315" t="s">
        <v>606</v>
      </c>
      <c r="D124" s="316"/>
      <c r="E124" s="285">
        <v>-34349.440000000002</v>
      </c>
      <c r="F124" s="285"/>
      <c r="G124" s="285"/>
      <c r="H124" s="285"/>
      <c r="I124" s="285">
        <f t="shared" ref="I124:I126" si="13">SUM(E124:H124)</f>
        <v>-34349.440000000002</v>
      </c>
      <c r="AA124" s="307" t="s">
        <v>609</v>
      </c>
      <c r="AB124" s="356" t="s">
        <v>610</v>
      </c>
      <c r="AF124" s="265"/>
    </row>
    <row r="125" spans="1:32" ht="13" x14ac:dyDescent="0.3">
      <c r="A125" s="265"/>
      <c r="B125" s="314" t="s">
        <v>592</v>
      </c>
      <c r="C125" s="315" t="s">
        <v>593</v>
      </c>
      <c r="D125" s="316"/>
      <c r="E125" s="285">
        <v>34349.440000000002</v>
      </c>
      <c r="F125" s="285"/>
      <c r="G125" s="285"/>
      <c r="H125" s="285"/>
      <c r="I125" s="285">
        <f t="shared" si="13"/>
        <v>34349.440000000002</v>
      </c>
      <c r="AA125" s="357" t="s">
        <v>619</v>
      </c>
      <c r="AB125" s="358" t="s">
        <v>620</v>
      </c>
      <c r="AF125" s="265"/>
    </row>
    <row r="126" spans="1:32" ht="13" x14ac:dyDescent="0.3">
      <c r="A126" s="265"/>
      <c r="B126" s="314" t="s">
        <v>589</v>
      </c>
      <c r="C126" s="315" t="s">
        <v>590</v>
      </c>
      <c r="D126" s="316"/>
      <c r="E126" s="285">
        <v>401650.56</v>
      </c>
      <c r="F126" s="285"/>
      <c r="G126" s="285"/>
      <c r="H126" s="285"/>
      <c r="I126" s="285">
        <f t="shared" si="13"/>
        <v>401650.56</v>
      </c>
      <c r="AA126" s="357" t="s">
        <v>623</v>
      </c>
      <c r="AB126" s="359" t="s">
        <v>624</v>
      </c>
      <c r="AF126" s="265"/>
    </row>
    <row r="127" spans="1:32" x14ac:dyDescent="0.25">
      <c r="A127" s="265"/>
      <c r="AA127" s="357" t="s">
        <v>625</v>
      </c>
      <c r="AB127" s="359" t="s">
        <v>626</v>
      </c>
    </row>
    <row r="128" spans="1:32" x14ac:dyDescent="0.25">
      <c r="A128" s="265"/>
      <c r="AA128" s="357" t="s">
        <v>627</v>
      </c>
      <c r="AB128" s="359" t="s">
        <v>628</v>
      </c>
    </row>
    <row r="129" spans="1:28" ht="13" x14ac:dyDescent="0.3">
      <c r="A129" s="265"/>
      <c r="B129" s="332" t="s">
        <v>640</v>
      </c>
      <c r="AA129" s="360"/>
      <c r="AB129" s="334" t="s">
        <v>613</v>
      </c>
    </row>
    <row r="130" spans="1:28" ht="13" x14ac:dyDescent="0.3">
      <c r="A130" s="265"/>
      <c r="B130" s="349" t="s">
        <v>586</v>
      </c>
      <c r="C130" s="350" t="s">
        <v>214</v>
      </c>
      <c r="D130" s="351"/>
      <c r="E130" s="352" t="s">
        <v>587</v>
      </c>
      <c r="F130" s="352" t="s">
        <v>596</v>
      </c>
      <c r="G130" s="352" t="s">
        <v>588</v>
      </c>
      <c r="H130" s="352" t="s">
        <v>611</v>
      </c>
      <c r="I130" s="352" t="s">
        <v>612</v>
      </c>
      <c r="AA130" s="360"/>
      <c r="AB130" s="334" t="s">
        <v>614</v>
      </c>
    </row>
    <row r="131" spans="1:28" ht="13" x14ac:dyDescent="0.3">
      <c r="A131" s="265"/>
      <c r="B131" s="314" t="s">
        <v>641</v>
      </c>
      <c r="C131" s="315" t="s">
        <v>642</v>
      </c>
      <c r="D131" s="316"/>
      <c r="E131" s="285">
        <v>401650.56</v>
      </c>
      <c r="F131" s="285"/>
      <c r="G131" s="285"/>
      <c r="H131" s="285"/>
      <c r="I131" s="285">
        <f>SUM(E131:H131)</f>
        <v>401650.56</v>
      </c>
      <c r="AA131" s="360"/>
      <c r="AB131" s="334" t="s">
        <v>582</v>
      </c>
    </row>
    <row r="132" spans="1:28" ht="13" x14ac:dyDescent="0.3">
      <c r="A132" s="265"/>
      <c r="B132" s="314" t="s">
        <v>643</v>
      </c>
      <c r="C132" s="315" t="s">
        <v>644</v>
      </c>
      <c r="D132" s="316"/>
      <c r="E132" s="285">
        <v>-401650.56</v>
      </c>
      <c r="F132" s="285"/>
      <c r="G132" s="285"/>
      <c r="H132" s="285"/>
      <c r="I132" s="285">
        <f t="shared" ref="I132" si="14">SUM(E132:H132)</f>
        <v>-401650.56</v>
      </c>
      <c r="AA132" s="360"/>
      <c r="AB132" s="359" t="s">
        <v>634</v>
      </c>
    </row>
    <row r="133" spans="1:28" ht="13" thickBot="1" x14ac:dyDescent="0.3">
      <c r="AA133" s="361"/>
      <c r="AB133" s="362" t="s">
        <v>635</v>
      </c>
    </row>
    <row r="135" spans="1:28" ht="17.75" customHeight="1" x14ac:dyDescent="0.25">
      <c r="A135" s="363">
        <v>11</v>
      </c>
      <c r="B135" s="364" t="s">
        <v>645</v>
      </c>
      <c r="C135" s="365"/>
      <c r="D135" s="365"/>
      <c r="E135" s="365"/>
      <c r="F135" s="365"/>
      <c r="G135" s="365"/>
      <c r="H135" s="365"/>
      <c r="I135" s="365"/>
      <c r="J135" s="366"/>
    </row>
    <row r="136" spans="1:28" hidden="1" x14ac:dyDescent="0.25"/>
    <row r="137" spans="1:28" ht="13" x14ac:dyDescent="0.3">
      <c r="B137" s="349" t="s">
        <v>586</v>
      </c>
      <c r="C137" s="350" t="s">
        <v>214</v>
      </c>
      <c r="D137" s="351"/>
      <c r="E137" s="352" t="s">
        <v>587</v>
      </c>
      <c r="F137" s="352" t="s">
        <v>596</v>
      </c>
      <c r="G137" s="352" t="s">
        <v>588</v>
      </c>
      <c r="H137" s="352" t="s">
        <v>611</v>
      </c>
      <c r="I137" s="352" t="s">
        <v>612</v>
      </c>
      <c r="X137" s="293"/>
      <c r="Y137" s="293"/>
    </row>
    <row r="138" spans="1:28" ht="13" x14ac:dyDescent="0.3">
      <c r="B138" s="314" t="s">
        <v>641</v>
      </c>
      <c r="C138" s="315" t="s">
        <v>642</v>
      </c>
      <c r="D138" s="316"/>
      <c r="E138" s="285">
        <f t="shared" ref="E138:H145" si="15">SUMIF($B$113:$B$132,$B138,E$113:E$132)</f>
        <v>401650.56</v>
      </c>
      <c r="F138" s="285">
        <f t="shared" si="15"/>
        <v>0</v>
      </c>
      <c r="G138" s="285">
        <f t="shared" si="15"/>
        <v>0</v>
      </c>
      <c r="H138" s="285">
        <f t="shared" si="15"/>
        <v>0</v>
      </c>
      <c r="I138" s="285">
        <f>SUM(E138:H138)</f>
        <v>401650.56</v>
      </c>
    </row>
    <row r="139" spans="1:28" ht="13" x14ac:dyDescent="0.3">
      <c r="B139" s="314" t="s">
        <v>638</v>
      </c>
      <c r="C139" s="315" t="s">
        <v>639</v>
      </c>
      <c r="D139" s="316"/>
      <c r="E139" s="285">
        <f t="shared" si="15"/>
        <v>-401650.56</v>
      </c>
      <c r="F139" s="285">
        <f t="shared" si="15"/>
        <v>0</v>
      </c>
      <c r="G139" s="285">
        <f t="shared" si="15"/>
        <v>0</v>
      </c>
      <c r="H139" s="285">
        <f t="shared" si="15"/>
        <v>0</v>
      </c>
      <c r="I139" s="285">
        <f t="shared" ref="I139:I145" si="16">SUM(E139:H139)</f>
        <v>-401650.56</v>
      </c>
    </row>
    <row r="140" spans="1:28" ht="13" x14ac:dyDescent="0.3">
      <c r="B140" s="314" t="s">
        <v>605</v>
      </c>
      <c r="C140" s="315" t="s">
        <v>606</v>
      </c>
      <c r="D140" s="316"/>
      <c r="E140" s="285">
        <f t="shared" si="15"/>
        <v>-34349.440000000002</v>
      </c>
      <c r="F140" s="285">
        <f t="shared" si="15"/>
        <v>0</v>
      </c>
      <c r="G140" s="285">
        <f t="shared" si="15"/>
        <v>0</v>
      </c>
      <c r="H140" s="285">
        <f t="shared" si="15"/>
        <v>0</v>
      </c>
      <c r="I140" s="285">
        <f t="shared" si="16"/>
        <v>-34349.440000000002</v>
      </c>
    </row>
    <row r="141" spans="1:28" ht="13" x14ac:dyDescent="0.3">
      <c r="B141" s="314" t="s">
        <v>594</v>
      </c>
      <c r="C141" s="315" t="s">
        <v>595</v>
      </c>
      <c r="D141" s="316"/>
      <c r="E141" s="285">
        <f t="shared" si="15"/>
        <v>-436000</v>
      </c>
      <c r="F141" s="285">
        <f t="shared" si="15"/>
        <v>436000</v>
      </c>
      <c r="G141" s="285">
        <f t="shared" si="15"/>
        <v>-436000</v>
      </c>
      <c r="H141" s="285">
        <f t="shared" si="15"/>
        <v>34349.440000000002</v>
      </c>
      <c r="I141" s="285">
        <f t="shared" si="16"/>
        <v>-401650.56</v>
      </c>
    </row>
    <row r="142" spans="1:28" ht="13" x14ac:dyDescent="0.3">
      <c r="B142" s="314" t="s">
        <v>592</v>
      </c>
      <c r="C142" s="315" t="s">
        <v>593</v>
      </c>
      <c r="D142" s="316"/>
      <c r="E142" s="285">
        <f t="shared" si="15"/>
        <v>34349.440000000002</v>
      </c>
      <c r="F142" s="285">
        <f t="shared" si="15"/>
        <v>-34349.440000000002</v>
      </c>
      <c r="G142" s="285">
        <f t="shared" si="15"/>
        <v>34349.440000000002</v>
      </c>
      <c r="H142" s="285">
        <f t="shared" si="15"/>
        <v>-34349.440000000002</v>
      </c>
      <c r="I142" s="285">
        <f t="shared" si="16"/>
        <v>0</v>
      </c>
    </row>
    <row r="143" spans="1:28" ht="13" x14ac:dyDescent="0.3">
      <c r="B143" s="314" t="s">
        <v>589</v>
      </c>
      <c r="C143" s="315" t="s">
        <v>590</v>
      </c>
      <c r="D143" s="316"/>
      <c r="E143" s="285">
        <f t="shared" si="15"/>
        <v>401650.56</v>
      </c>
      <c r="F143" s="285">
        <f t="shared" si="15"/>
        <v>-401650.56</v>
      </c>
      <c r="G143" s="285">
        <f t="shared" si="15"/>
        <v>401650.56</v>
      </c>
      <c r="H143" s="285">
        <f t="shared" si="15"/>
        <v>0</v>
      </c>
      <c r="I143" s="285">
        <f t="shared" si="16"/>
        <v>401650.56</v>
      </c>
    </row>
    <row r="144" spans="1:28" ht="13" x14ac:dyDescent="0.3">
      <c r="B144" s="314" t="s">
        <v>568</v>
      </c>
      <c r="C144" s="315" t="s">
        <v>591</v>
      </c>
      <c r="D144" s="316"/>
      <c r="E144" s="285">
        <f t="shared" si="15"/>
        <v>401650.56</v>
      </c>
      <c r="F144" s="285">
        <f t="shared" si="15"/>
        <v>0</v>
      </c>
      <c r="G144" s="285">
        <f t="shared" si="15"/>
        <v>0</v>
      </c>
      <c r="H144" s="285">
        <f t="shared" si="15"/>
        <v>0</v>
      </c>
      <c r="I144" s="285">
        <f t="shared" si="16"/>
        <v>401650.56</v>
      </c>
    </row>
    <row r="145" spans="2:9" ht="13" x14ac:dyDescent="0.3">
      <c r="B145" s="314" t="s">
        <v>643</v>
      </c>
      <c r="C145" s="315" t="s">
        <v>644</v>
      </c>
      <c r="D145" s="316"/>
      <c r="E145" s="285">
        <f t="shared" si="15"/>
        <v>-401650.56</v>
      </c>
      <c r="F145" s="285">
        <f t="shared" si="15"/>
        <v>0</v>
      </c>
      <c r="G145" s="285">
        <f t="shared" si="15"/>
        <v>0</v>
      </c>
      <c r="H145" s="285">
        <f t="shared" si="15"/>
        <v>0</v>
      </c>
      <c r="I145" s="285">
        <f t="shared" si="16"/>
        <v>-401650.56</v>
      </c>
    </row>
  </sheetData>
  <dataValidations count="1">
    <dataValidation type="list" allowBlank="1" showInputMessage="1" showErrorMessage="1" sqref="E4:E7" xr:uid="{4142DD01-9503-484E-AC15-6222DB275731}">
      <formula1>"ADV, PBL, RTN, WTY"</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7B9CC-5A3A-40CC-AF80-897C28F6CB19}">
  <sheetPr codeName="Sheet1"/>
  <dimension ref="B1:T42"/>
  <sheetViews>
    <sheetView zoomScale="90" zoomScaleNormal="90" workbookViewId="0">
      <selection activeCell="G2" sqref="G2"/>
    </sheetView>
  </sheetViews>
  <sheetFormatPr defaultColWidth="9.1796875" defaultRowHeight="14.5" x14ac:dyDescent="0.35"/>
  <cols>
    <col min="1" max="1" width="9.1796875" style="1"/>
    <col min="2" max="2" width="10.81640625" style="1" customWidth="1"/>
    <col min="3" max="3" width="84.1796875" style="1" customWidth="1"/>
    <col min="4" max="4" width="20.54296875" style="2" customWidth="1"/>
    <col min="5" max="5" width="17.1796875" style="2" bestFit="1" customWidth="1"/>
    <col min="6" max="6" width="9.1796875" style="2" customWidth="1"/>
    <col min="7" max="7" width="27.1796875" style="1" customWidth="1"/>
    <col min="8" max="12" width="9.1796875" style="1"/>
    <col min="13" max="13" width="48.1796875" style="1" bestFit="1" customWidth="1"/>
    <col min="14" max="16384" width="9.1796875" style="1"/>
  </cols>
  <sheetData>
    <row r="1" spans="2:20" ht="15" thickBot="1" x14ac:dyDescent="0.4"/>
    <row r="2" spans="2:20" ht="14.75" customHeight="1" x14ac:dyDescent="0.35">
      <c r="B2" s="575" t="s">
        <v>8</v>
      </c>
      <c r="C2" s="576"/>
      <c r="D2" s="569" t="s">
        <v>121</v>
      </c>
      <c r="E2" s="571" t="s">
        <v>117</v>
      </c>
      <c r="F2" s="1"/>
      <c r="G2" s="1" t="s">
        <v>79</v>
      </c>
      <c r="I2" s="2"/>
      <c r="J2" s="2"/>
      <c r="K2" s="2"/>
      <c r="M2" s="8"/>
    </row>
    <row r="3" spans="2:20" ht="14.75" customHeight="1" thickBot="1" x14ac:dyDescent="0.4">
      <c r="B3" s="577"/>
      <c r="C3" s="578"/>
      <c r="D3" s="570"/>
      <c r="E3" s="572"/>
      <c r="F3" s="1"/>
      <c r="G3" s="10" t="s">
        <v>344</v>
      </c>
    </row>
    <row r="4" spans="2:20" x14ac:dyDescent="0.35">
      <c r="B4" s="566" t="s">
        <v>86</v>
      </c>
      <c r="C4" s="54" t="s">
        <v>89</v>
      </c>
      <c r="D4" s="75" t="s">
        <v>122</v>
      </c>
      <c r="E4" s="580" t="s">
        <v>81</v>
      </c>
      <c r="F4" s="1"/>
      <c r="G4" s="10" t="s">
        <v>341</v>
      </c>
    </row>
    <row r="5" spans="2:20" x14ac:dyDescent="0.35">
      <c r="B5" s="573"/>
      <c r="C5" s="40" t="s">
        <v>90</v>
      </c>
      <c r="D5" s="9"/>
      <c r="E5" s="581"/>
      <c r="F5"/>
      <c r="G5" s="10" t="s">
        <v>340</v>
      </c>
      <c r="H5" s="8"/>
      <c r="I5" s="2"/>
      <c r="J5" s="2"/>
      <c r="K5" s="2"/>
      <c r="N5" s="1" t="s">
        <v>347</v>
      </c>
    </row>
    <row r="6" spans="2:20" ht="15" thickBot="1" x14ac:dyDescent="0.4">
      <c r="B6" s="579"/>
      <c r="C6" s="55" t="s">
        <v>91</v>
      </c>
      <c r="D6" s="65"/>
      <c r="E6" s="582"/>
      <c r="F6"/>
      <c r="G6" s="10" t="s">
        <v>343</v>
      </c>
    </row>
    <row r="7" spans="2:20" x14ac:dyDescent="0.35">
      <c r="B7" s="566" t="s">
        <v>87</v>
      </c>
      <c r="C7" s="54" t="s">
        <v>92</v>
      </c>
      <c r="D7" s="592" t="s">
        <v>127</v>
      </c>
      <c r="E7" s="589" t="s">
        <v>81</v>
      </c>
      <c r="F7"/>
      <c r="G7" s="45" t="s">
        <v>19</v>
      </c>
      <c r="H7" s="14" t="s">
        <v>26</v>
      </c>
      <c r="I7" s="15"/>
      <c r="J7" s="16"/>
      <c r="K7" s="16"/>
      <c r="L7" s="16"/>
      <c r="M7" s="16"/>
      <c r="N7" s="16"/>
      <c r="O7" s="16"/>
      <c r="P7" s="16"/>
      <c r="Q7" s="16"/>
      <c r="R7" s="16"/>
      <c r="S7" s="16"/>
      <c r="T7" s="17"/>
    </row>
    <row r="8" spans="2:20" x14ac:dyDescent="0.35">
      <c r="B8" s="573"/>
      <c r="C8" s="40" t="s">
        <v>93</v>
      </c>
      <c r="D8" s="593"/>
      <c r="E8" s="590"/>
      <c r="F8"/>
      <c r="G8" s="48"/>
      <c r="H8" s="10" t="s">
        <v>132</v>
      </c>
      <c r="I8" s="2"/>
      <c r="T8" s="19"/>
    </row>
    <row r="9" spans="2:20" ht="15" thickBot="1" x14ac:dyDescent="0.4">
      <c r="B9" s="574"/>
      <c r="C9" s="50" t="s">
        <v>94</v>
      </c>
      <c r="D9" s="594"/>
      <c r="E9" s="591"/>
      <c r="F9"/>
      <c r="G9" s="48"/>
      <c r="H9" s="24" t="s">
        <v>29</v>
      </c>
      <c r="I9" s="27"/>
      <c r="J9" s="30"/>
      <c r="K9" s="30"/>
      <c r="L9" s="30"/>
      <c r="M9" s="30"/>
      <c r="N9" s="30"/>
      <c r="O9" s="30"/>
      <c r="P9" s="30"/>
      <c r="Q9" s="30"/>
      <c r="R9" s="30"/>
      <c r="S9" s="30"/>
      <c r="T9" s="31"/>
    </row>
    <row r="10" spans="2:20" x14ac:dyDescent="0.35">
      <c r="B10" s="566" t="s">
        <v>88</v>
      </c>
      <c r="C10" s="73" t="s">
        <v>92</v>
      </c>
      <c r="D10" s="66" t="s">
        <v>81</v>
      </c>
      <c r="E10" s="595" t="s">
        <v>81</v>
      </c>
      <c r="F10"/>
      <c r="G10" s="46" t="s">
        <v>18</v>
      </c>
      <c r="H10" s="20" t="s">
        <v>26</v>
      </c>
      <c r="I10" s="2"/>
      <c r="T10" s="19"/>
    </row>
    <row r="11" spans="2:20" x14ac:dyDescent="0.35">
      <c r="B11" s="567"/>
      <c r="C11" s="50" t="s">
        <v>77</v>
      </c>
      <c r="D11" s="586"/>
      <c r="E11" s="596"/>
      <c r="F11"/>
      <c r="G11" s="46"/>
      <c r="H11" s="20" t="s">
        <v>131</v>
      </c>
      <c r="I11" s="2"/>
      <c r="T11" s="19"/>
    </row>
    <row r="12" spans="2:20" ht="15" thickBot="1" x14ac:dyDescent="0.4">
      <c r="B12" s="567"/>
      <c r="C12" s="51" t="s">
        <v>75</v>
      </c>
      <c r="D12" s="587"/>
      <c r="E12" s="596"/>
      <c r="F12"/>
      <c r="G12" s="91"/>
      <c r="H12" s="211" t="s">
        <v>29</v>
      </c>
      <c r="I12" s="212"/>
      <c r="J12" s="130"/>
      <c r="K12" s="130"/>
      <c r="L12" s="130"/>
      <c r="M12" s="130"/>
      <c r="N12" s="130"/>
      <c r="O12" s="130"/>
      <c r="P12" s="130"/>
      <c r="Q12" s="130"/>
      <c r="R12" s="130"/>
      <c r="S12" s="130"/>
      <c r="T12" s="213"/>
    </row>
    <row r="13" spans="2:20" ht="15" thickBot="1" x14ac:dyDescent="0.4">
      <c r="B13" s="568"/>
      <c r="C13" s="53" t="s">
        <v>74</v>
      </c>
      <c r="D13" s="588"/>
      <c r="E13" s="597"/>
      <c r="F13" s="1"/>
      <c r="G13" s="10" t="s">
        <v>345</v>
      </c>
    </row>
    <row r="14" spans="2:20" x14ac:dyDescent="0.35">
      <c r="C14" s="74" t="s">
        <v>128</v>
      </c>
      <c r="F14" s="1"/>
      <c r="G14" s="45" t="s">
        <v>19</v>
      </c>
      <c r="H14" s="13" t="s">
        <v>133</v>
      </c>
      <c r="I14" s="15"/>
      <c r="J14" s="16"/>
      <c r="K14" s="16"/>
      <c r="L14" s="16"/>
      <c r="M14" s="16"/>
      <c r="N14" s="16"/>
      <c r="O14" s="16"/>
      <c r="P14" s="16"/>
      <c r="Q14" s="16"/>
      <c r="R14" s="16"/>
      <c r="S14" s="16"/>
      <c r="T14" s="17"/>
    </row>
    <row r="15" spans="2:20" x14ac:dyDescent="0.35">
      <c r="E15" s="1"/>
      <c r="F15" s="1"/>
      <c r="G15" s="48"/>
      <c r="H15" s="24" t="s">
        <v>29</v>
      </c>
      <c r="I15" s="27"/>
      <c r="J15" s="30"/>
      <c r="K15" s="30"/>
      <c r="L15" s="30"/>
      <c r="M15" s="30"/>
      <c r="N15" s="30"/>
      <c r="O15" s="30"/>
      <c r="P15" s="30"/>
      <c r="Q15" s="30"/>
      <c r="R15" s="30"/>
      <c r="S15" s="30"/>
      <c r="T15" s="31"/>
    </row>
    <row r="16" spans="2:20" x14ac:dyDescent="0.35">
      <c r="B16" s="1" t="s">
        <v>95</v>
      </c>
      <c r="C16" s="32" t="s">
        <v>126</v>
      </c>
      <c r="D16" s="598">
        <v>2025</v>
      </c>
      <c r="E16" s="43" t="s">
        <v>118</v>
      </c>
      <c r="F16" s="1"/>
      <c r="G16" s="46" t="s">
        <v>18</v>
      </c>
      <c r="H16" s="20" t="s">
        <v>134</v>
      </c>
      <c r="T16" s="19"/>
    </row>
    <row r="17" spans="3:20" x14ac:dyDescent="0.35">
      <c r="C17" s="32" t="s">
        <v>135</v>
      </c>
      <c r="D17" s="599"/>
      <c r="E17" s="585" t="s">
        <v>118</v>
      </c>
      <c r="F17" s="1"/>
      <c r="G17" s="48"/>
      <c r="H17" s="24" t="s">
        <v>29</v>
      </c>
      <c r="I17" s="27"/>
      <c r="J17" s="30"/>
      <c r="K17" s="30"/>
      <c r="L17" s="30"/>
      <c r="M17" s="30"/>
      <c r="N17" s="30"/>
      <c r="O17" s="30"/>
      <c r="P17" s="30"/>
      <c r="Q17" s="30"/>
      <c r="R17" s="30"/>
      <c r="S17" s="30"/>
      <c r="T17" s="31"/>
    </row>
    <row r="18" spans="3:20" x14ac:dyDescent="0.35">
      <c r="C18" s="40" t="s">
        <v>125</v>
      </c>
      <c r="D18" s="600"/>
      <c r="E18" s="585"/>
      <c r="F18" s="1"/>
      <c r="G18" s="46" t="s">
        <v>28</v>
      </c>
      <c r="H18" s="20" t="s">
        <v>130</v>
      </c>
      <c r="T18" s="19"/>
    </row>
    <row r="19" spans="3:20" ht="15" thickBot="1" x14ac:dyDescent="0.4">
      <c r="F19" s="1"/>
      <c r="G19" s="21"/>
      <c r="H19" s="25" t="s">
        <v>129</v>
      </c>
      <c r="I19" s="26"/>
      <c r="J19" s="28"/>
      <c r="K19" s="28"/>
      <c r="L19" s="28"/>
      <c r="M19" s="28"/>
      <c r="N19" s="92"/>
      <c r="O19" s="92"/>
      <c r="P19" s="92"/>
      <c r="Q19" s="92"/>
      <c r="R19" s="92"/>
      <c r="S19" s="92"/>
      <c r="T19" s="93"/>
    </row>
    <row r="20" spans="3:20" x14ac:dyDescent="0.35">
      <c r="C20" s="40" t="s">
        <v>124</v>
      </c>
      <c r="D20" s="583">
        <v>2026</v>
      </c>
      <c r="E20" s="43" t="s">
        <v>120</v>
      </c>
      <c r="F20" s="1"/>
      <c r="G20" s="10" t="s">
        <v>342</v>
      </c>
    </row>
    <row r="21" spans="3:20" ht="43.5" customHeight="1" x14ac:dyDescent="0.35">
      <c r="C21" s="40" t="s">
        <v>110</v>
      </c>
      <c r="D21" s="584"/>
      <c r="E21" s="67" t="s">
        <v>119</v>
      </c>
      <c r="F21" s="1"/>
      <c r="G21" s="565" t="s">
        <v>346</v>
      </c>
      <c r="H21" s="565"/>
      <c r="I21" s="565"/>
      <c r="J21" s="565"/>
      <c r="K21" s="565"/>
      <c r="L21" s="565"/>
      <c r="M21" s="565"/>
      <c r="N21" s="565"/>
      <c r="O21" s="565"/>
      <c r="P21" s="565"/>
      <c r="Q21" s="565"/>
      <c r="R21" s="565"/>
      <c r="S21" s="565"/>
      <c r="T21" s="565"/>
    </row>
    <row r="22" spans="3:20" x14ac:dyDescent="0.35">
      <c r="F22" s="1"/>
      <c r="G22" s="565"/>
      <c r="H22" s="565"/>
      <c r="I22" s="565"/>
      <c r="J22" s="565"/>
      <c r="K22" s="565"/>
      <c r="L22" s="565"/>
      <c r="M22" s="565"/>
    </row>
    <row r="23" spans="3:20" x14ac:dyDescent="0.35">
      <c r="F23" s="1"/>
    </row>
    <row r="24" spans="3:20" x14ac:dyDescent="0.35">
      <c r="F24" s="1"/>
    </row>
    <row r="25" spans="3:20" x14ac:dyDescent="0.35">
      <c r="F25" s="1"/>
    </row>
    <row r="26" spans="3:20" x14ac:dyDescent="0.35">
      <c r="F26" s="1"/>
    </row>
    <row r="27" spans="3:20" x14ac:dyDescent="0.35">
      <c r="F27" s="1"/>
    </row>
    <row r="28" spans="3:20" x14ac:dyDescent="0.35">
      <c r="F28" s="1"/>
    </row>
    <row r="29" spans="3:20" x14ac:dyDescent="0.35">
      <c r="F29" s="1"/>
    </row>
    <row r="30" spans="3:20" x14ac:dyDescent="0.35">
      <c r="F30" s="1"/>
    </row>
    <row r="31" spans="3:20" x14ac:dyDescent="0.35">
      <c r="F31" s="1"/>
    </row>
    <row r="32" spans="3:20" x14ac:dyDescent="0.35">
      <c r="F32" s="1"/>
    </row>
    <row r="33" spans="4:20" x14ac:dyDescent="0.35">
      <c r="E33" s="1"/>
      <c r="F33" s="1"/>
    </row>
    <row r="34" spans="4:20" x14ac:dyDescent="0.35">
      <c r="D34" s="1"/>
      <c r="E34" s="1"/>
      <c r="F34" s="1"/>
    </row>
    <row r="35" spans="4:20" x14ac:dyDescent="0.35">
      <c r="D35" s="1"/>
      <c r="E35" s="1"/>
      <c r="F35" s="1"/>
    </row>
    <row r="37" spans="4:20" x14ac:dyDescent="0.35">
      <c r="G37"/>
      <c r="H37"/>
      <c r="I37"/>
      <c r="J37"/>
      <c r="K37"/>
      <c r="L37"/>
      <c r="M37"/>
      <c r="N37"/>
      <c r="O37"/>
      <c r="P37"/>
      <c r="Q37"/>
      <c r="R37"/>
      <c r="S37"/>
      <c r="T37"/>
    </row>
    <row r="38" spans="4:20" x14ac:dyDescent="0.35">
      <c r="G38"/>
      <c r="H38"/>
      <c r="I38"/>
      <c r="J38"/>
      <c r="K38"/>
      <c r="L38"/>
      <c r="M38"/>
      <c r="N38"/>
      <c r="O38"/>
      <c r="P38"/>
      <c r="Q38"/>
      <c r="R38"/>
      <c r="S38"/>
      <c r="T38"/>
    </row>
    <row r="39" spans="4:20" x14ac:dyDescent="0.35">
      <c r="G39"/>
      <c r="H39"/>
      <c r="I39"/>
      <c r="J39"/>
      <c r="K39"/>
      <c r="L39"/>
      <c r="M39"/>
      <c r="N39"/>
      <c r="O39"/>
      <c r="P39"/>
      <c r="Q39"/>
      <c r="R39"/>
      <c r="S39"/>
      <c r="T39"/>
    </row>
    <row r="40" spans="4:20" x14ac:dyDescent="0.35">
      <c r="G40"/>
      <c r="H40"/>
      <c r="I40"/>
      <c r="J40"/>
      <c r="K40"/>
      <c r="L40"/>
      <c r="M40"/>
      <c r="N40"/>
      <c r="O40"/>
      <c r="P40"/>
      <c r="Q40"/>
      <c r="R40"/>
      <c r="S40"/>
      <c r="T40"/>
    </row>
    <row r="41" spans="4:20" x14ac:dyDescent="0.35">
      <c r="G41"/>
      <c r="H41"/>
      <c r="I41"/>
      <c r="J41"/>
      <c r="K41"/>
      <c r="L41"/>
      <c r="M41"/>
      <c r="N41"/>
      <c r="O41"/>
      <c r="P41"/>
      <c r="Q41"/>
      <c r="R41"/>
      <c r="S41"/>
      <c r="T41"/>
    </row>
    <row r="42" spans="4:20" x14ac:dyDescent="0.35">
      <c r="G42"/>
      <c r="H42"/>
      <c r="I42"/>
      <c r="J42"/>
      <c r="K42"/>
      <c r="L42"/>
      <c r="M42"/>
      <c r="N42"/>
      <c r="O42"/>
      <c r="P42"/>
      <c r="Q42"/>
      <c r="R42"/>
      <c r="S42"/>
      <c r="T42"/>
    </row>
  </sheetData>
  <mergeCells count="16">
    <mergeCell ref="G22:M22"/>
    <mergeCell ref="G21:T21"/>
    <mergeCell ref="B10:B13"/>
    <mergeCell ref="D2:D3"/>
    <mergeCell ref="E2:E3"/>
    <mergeCell ref="B7:B9"/>
    <mergeCell ref="B2:C3"/>
    <mergeCell ref="B4:B6"/>
    <mergeCell ref="E4:E6"/>
    <mergeCell ref="D20:D21"/>
    <mergeCell ref="E17:E18"/>
    <mergeCell ref="D11:D13"/>
    <mergeCell ref="E7:E9"/>
    <mergeCell ref="D7:D9"/>
    <mergeCell ref="E10:E13"/>
    <mergeCell ref="D16:D18"/>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B1054-9445-434F-B8C4-4275AFE8E718}">
  <sheetPr codeName="Sheet2"/>
  <dimension ref="B2:X37"/>
  <sheetViews>
    <sheetView zoomScale="90" zoomScaleNormal="90" workbookViewId="0"/>
  </sheetViews>
  <sheetFormatPr defaultColWidth="9.1796875" defaultRowHeight="14.5" x14ac:dyDescent="0.35"/>
  <cols>
    <col min="1" max="1" width="9.1796875" style="1"/>
    <col min="2" max="2" width="10.81640625" style="1" customWidth="1"/>
    <col min="3" max="3" width="68.1796875" style="1" bestFit="1" customWidth="1"/>
    <col min="4" max="4" width="20.54296875" style="2" customWidth="1"/>
    <col min="5" max="5" width="22.81640625" style="2" customWidth="1"/>
    <col min="6" max="6" width="19.54296875" style="2" customWidth="1"/>
    <col min="7" max="7" width="26.54296875" style="2" customWidth="1"/>
    <col min="8" max="8" width="9.1796875" style="1"/>
    <col min="9" max="9" width="9.1796875" style="2" customWidth="1"/>
    <col min="10" max="10" width="27.1796875" style="1" customWidth="1"/>
    <col min="11" max="15" width="9.1796875" style="1"/>
    <col min="16" max="16" width="48.1796875" style="1" bestFit="1" customWidth="1"/>
    <col min="17" max="16384" width="9.1796875" style="1"/>
  </cols>
  <sheetData>
    <row r="2" spans="2:24" ht="14.75" customHeight="1" x14ac:dyDescent="0.35">
      <c r="B2" s="601" t="s">
        <v>8</v>
      </c>
      <c r="C2" s="601"/>
      <c r="D2" s="623" t="s">
        <v>7</v>
      </c>
      <c r="E2" s="624"/>
      <c r="F2" s="625" t="s">
        <v>80</v>
      </c>
      <c r="G2" s="626"/>
      <c r="I2" s="1"/>
      <c r="J2" s="1" t="s">
        <v>79</v>
      </c>
      <c r="L2" s="2"/>
      <c r="M2" s="2"/>
      <c r="N2" s="2"/>
      <c r="P2" s="8" t="s">
        <v>72</v>
      </c>
    </row>
    <row r="3" spans="2:24" ht="14.75" customHeight="1" thickBot="1" x14ac:dyDescent="0.4">
      <c r="B3" s="602"/>
      <c r="C3" s="602"/>
      <c r="D3" s="56" t="s">
        <v>22</v>
      </c>
      <c r="E3" s="57" t="s">
        <v>23</v>
      </c>
      <c r="F3" s="56" t="s">
        <v>22</v>
      </c>
      <c r="G3" s="57" t="s">
        <v>23</v>
      </c>
      <c r="I3" s="1"/>
      <c r="J3" s="10" t="s">
        <v>112</v>
      </c>
      <c r="K3" s="8"/>
      <c r="L3" s="2"/>
      <c r="M3" s="2"/>
      <c r="N3" s="2"/>
    </row>
    <row r="4" spans="2:24" ht="15" thickBot="1" x14ac:dyDescent="0.4">
      <c r="B4" s="603" t="s">
        <v>86</v>
      </c>
      <c r="C4" s="70" t="s">
        <v>89</v>
      </c>
      <c r="D4" s="58" t="s">
        <v>81</v>
      </c>
      <c r="E4" s="58" t="s">
        <v>82</v>
      </c>
      <c r="F4" s="71" t="s">
        <v>108</v>
      </c>
      <c r="G4" s="72" t="s">
        <v>81</v>
      </c>
      <c r="I4" s="1"/>
      <c r="L4" s="2"/>
      <c r="M4" s="2"/>
    </row>
    <row r="5" spans="2:24" x14ac:dyDescent="0.35">
      <c r="B5" s="604"/>
      <c r="C5" s="68" t="s">
        <v>90</v>
      </c>
      <c r="D5" s="536" t="s">
        <v>108</v>
      </c>
      <c r="E5" s="536"/>
      <c r="F5" s="43" t="s">
        <v>85</v>
      </c>
      <c r="G5" s="59" t="s">
        <v>82</v>
      </c>
      <c r="I5" s="1" t="s">
        <v>22</v>
      </c>
      <c r="J5" s="45" t="s">
        <v>19</v>
      </c>
      <c r="K5" s="14" t="s">
        <v>25</v>
      </c>
      <c r="L5" s="15"/>
      <c r="M5" s="16"/>
      <c r="N5" s="16"/>
      <c r="O5" s="16"/>
      <c r="P5" s="16"/>
      <c r="Q5" s="16"/>
      <c r="R5" s="16"/>
      <c r="S5" s="16"/>
      <c r="T5" s="16"/>
      <c r="U5" s="16"/>
      <c r="V5" s="16"/>
      <c r="W5" s="16"/>
      <c r="X5" s="17"/>
    </row>
    <row r="6" spans="2:24" ht="15" thickBot="1" x14ac:dyDescent="0.4">
      <c r="B6" s="605"/>
      <c r="C6" s="69" t="s">
        <v>91</v>
      </c>
      <c r="D6" s="622" t="s">
        <v>108</v>
      </c>
      <c r="E6" s="622"/>
      <c r="F6" s="60" t="s">
        <v>83</v>
      </c>
      <c r="G6" s="61" t="s">
        <v>84</v>
      </c>
      <c r="I6" s="1"/>
      <c r="J6" s="46"/>
      <c r="K6" s="10" t="s">
        <v>27</v>
      </c>
      <c r="L6" s="2"/>
      <c r="X6" s="19"/>
    </row>
    <row r="7" spans="2:24" x14ac:dyDescent="0.35">
      <c r="B7" s="606" t="s">
        <v>87</v>
      </c>
      <c r="C7" s="64" t="s">
        <v>92</v>
      </c>
      <c r="D7" s="627" t="s">
        <v>81</v>
      </c>
      <c r="E7" s="628"/>
      <c r="F7" s="628"/>
      <c r="G7" s="629"/>
      <c r="I7" s="1"/>
      <c r="J7" s="46"/>
      <c r="K7" s="24" t="s">
        <v>29</v>
      </c>
      <c r="L7" s="27"/>
      <c r="M7" s="30"/>
      <c r="N7" s="30"/>
      <c r="O7" s="30"/>
      <c r="P7" s="30"/>
      <c r="Q7" s="30"/>
      <c r="R7" s="30"/>
      <c r="S7" s="30"/>
      <c r="T7" s="30"/>
      <c r="U7" s="30"/>
      <c r="V7" s="30"/>
      <c r="W7" s="30"/>
      <c r="X7" s="31"/>
    </row>
    <row r="8" spans="2:24" x14ac:dyDescent="0.35">
      <c r="B8" s="573"/>
      <c r="C8" s="40" t="s">
        <v>93</v>
      </c>
      <c r="D8" s="630" t="s">
        <v>81</v>
      </c>
      <c r="E8" s="631"/>
      <c r="F8" s="631"/>
      <c r="G8" s="632"/>
      <c r="I8" s="1"/>
      <c r="J8" s="46" t="s">
        <v>18</v>
      </c>
      <c r="K8" s="20" t="s">
        <v>25</v>
      </c>
      <c r="L8" s="2"/>
      <c r="X8" s="19"/>
    </row>
    <row r="9" spans="2:24" ht="15" thickBot="1" x14ac:dyDescent="0.4">
      <c r="B9" s="579"/>
      <c r="C9" s="55" t="s">
        <v>94</v>
      </c>
      <c r="D9" s="633" t="s">
        <v>81</v>
      </c>
      <c r="E9" s="634"/>
      <c r="F9" s="634"/>
      <c r="G9" s="635"/>
      <c r="I9" s="1"/>
      <c r="J9" s="46"/>
      <c r="K9" s="20" t="s">
        <v>21</v>
      </c>
      <c r="L9" s="2"/>
      <c r="X9" s="19"/>
    </row>
    <row r="10" spans="2:24" x14ac:dyDescent="0.35">
      <c r="B10" s="566" t="s">
        <v>88</v>
      </c>
      <c r="C10" s="52" t="s">
        <v>92</v>
      </c>
      <c r="D10" s="607" t="s">
        <v>81</v>
      </c>
      <c r="E10" s="608"/>
      <c r="F10" s="608"/>
      <c r="G10" s="609"/>
      <c r="I10" s="1"/>
      <c r="J10" s="46"/>
      <c r="K10" s="35" t="s">
        <v>60</v>
      </c>
      <c r="L10" s="36"/>
      <c r="M10" s="37"/>
      <c r="N10" s="37"/>
      <c r="O10" s="37"/>
      <c r="P10" s="37"/>
      <c r="Q10" s="37"/>
      <c r="R10" s="37"/>
      <c r="S10" s="37"/>
      <c r="T10" s="37"/>
      <c r="U10" s="37"/>
      <c r="V10" s="37"/>
      <c r="W10" s="37"/>
      <c r="X10" s="38"/>
    </row>
    <row r="11" spans="2:24" x14ac:dyDescent="0.35">
      <c r="B11" s="573"/>
      <c r="C11" s="49" t="s">
        <v>78</v>
      </c>
      <c r="D11" s="610"/>
      <c r="E11" s="611"/>
      <c r="F11" s="611"/>
      <c r="G11" s="612"/>
      <c r="I11" s="1"/>
      <c r="J11" s="46" t="s">
        <v>28</v>
      </c>
      <c r="K11" s="20" t="s">
        <v>30</v>
      </c>
      <c r="L11" s="2"/>
      <c r="X11" s="19"/>
    </row>
    <row r="12" spans="2:24" ht="15" thickBot="1" x14ac:dyDescent="0.4">
      <c r="B12" s="573"/>
      <c r="C12" s="50" t="s">
        <v>77</v>
      </c>
      <c r="D12" s="619" t="s">
        <v>15</v>
      </c>
      <c r="E12" s="586"/>
      <c r="F12" s="613" t="s">
        <v>81</v>
      </c>
      <c r="G12" s="614"/>
      <c r="I12" s="1"/>
      <c r="J12" s="47"/>
      <c r="K12" s="25" t="s">
        <v>57</v>
      </c>
      <c r="L12" s="26"/>
      <c r="M12" s="28"/>
      <c r="N12" s="28"/>
      <c r="O12" s="28"/>
      <c r="P12" s="28"/>
      <c r="Q12" s="28"/>
      <c r="R12" s="28"/>
      <c r="S12" s="28"/>
      <c r="T12" s="28"/>
      <c r="U12" s="28"/>
      <c r="V12" s="28"/>
      <c r="W12" s="28"/>
      <c r="X12" s="29"/>
    </row>
    <row r="13" spans="2:24" x14ac:dyDescent="0.35">
      <c r="B13" s="573"/>
      <c r="C13" s="51" t="s">
        <v>76</v>
      </c>
      <c r="D13" s="620"/>
      <c r="E13" s="587"/>
      <c r="F13" s="615"/>
      <c r="G13" s="616"/>
      <c r="I13" s="1" t="s">
        <v>23</v>
      </c>
      <c r="J13" s="45" t="s">
        <v>19</v>
      </c>
      <c r="K13" s="14" t="s">
        <v>26</v>
      </c>
      <c r="L13" s="15"/>
      <c r="M13" s="16"/>
      <c r="N13" s="16"/>
      <c r="O13" s="16"/>
      <c r="P13" s="16"/>
      <c r="Q13" s="16"/>
      <c r="R13" s="16"/>
      <c r="S13" s="16"/>
      <c r="T13" s="16"/>
      <c r="U13" s="16"/>
      <c r="V13" s="16"/>
      <c r="W13" s="16"/>
      <c r="X13" s="17"/>
    </row>
    <row r="14" spans="2:24" x14ac:dyDescent="0.35">
      <c r="B14" s="573"/>
      <c r="C14" s="51" t="s">
        <v>75</v>
      </c>
      <c r="D14" s="620"/>
      <c r="E14" s="587"/>
      <c r="F14" s="615"/>
      <c r="G14" s="616"/>
      <c r="I14" s="1"/>
      <c r="J14" s="48"/>
      <c r="K14" s="10" t="s">
        <v>132</v>
      </c>
      <c r="L14" s="2"/>
      <c r="X14" s="19"/>
    </row>
    <row r="15" spans="2:24" ht="15" thickBot="1" x14ac:dyDescent="0.4">
      <c r="B15" s="579"/>
      <c r="C15" s="53" t="s">
        <v>74</v>
      </c>
      <c r="D15" s="621"/>
      <c r="E15" s="588"/>
      <c r="F15" s="617"/>
      <c r="G15" s="618"/>
      <c r="I15" s="1"/>
      <c r="J15" s="48"/>
      <c r="K15" s="10" t="s">
        <v>133</v>
      </c>
      <c r="L15" s="2"/>
      <c r="X15" s="19"/>
    </row>
    <row r="16" spans="2:24" x14ac:dyDescent="0.35">
      <c r="C16" s="39" t="s">
        <v>123</v>
      </c>
      <c r="E16" s="1"/>
      <c r="F16" s="1"/>
      <c r="G16" s="1"/>
      <c r="I16" s="1"/>
      <c r="J16" s="48"/>
      <c r="K16" s="24" t="s">
        <v>29</v>
      </c>
      <c r="L16" s="27"/>
      <c r="M16" s="30"/>
      <c r="N16" s="30"/>
      <c r="O16" s="30"/>
      <c r="P16" s="30"/>
      <c r="Q16" s="30"/>
      <c r="R16" s="30"/>
      <c r="S16" s="30"/>
      <c r="T16" s="30"/>
      <c r="U16" s="30"/>
      <c r="V16" s="30"/>
      <c r="W16" s="30"/>
      <c r="X16" s="31"/>
    </row>
    <row r="17" spans="2:24" x14ac:dyDescent="0.35">
      <c r="E17" s="1"/>
      <c r="F17" s="1"/>
      <c r="G17" s="1"/>
      <c r="I17" s="1"/>
      <c r="J17" s="46" t="s">
        <v>18</v>
      </c>
      <c r="K17" s="20" t="s">
        <v>26</v>
      </c>
      <c r="L17" s="2"/>
      <c r="X17" s="19"/>
    </row>
    <row r="18" spans="2:24" x14ac:dyDescent="0.35">
      <c r="B18" s="1" t="s">
        <v>95</v>
      </c>
      <c r="C18" s="62" t="s">
        <v>114</v>
      </c>
      <c r="E18" s="1"/>
      <c r="F18" s="1"/>
      <c r="I18" s="1"/>
      <c r="J18" s="46"/>
      <c r="K18" s="20" t="s">
        <v>136</v>
      </c>
      <c r="L18" s="2"/>
      <c r="X18" s="19"/>
    </row>
    <row r="19" spans="2:24" x14ac:dyDescent="0.35">
      <c r="C19" s="1" t="s">
        <v>101</v>
      </c>
      <c r="D19" s="63">
        <v>2025</v>
      </c>
      <c r="E19" s="1" t="s">
        <v>97</v>
      </c>
      <c r="F19" s="1"/>
      <c r="I19" s="1"/>
      <c r="J19" s="48"/>
      <c r="K19" s="20" t="s">
        <v>134</v>
      </c>
      <c r="L19" s="2"/>
      <c r="X19" s="19"/>
    </row>
    <row r="20" spans="2:24" x14ac:dyDescent="0.35">
      <c r="C20" s="1" t="s">
        <v>102</v>
      </c>
      <c r="D20" s="2">
        <v>2026</v>
      </c>
      <c r="E20" s="1" t="s">
        <v>96</v>
      </c>
      <c r="F20" s="1"/>
      <c r="I20" s="1"/>
      <c r="J20" s="48"/>
      <c r="K20" s="24" t="s">
        <v>29</v>
      </c>
      <c r="L20" s="27"/>
      <c r="M20" s="30"/>
      <c r="N20" s="30"/>
      <c r="O20" s="30"/>
      <c r="P20" s="30"/>
      <c r="Q20" s="30"/>
      <c r="R20" s="30"/>
      <c r="S20" s="30"/>
      <c r="T20" s="30"/>
      <c r="U20" s="30"/>
      <c r="V20" s="30"/>
      <c r="W20" s="30"/>
      <c r="X20" s="31"/>
    </row>
    <row r="21" spans="2:24" x14ac:dyDescent="0.35">
      <c r="E21" s="1"/>
      <c r="F21" s="1"/>
      <c r="I21" s="1"/>
      <c r="J21" s="46" t="s">
        <v>28</v>
      </c>
      <c r="K21" s="20" t="s">
        <v>130</v>
      </c>
      <c r="L21" s="2"/>
      <c r="X21" s="19"/>
    </row>
    <row r="22" spans="2:24" ht="15" thickBot="1" x14ac:dyDescent="0.4">
      <c r="C22" s="62" t="s">
        <v>115</v>
      </c>
      <c r="E22" s="1"/>
      <c r="F22" s="1"/>
      <c r="G22" s="1"/>
      <c r="I22" s="1"/>
      <c r="J22" s="21"/>
      <c r="K22" s="25" t="s">
        <v>58</v>
      </c>
      <c r="L22" s="26"/>
      <c r="M22" s="28"/>
      <c r="N22" s="28"/>
      <c r="O22" s="28"/>
      <c r="P22" s="28"/>
      <c r="Q22" s="28"/>
      <c r="R22" s="28"/>
      <c r="S22" s="28"/>
      <c r="T22" s="28"/>
      <c r="U22" s="28"/>
      <c r="V22" s="28"/>
      <c r="W22" s="28"/>
      <c r="X22" s="29"/>
    </row>
    <row r="23" spans="2:24" x14ac:dyDescent="0.35">
      <c r="C23" s="1" t="s">
        <v>116</v>
      </c>
      <c r="D23" s="63">
        <v>2025</v>
      </c>
      <c r="E23" s="1" t="s">
        <v>103</v>
      </c>
      <c r="F23" s="1"/>
      <c r="G23" s="1"/>
      <c r="I23" s="1"/>
    </row>
    <row r="24" spans="2:24" x14ac:dyDescent="0.35">
      <c r="C24" s="1" t="s">
        <v>109</v>
      </c>
      <c r="D24" s="2">
        <v>2026</v>
      </c>
      <c r="E24" s="1" t="s">
        <v>97</v>
      </c>
      <c r="F24" s="1"/>
      <c r="G24" s="1"/>
      <c r="I24" s="1"/>
    </row>
    <row r="25" spans="2:24" x14ac:dyDescent="0.35">
      <c r="C25" s="1" t="s">
        <v>106</v>
      </c>
      <c r="D25" s="2">
        <v>2026</v>
      </c>
      <c r="E25" s="1" t="s">
        <v>107</v>
      </c>
      <c r="F25" s="1"/>
      <c r="G25" s="1"/>
      <c r="I25" s="1"/>
    </row>
    <row r="26" spans="2:24" x14ac:dyDescent="0.35">
      <c r="C26" s="1" t="s">
        <v>102</v>
      </c>
      <c r="D26" s="2">
        <v>2026</v>
      </c>
      <c r="E26" s="1" t="s">
        <v>104</v>
      </c>
      <c r="F26" s="1"/>
      <c r="G26" s="1"/>
      <c r="I26" s="1"/>
    </row>
    <row r="27" spans="2:24" x14ac:dyDescent="0.35">
      <c r="E27" s="1"/>
      <c r="F27" s="1"/>
      <c r="G27" s="1"/>
      <c r="I27" s="1"/>
    </row>
    <row r="28" spans="2:24" x14ac:dyDescent="0.35">
      <c r="C28" s="62" t="s">
        <v>105</v>
      </c>
      <c r="E28" s="1"/>
      <c r="F28" s="1"/>
      <c r="G28" s="1"/>
      <c r="I28" s="1"/>
    </row>
    <row r="29" spans="2:24" x14ac:dyDescent="0.35">
      <c r="C29" s="1" t="s">
        <v>100</v>
      </c>
      <c r="D29" s="63">
        <v>2025</v>
      </c>
      <c r="E29" s="1" t="s">
        <v>99</v>
      </c>
      <c r="F29" s="1"/>
      <c r="G29" s="1"/>
      <c r="I29" s="1"/>
    </row>
    <row r="30" spans="2:24" x14ac:dyDescent="0.35">
      <c r="C30" s="1" t="s">
        <v>113</v>
      </c>
      <c r="D30" s="63">
        <v>2025</v>
      </c>
      <c r="E30" s="1" t="s">
        <v>97</v>
      </c>
      <c r="I30" s="1"/>
    </row>
    <row r="31" spans="2:24" x14ac:dyDescent="0.35">
      <c r="C31" s="37" t="s">
        <v>111</v>
      </c>
      <c r="D31" s="36">
        <v>2026</v>
      </c>
      <c r="E31" s="37" t="s">
        <v>99</v>
      </c>
      <c r="F31" s="37"/>
      <c r="G31" s="37"/>
      <c r="I31" s="1"/>
    </row>
    <row r="32" spans="2:24" x14ac:dyDescent="0.35">
      <c r="C32" s="1" t="s">
        <v>110</v>
      </c>
      <c r="D32" s="2">
        <v>2026</v>
      </c>
      <c r="E32" s="1" t="s">
        <v>98</v>
      </c>
      <c r="F32" s="1"/>
      <c r="G32" s="1"/>
      <c r="I32" s="1"/>
    </row>
    <row r="33" spans="4:9" x14ac:dyDescent="0.35">
      <c r="F33" s="1"/>
      <c r="G33" s="1"/>
      <c r="I33" s="1"/>
    </row>
    <row r="34" spans="4:9" x14ac:dyDescent="0.35">
      <c r="F34" s="1"/>
      <c r="G34" s="1"/>
      <c r="I34" s="1"/>
    </row>
    <row r="35" spans="4:9" x14ac:dyDescent="0.35">
      <c r="E35" s="1"/>
      <c r="F35" s="1"/>
      <c r="G35" s="1"/>
      <c r="I35" s="1"/>
    </row>
    <row r="36" spans="4:9" x14ac:dyDescent="0.35">
      <c r="D36" s="1"/>
      <c r="E36" s="1"/>
      <c r="F36" s="1"/>
      <c r="G36" s="1"/>
      <c r="I36" s="1"/>
    </row>
    <row r="37" spans="4:9" x14ac:dyDescent="0.35">
      <c r="D37" s="1"/>
      <c r="E37" s="1"/>
      <c r="F37" s="1"/>
      <c r="G37" s="1"/>
      <c r="I37" s="1"/>
    </row>
  </sheetData>
  <mergeCells count="14">
    <mergeCell ref="B2:C3"/>
    <mergeCell ref="B4:B6"/>
    <mergeCell ref="B10:B15"/>
    <mergeCell ref="B7:B9"/>
    <mergeCell ref="D10:G11"/>
    <mergeCell ref="F12:G15"/>
    <mergeCell ref="D12:E15"/>
    <mergeCell ref="D6:E6"/>
    <mergeCell ref="D5:E5"/>
    <mergeCell ref="D2:E2"/>
    <mergeCell ref="F2:G2"/>
    <mergeCell ref="D7:G7"/>
    <mergeCell ref="D8:G8"/>
    <mergeCell ref="D9:G9"/>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6251E-9A23-4E00-B427-42544FA8AA6F}">
  <sheetPr codeName="Sheet3"/>
  <dimension ref="B2:R36"/>
  <sheetViews>
    <sheetView zoomScale="90" zoomScaleNormal="90" workbookViewId="0"/>
  </sheetViews>
  <sheetFormatPr defaultColWidth="9.1796875" defaultRowHeight="14.5" x14ac:dyDescent="0.35"/>
  <cols>
    <col min="1" max="1" width="9.1796875" style="1"/>
    <col min="2" max="2" width="69.54296875" style="1" bestFit="1" customWidth="1"/>
    <col min="3" max="3" width="20" style="2" customWidth="1"/>
    <col min="4" max="4" width="26.81640625" style="2" bestFit="1" customWidth="1"/>
    <col min="5" max="6" width="19.81640625" style="2" customWidth="1"/>
    <col min="7" max="16384" width="9.1796875" style="1"/>
  </cols>
  <sheetData>
    <row r="2" spans="2:6" x14ac:dyDescent="0.35">
      <c r="B2" s="601" t="s">
        <v>8</v>
      </c>
      <c r="C2" s="637" t="s">
        <v>7</v>
      </c>
      <c r="D2" s="625">
        <v>46203</v>
      </c>
      <c r="E2" s="636"/>
      <c r="F2" s="626"/>
    </row>
    <row r="3" spans="2:6" x14ac:dyDescent="0.35">
      <c r="B3" s="601"/>
      <c r="C3" s="637"/>
      <c r="D3" s="7" t="s">
        <v>6</v>
      </c>
      <c r="E3" s="7" t="s">
        <v>5</v>
      </c>
      <c r="F3" s="7" t="s">
        <v>9</v>
      </c>
    </row>
    <row r="4" spans="2:6" ht="32.25" customHeight="1" x14ac:dyDescent="0.35">
      <c r="B4" s="40" t="s">
        <v>0</v>
      </c>
      <c r="C4" s="41" t="s">
        <v>73</v>
      </c>
      <c r="D4" s="43"/>
      <c r="E4" s="43"/>
      <c r="F4" s="42" t="s">
        <v>11</v>
      </c>
    </row>
    <row r="5" spans="2:6" ht="32.25" customHeight="1" x14ac:dyDescent="0.35">
      <c r="B5" s="40" t="s">
        <v>1</v>
      </c>
      <c r="C5" s="43"/>
      <c r="D5" s="43" t="s">
        <v>68</v>
      </c>
      <c r="E5" s="43" t="s">
        <v>67</v>
      </c>
      <c r="F5" s="41" t="s">
        <v>12</v>
      </c>
    </row>
    <row r="6" spans="2:6" ht="32.25" customHeight="1" x14ac:dyDescent="0.35">
      <c r="B6" s="40" t="s">
        <v>69</v>
      </c>
      <c r="C6" s="9" t="s">
        <v>15</v>
      </c>
      <c r="D6" s="42" t="s">
        <v>14</v>
      </c>
      <c r="E6" s="41" t="s">
        <v>12</v>
      </c>
      <c r="F6" s="42"/>
    </row>
    <row r="7" spans="2:6" ht="32.25" customHeight="1" x14ac:dyDescent="0.35">
      <c r="B7" s="3" t="s">
        <v>2</v>
      </c>
      <c r="C7" s="4" t="s">
        <v>13</v>
      </c>
      <c r="D7" s="6" t="s">
        <v>10</v>
      </c>
      <c r="E7" s="5"/>
      <c r="F7" s="5"/>
    </row>
    <row r="8" spans="2:6" ht="32.25" customHeight="1" x14ac:dyDescent="0.35">
      <c r="B8" s="3" t="s">
        <v>3</v>
      </c>
      <c r="C8" s="4" t="s">
        <v>13</v>
      </c>
      <c r="D8" s="6" t="s">
        <v>10</v>
      </c>
      <c r="E8" s="5"/>
      <c r="F8" s="5"/>
    </row>
    <row r="9" spans="2:6" ht="32.25" customHeight="1" x14ac:dyDescent="0.35">
      <c r="B9" s="3" t="s">
        <v>4</v>
      </c>
      <c r="C9" s="4" t="s">
        <v>13</v>
      </c>
      <c r="D9" s="6" t="s">
        <v>10</v>
      </c>
      <c r="E9" s="5"/>
      <c r="F9" s="5"/>
    </row>
    <row r="10" spans="2:6" ht="38.75" customHeight="1" x14ac:dyDescent="0.35">
      <c r="B10" s="44" t="s">
        <v>65</v>
      </c>
      <c r="C10" s="42" t="s">
        <v>13</v>
      </c>
      <c r="D10" s="42" t="s">
        <v>14</v>
      </c>
      <c r="E10" s="42" t="s">
        <v>12</v>
      </c>
      <c r="F10" s="42" t="s">
        <v>11</v>
      </c>
    </row>
    <row r="11" spans="2:6" ht="65.25" customHeight="1" x14ac:dyDescent="0.35">
      <c r="B11" s="44" t="s">
        <v>66</v>
      </c>
      <c r="C11" s="9" t="s">
        <v>15</v>
      </c>
      <c r="D11" s="43">
        <v>3</v>
      </c>
      <c r="E11" s="42" t="s">
        <v>12</v>
      </c>
      <c r="F11" s="42" t="s">
        <v>11</v>
      </c>
    </row>
    <row r="12" spans="2:6" x14ac:dyDescent="0.35">
      <c r="B12" s="39" t="s">
        <v>123</v>
      </c>
    </row>
    <row r="14" spans="2:6" x14ac:dyDescent="0.35">
      <c r="B14" s="1" t="s">
        <v>64</v>
      </c>
      <c r="C14" s="8" t="s">
        <v>70</v>
      </c>
    </row>
    <row r="15" spans="2:6" x14ac:dyDescent="0.35">
      <c r="B15" s="1" t="s">
        <v>61</v>
      </c>
      <c r="C15" s="8" t="s">
        <v>71</v>
      </c>
    </row>
    <row r="16" spans="2:6" x14ac:dyDescent="0.35">
      <c r="B16" s="10" t="s">
        <v>63</v>
      </c>
      <c r="C16" s="10" t="s">
        <v>17</v>
      </c>
    </row>
    <row r="17" spans="2:18" x14ac:dyDescent="0.35">
      <c r="B17" s="1" t="s">
        <v>62</v>
      </c>
      <c r="C17" s="8" t="s">
        <v>72</v>
      </c>
    </row>
    <row r="18" spans="2:18" ht="15" thickBot="1" x14ac:dyDescent="0.4">
      <c r="B18" s="10" t="s">
        <v>16</v>
      </c>
      <c r="C18" s="10" t="s">
        <v>17</v>
      </c>
      <c r="D18" s="11"/>
    </row>
    <row r="19" spans="2:18" x14ac:dyDescent="0.35">
      <c r="C19" s="12" t="s">
        <v>22</v>
      </c>
      <c r="D19" s="13" t="s">
        <v>19</v>
      </c>
      <c r="E19" s="14" t="s">
        <v>25</v>
      </c>
      <c r="F19" s="15"/>
      <c r="G19" s="16"/>
      <c r="H19" s="16"/>
      <c r="I19" s="16"/>
      <c r="J19" s="16"/>
      <c r="K19" s="16"/>
      <c r="L19" s="16"/>
      <c r="M19" s="16"/>
      <c r="N19" s="16"/>
      <c r="O19" s="16"/>
      <c r="P19" s="16"/>
      <c r="Q19" s="16"/>
      <c r="R19" s="17"/>
    </row>
    <row r="20" spans="2:18" x14ac:dyDescent="0.35">
      <c r="C20" s="18"/>
      <c r="D20" s="10"/>
      <c r="E20" s="10" t="s">
        <v>27</v>
      </c>
      <c r="R20" s="19"/>
    </row>
    <row r="21" spans="2:18" x14ac:dyDescent="0.35">
      <c r="C21" s="18"/>
      <c r="D21" s="10"/>
      <c r="E21" s="24" t="s">
        <v>29</v>
      </c>
      <c r="F21" s="27"/>
      <c r="G21" s="30"/>
      <c r="H21" s="30"/>
      <c r="I21" s="30"/>
      <c r="J21" s="30"/>
      <c r="K21" s="30"/>
      <c r="L21" s="30"/>
      <c r="M21" s="30"/>
      <c r="N21" s="30"/>
      <c r="O21" s="30"/>
      <c r="P21" s="30"/>
      <c r="Q21" s="30"/>
      <c r="R21" s="31"/>
    </row>
    <row r="22" spans="2:18" x14ac:dyDescent="0.35">
      <c r="C22" s="18"/>
      <c r="D22" s="10" t="s">
        <v>18</v>
      </c>
      <c r="E22" s="20" t="s">
        <v>20</v>
      </c>
      <c r="R22" s="19"/>
    </row>
    <row r="23" spans="2:18" x14ac:dyDescent="0.35">
      <c r="C23" s="18"/>
      <c r="D23" s="10"/>
      <c r="E23" s="20" t="s">
        <v>21</v>
      </c>
      <c r="R23" s="19"/>
    </row>
    <row r="24" spans="2:18" x14ac:dyDescent="0.35">
      <c r="C24" s="18"/>
      <c r="D24" s="10"/>
      <c r="E24" s="35" t="s">
        <v>60</v>
      </c>
      <c r="F24" s="36"/>
      <c r="G24" s="37"/>
      <c r="H24" s="37"/>
      <c r="I24" s="37"/>
      <c r="J24" s="37"/>
      <c r="K24" s="37"/>
      <c r="L24" s="37"/>
      <c r="M24" s="37"/>
      <c r="N24" s="37"/>
      <c r="O24" s="37"/>
      <c r="P24" s="37"/>
      <c r="Q24" s="37"/>
      <c r="R24" s="38"/>
    </row>
    <row r="25" spans="2:18" x14ac:dyDescent="0.35">
      <c r="C25" s="18"/>
      <c r="D25" s="10" t="s">
        <v>28</v>
      </c>
      <c r="E25" s="20" t="s">
        <v>30</v>
      </c>
      <c r="R25" s="19"/>
    </row>
    <row r="26" spans="2:18" ht="15" thickBot="1" x14ac:dyDescent="0.4">
      <c r="C26" s="21"/>
      <c r="D26" s="22"/>
      <c r="E26" s="25" t="s">
        <v>57</v>
      </c>
      <c r="F26" s="26"/>
      <c r="G26" s="28"/>
      <c r="H26" s="28"/>
      <c r="I26" s="28"/>
      <c r="J26" s="28"/>
      <c r="K26" s="28"/>
      <c r="L26" s="28"/>
      <c r="M26" s="28"/>
      <c r="N26" s="28"/>
      <c r="O26" s="28"/>
      <c r="P26" s="28"/>
      <c r="Q26" s="28"/>
      <c r="R26" s="29"/>
    </row>
    <row r="27" spans="2:18" x14ac:dyDescent="0.35">
      <c r="C27" s="12" t="s">
        <v>23</v>
      </c>
      <c r="D27" s="13" t="s">
        <v>19</v>
      </c>
      <c r="E27" s="14" t="s">
        <v>26</v>
      </c>
      <c r="F27" s="15"/>
      <c r="G27" s="16"/>
      <c r="H27" s="16"/>
      <c r="I27" s="16"/>
      <c r="J27" s="16"/>
      <c r="K27" s="16"/>
      <c r="L27" s="16"/>
      <c r="M27" s="16"/>
      <c r="N27" s="16"/>
      <c r="O27" s="16"/>
      <c r="P27" s="16"/>
      <c r="Q27" s="16"/>
      <c r="R27" s="17"/>
    </row>
    <row r="28" spans="2:18" x14ac:dyDescent="0.35">
      <c r="C28" s="18"/>
      <c r="D28" s="1"/>
      <c r="E28" s="10" t="s">
        <v>132</v>
      </c>
      <c r="R28" s="19"/>
    </row>
    <row r="29" spans="2:18" x14ac:dyDescent="0.35">
      <c r="C29" s="18"/>
      <c r="D29" s="1"/>
      <c r="E29" s="10" t="s">
        <v>133</v>
      </c>
      <c r="R29" s="19"/>
    </row>
    <row r="30" spans="2:18" x14ac:dyDescent="0.35">
      <c r="C30" s="18"/>
      <c r="D30" s="1"/>
      <c r="E30" s="24" t="s">
        <v>29</v>
      </c>
      <c r="F30" s="27"/>
      <c r="G30" s="30"/>
      <c r="H30" s="30"/>
      <c r="I30" s="30"/>
      <c r="J30" s="30"/>
      <c r="K30" s="30"/>
      <c r="L30" s="30"/>
      <c r="M30" s="30"/>
      <c r="N30" s="30"/>
      <c r="O30" s="30"/>
      <c r="P30" s="30"/>
      <c r="Q30" s="30"/>
      <c r="R30" s="31"/>
    </row>
    <row r="31" spans="2:18" x14ac:dyDescent="0.35">
      <c r="C31" s="18"/>
      <c r="D31" s="10" t="s">
        <v>18</v>
      </c>
      <c r="E31" s="20" t="s">
        <v>24</v>
      </c>
      <c r="R31" s="19"/>
    </row>
    <row r="32" spans="2:18" x14ac:dyDescent="0.35">
      <c r="C32" s="18"/>
      <c r="D32" s="10"/>
      <c r="E32" s="20" t="s">
        <v>136</v>
      </c>
      <c r="R32" s="19"/>
    </row>
    <row r="33" spans="3:18" x14ac:dyDescent="0.35">
      <c r="C33" s="18"/>
      <c r="D33" s="1"/>
      <c r="E33" s="20" t="s">
        <v>134</v>
      </c>
      <c r="R33" s="19"/>
    </row>
    <row r="34" spans="3:18" x14ac:dyDescent="0.35">
      <c r="C34" s="18"/>
      <c r="D34" s="1"/>
      <c r="E34" s="24" t="s">
        <v>29</v>
      </c>
      <c r="F34" s="27"/>
      <c r="G34" s="30"/>
      <c r="H34" s="30"/>
      <c r="I34" s="30"/>
      <c r="J34" s="30"/>
      <c r="K34" s="30"/>
      <c r="L34" s="30"/>
      <c r="M34" s="30"/>
      <c r="N34" s="30"/>
      <c r="O34" s="30"/>
      <c r="P34" s="30"/>
      <c r="Q34" s="30"/>
      <c r="R34" s="31"/>
    </row>
    <row r="35" spans="3:18" x14ac:dyDescent="0.35">
      <c r="C35" s="18"/>
      <c r="D35" s="10" t="s">
        <v>28</v>
      </c>
      <c r="E35" s="20" t="s">
        <v>130</v>
      </c>
      <c r="R35" s="19"/>
    </row>
    <row r="36" spans="3:18" ht="15" thickBot="1" x14ac:dyDescent="0.4">
      <c r="C36" s="21"/>
      <c r="D36" s="23"/>
      <c r="E36" s="25" t="s">
        <v>58</v>
      </c>
      <c r="F36" s="26"/>
      <c r="G36" s="28"/>
      <c r="H36" s="28"/>
      <c r="I36" s="28"/>
      <c r="J36" s="28"/>
      <c r="K36" s="28"/>
      <c r="L36" s="28"/>
      <c r="M36" s="28"/>
      <c r="N36" s="28"/>
      <c r="O36" s="28"/>
      <c r="P36" s="28"/>
      <c r="Q36" s="28"/>
      <c r="R36" s="29"/>
    </row>
  </sheetData>
  <mergeCells count="3">
    <mergeCell ref="D2:F2"/>
    <mergeCell ref="C2:C3"/>
    <mergeCell ref="B2:B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40F0-B576-4388-89D1-59A295AF1790}">
  <dimension ref="A1:XFD84"/>
  <sheetViews>
    <sheetView zoomScale="80" zoomScaleNormal="80" workbookViewId="0">
      <pane ySplit="4" topLeftCell="A30" activePane="bottomLeft" state="frozen"/>
      <selection pane="bottomLeft" activeCell="K44" sqref="K44"/>
    </sheetView>
  </sheetViews>
  <sheetFormatPr defaultRowHeight="14.5" x14ac:dyDescent="0.35"/>
  <cols>
    <col min="1" max="1" width="12" customWidth="1"/>
    <col min="2" max="2" width="10.54296875" customWidth="1"/>
    <col min="3" max="3" width="9.453125" customWidth="1"/>
    <col min="8" max="8" width="20.54296875" customWidth="1"/>
    <col min="9" max="9" width="22.54296875" customWidth="1"/>
    <col min="10" max="10" width="17.81640625" customWidth="1"/>
    <col min="12" max="12" width="17.54296875" customWidth="1"/>
    <col min="13" max="13" width="11.453125" customWidth="1"/>
    <col min="15" max="15" width="10" customWidth="1"/>
    <col min="16" max="16" width="11.1796875" customWidth="1"/>
  </cols>
  <sheetData>
    <row r="1" spans="1:35" x14ac:dyDescent="0.35">
      <c r="A1" s="62" t="s">
        <v>653</v>
      </c>
      <c r="B1" s="1"/>
      <c r="C1" s="1"/>
      <c r="D1" s="1"/>
      <c r="E1" s="1"/>
      <c r="F1" s="1"/>
      <c r="G1" s="1"/>
      <c r="H1" s="1"/>
      <c r="I1" s="1"/>
      <c r="J1" s="1"/>
      <c r="K1" s="1"/>
      <c r="L1" s="1"/>
      <c r="M1" s="1"/>
      <c r="N1" s="37"/>
      <c r="O1" s="1" t="s">
        <v>86</v>
      </c>
      <c r="P1" s="1"/>
      <c r="Q1" s="1"/>
      <c r="R1" s="1"/>
      <c r="S1" s="1"/>
      <c r="T1" s="1"/>
      <c r="U1" s="1"/>
      <c r="V1" s="1"/>
      <c r="W1" s="1"/>
      <c r="X1" s="1"/>
      <c r="Y1" s="1"/>
      <c r="Z1" s="1"/>
      <c r="AA1" s="1"/>
      <c r="AB1" s="1"/>
      <c r="AC1" s="1"/>
      <c r="AD1" s="1"/>
      <c r="AE1" s="1"/>
      <c r="AF1" s="1"/>
      <c r="AG1" s="1"/>
      <c r="AH1" s="1"/>
      <c r="AI1" s="1"/>
    </row>
    <row r="2" spans="1:35" x14ac:dyDescent="0.35">
      <c r="A2" s="1"/>
      <c r="B2" s="1" t="s">
        <v>675</v>
      </c>
      <c r="C2" s="1"/>
      <c r="D2" s="1"/>
      <c r="E2" s="1"/>
      <c r="F2" s="1"/>
      <c r="G2" s="1"/>
      <c r="H2" s="1"/>
      <c r="I2" s="1"/>
      <c r="J2" s="1"/>
      <c r="K2" s="1"/>
      <c r="L2" s="1"/>
      <c r="M2" s="1"/>
      <c r="N2" s="84"/>
      <c r="O2" s="1" t="s">
        <v>717</v>
      </c>
      <c r="P2" s="1"/>
      <c r="Q2" s="1"/>
      <c r="R2" s="1"/>
      <c r="S2" s="1"/>
      <c r="T2" s="1"/>
      <c r="U2" s="1"/>
      <c r="V2" s="1"/>
      <c r="W2" s="1"/>
      <c r="X2" s="1"/>
      <c r="Y2" s="1"/>
      <c r="Z2" s="1"/>
      <c r="AA2" s="1"/>
      <c r="AB2" s="1"/>
      <c r="AC2" s="1"/>
      <c r="AD2" s="1"/>
      <c r="AE2" s="1"/>
      <c r="AF2" s="1"/>
      <c r="AG2" s="1"/>
      <c r="AH2" s="1"/>
      <c r="AI2" s="1"/>
    </row>
    <row r="3" spans="1:35" x14ac:dyDescent="0.35">
      <c r="A3" s="1"/>
      <c r="B3" s="1"/>
      <c r="C3" s="371" t="s">
        <v>673</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x14ac:dyDescent="0.35">
      <c r="A4" s="1"/>
      <c r="B4" s="1"/>
      <c r="C4" s="1" t="s">
        <v>674</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x14ac:dyDescent="0.35">
      <c r="A5" s="1"/>
      <c r="B5" s="1" t="s">
        <v>699</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x14ac:dyDescent="0.35">
      <c r="A6" s="1"/>
      <c r="B6" s="1"/>
      <c r="C6" t="s">
        <v>698</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row>
    <row r="7" spans="1:35" x14ac:dyDescent="0.35">
      <c r="A7" s="1"/>
      <c r="B7" s="1"/>
      <c r="C7" s="368" t="s">
        <v>659</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row>
    <row r="8" spans="1:35" x14ac:dyDescent="0.35">
      <c r="A8" s="1"/>
      <c r="B8" s="1"/>
      <c r="C8" s="368" t="s">
        <v>664</v>
      </c>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row>
    <row r="9" spans="1:35" x14ac:dyDescent="0.35">
      <c r="A9" s="1"/>
      <c r="B9" s="1"/>
      <c r="C9" s="368"/>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row>
    <row r="10" spans="1:35" ht="204.65" customHeight="1" x14ac:dyDescent="0.35">
      <c r="A10" s="1"/>
      <c r="B10" s="1"/>
      <c r="D10" s="638" t="s">
        <v>700</v>
      </c>
      <c r="E10" s="639"/>
      <c r="F10" s="639"/>
      <c r="G10" s="640"/>
      <c r="I10" s="638" t="s">
        <v>701</v>
      </c>
      <c r="J10" s="639"/>
      <c r="K10" s="640"/>
      <c r="M10" s="641" t="s">
        <v>711</v>
      </c>
      <c r="N10" s="642"/>
      <c r="O10" s="642"/>
      <c r="P10" s="642"/>
      <c r="Q10" s="642"/>
      <c r="S10" s="1"/>
      <c r="T10" s="1"/>
      <c r="U10" s="1"/>
      <c r="V10" s="1"/>
      <c r="W10" s="1"/>
      <c r="X10" s="1"/>
      <c r="Y10" s="1"/>
      <c r="Z10" s="1"/>
      <c r="AA10" s="1"/>
      <c r="AB10" s="1"/>
      <c r="AC10" s="1"/>
      <c r="AD10" s="1"/>
      <c r="AE10" s="1"/>
      <c r="AF10" s="1"/>
      <c r="AG10" s="1"/>
      <c r="AH10" s="1"/>
      <c r="AI10" s="1"/>
    </row>
    <row r="11" spans="1:35" x14ac:dyDescent="0.35">
      <c r="A11" s="1"/>
      <c r="B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row>
    <row r="12" spans="1:35" x14ac:dyDescent="0.35">
      <c r="A12" s="385" t="s">
        <v>654</v>
      </c>
      <c r="B12" s="377"/>
      <c r="C12" s="377"/>
      <c r="D12" s="377"/>
      <c r="E12" s="378"/>
      <c r="F12" s="378"/>
      <c r="G12" s="378"/>
      <c r="H12" s="378"/>
      <c r="I12" s="378"/>
      <c r="J12" s="378"/>
      <c r="K12" s="378"/>
      <c r="L12" s="378"/>
      <c r="M12" s="378"/>
      <c r="N12" s="378"/>
      <c r="O12" s="378"/>
      <c r="P12" s="378"/>
      <c r="Q12" s="378"/>
      <c r="R12" s="378"/>
      <c r="S12" s="378"/>
      <c r="T12" s="378"/>
      <c r="U12" s="378"/>
      <c r="V12" s="378"/>
      <c r="W12" s="378"/>
      <c r="X12" s="378"/>
      <c r="Y12" s="378"/>
      <c r="Z12" s="378"/>
      <c r="AA12" s="378"/>
      <c r="AB12" s="378"/>
      <c r="AC12" s="378"/>
      <c r="AD12" s="378"/>
      <c r="AE12" s="1"/>
      <c r="AF12" s="1"/>
      <c r="AG12" s="1"/>
      <c r="AH12" s="1"/>
      <c r="AI12" s="1"/>
    </row>
    <row r="13" spans="1:35" s="383" customFormat="1" x14ac:dyDescent="0.35">
      <c r="A13" s="386">
        <v>0</v>
      </c>
      <c r="B13" s="383" t="s">
        <v>713</v>
      </c>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row>
    <row r="14" spans="1:35" s="383" customFormat="1" x14ac:dyDescent="0.35">
      <c r="A14" s="387"/>
      <c r="E14" s="371"/>
      <c r="F14" s="371"/>
      <c r="G14" s="371"/>
      <c r="H14" s="371"/>
      <c r="I14" s="371"/>
      <c r="J14" s="371"/>
      <c r="K14" s="371"/>
      <c r="L14" s="371"/>
      <c r="M14" s="371"/>
      <c r="N14" s="371"/>
      <c r="O14" s="371"/>
      <c r="P14" s="371"/>
      <c r="Q14" s="371"/>
      <c r="R14" s="371"/>
      <c r="S14" s="371"/>
      <c r="T14" s="371"/>
      <c r="U14" s="371"/>
      <c r="V14" s="371"/>
      <c r="W14" s="371"/>
      <c r="X14" s="371"/>
      <c r="Y14" s="371"/>
      <c r="Z14" s="371"/>
      <c r="AA14" s="371"/>
      <c r="AB14" s="371"/>
      <c r="AC14" s="371"/>
      <c r="AD14" s="371"/>
      <c r="AE14" s="371"/>
      <c r="AF14" s="371"/>
      <c r="AG14" s="371"/>
      <c r="AH14" s="371"/>
      <c r="AI14" s="371"/>
    </row>
    <row r="15" spans="1:35" s="383" customFormat="1" x14ac:dyDescent="0.35">
      <c r="A15" s="386">
        <v>1</v>
      </c>
      <c r="B15" s="383" t="s">
        <v>710</v>
      </c>
      <c r="E15" s="371"/>
      <c r="F15" s="371"/>
      <c r="G15" s="371"/>
      <c r="H15" s="371"/>
      <c r="I15" s="371"/>
      <c r="J15" s="371"/>
      <c r="K15" s="371"/>
      <c r="L15" s="371"/>
      <c r="M15" s="371"/>
      <c r="N15" s="371"/>
      <c r="O15" s="371"/>
      <c r="P15" s="371"/>
      <c r="Q15" s="371"/>
      <c r="R15" s="371"/>
      <c r="S15" s="371"/>
      <c r="T15" s="371"/>
      <c r="U15" s="371"/>
      <c r="V15" s="371"/>
      <c r="W15" s="371"/>
      <c r="X15" s="371"/>
      <c r="Y15" s="371"/>
      <c r="Z15" s="371"/>
      <c r="AA15" s="371"/>
      <c r="AB15" s="371"/>
      <c r="AC15" s="371"/>
      <c r="AD15" s="371"/>
      <c r="AE15" s="371"/>
      <c r="AF15" s="371"/>
      <c r="AG15" s="371"/>
      <c r="AH15" s="371"/>
      <c r="AI15" s="371"/>
    </row>
    <row r="16" spans="1:35" s="383" customFormat="1" x14ac:dyDescent="0.35">
      <c r="A16" s="387"/>
      <c r="E16" s="371"/>
      <c r="F16" s="371"/>
      <c r="G16" s="371"/>
      <c r="H16" s="371"/>
      <c r="I16" s="371"/>
      <c r="J16" s="371"/>
      <c r="K16" s="371"/>
      <c r="L16" s="371"/>
      <c r="M16" s="371"/>
      <c r="N16" s="371"/>
      <c r="O16" s="371"/>
      <c r="P16" s="371"/>
      <c r="Q16" s="371"/>
      <c r="R16" s="371"/>
      <c r="S16" s="371"/>
      <c r="T16" s="371"/>
      <c r="U16" s="371"/>
      <c r="V16" s="371"/>
      <c r="W16" s="371"/>
      <c r="X16" s="371"/>
      <c r="Y16" s="371"/>
      <c r="Z16" s="371"/>
      <c r="AA16" s="371"/>
      <c r="AB16" s="371"/>
      <c r="AC16" s="371"/>
      <c r="AD16" s="371"/>
      <c r="AE16" s="371"/>
      <c r="AF16" s="371"/>
      <c r="AG16" s="371"/>
      <c r="AH16" s="371"/>
      <c r="AI16" s="371"/>
    </row>
    <row r="17" spans="1:16384" customFormat="1" x14ac:dyDescent="0.35">
      <c r="A17" s="2">
        <v>2</v>
      </c>
      <c r="B17" s="1" t="s">
        <v>718</v>
      </c>
      <c r="C17" s="1"/>
      <c r="D17" s="1"/>
      <c r="E17" s="1"/>
      <c r="H17" s="374" t="s">
        <v>690</v>
      </c>
      <c r="I17" s="242" t="s">
        <v>676</v>
      </c>
      <c r="J17" s="1"/>
      <c r="K17" s="1" t="s">
        <v>651</v>
      </c>
      <c r="L17" s="376" t="s">
        <v>684</v>
      </c>
      <c r="M17" s="374" t="s">
        <v>685</v>
      </c>
      <c r="N17" s="386"/>
      <c r="R17" s="1" t="s">
        <v>729</v>
      </c>
      <c r="S17" s="1"/>
      <c r="T17" s="1"/>
      <c r="U17" s="1"/>
      <c r="V17" s="1"/>
      <c r="W17" s="1"/>
      <c r="X17" s="1"/>
      <c r="Y17" s="1"/>
      <c r="Z17" s="1"/>
      <c r="AA17" s="1"/>
      <c r="AB17" s="1"/>
      <c r="AC17" s="1"/>
      <c r="AD17" s="1"/>
      <c r="AE17" s="1"/>
      <c r="AF17" s="1"/>
      <c r="AG17" s="1"/>
      <c r="AH17" s="1"/>
      <c r="AI17" s="1"/>
    </row>
    <row r="18" spans="1:16384" customFormat="1" x14ac:dyDescent="0.35">
      <c r="A18" s="2"/>
      <c r="B18" s="1"/>
      <c r="C18" s="1"/>
      <c r="D18" s="1"/>
      <c r="E18" s="1"/>
      <c r="H18" s="371"/>
      <c r="I18" s="90"/>
      <c r="J18" s="1"/>
      <c r="K18" s="1"/>
      <c r="L18" s="90"/>
      <c r="M18" s="371"/>
      <c r="N18" s="373"/>
      <c r="O18" s="165"/>
      <c r="P18" s="371"/>
      <c r="R18" s="1"/>
      <c r="S18" s="1"/>
      <c r="T18" s="1"/>
      <c r="U18" s="1"/>
      <c r="V18" s="1"/>
      <c r="W18" s="1"/>
      <c r="X18" s="1"/>
      <c r="Y18" s="1"/>
      <c r="Z18" s="1"/>
      <c r="AA18" s="1"/>
      <c r="AB18" s="1"/>
      <c r="AC18" s="1"/>
      <c r="AD18" s="1"/>
      <c r="AE18" s="1"/>
      <c r="AF18" s="1"/>
      <c r="AG18" s="1"/>
      <c r="AH18" s="1"/>
      <c r="AI18" s="1"/>
    </row>
    <row r="19" spans="1:16384" customFormat="1" x14ac:dyDescent="0.35">
      <c r="A19" s="2">
        <v>3</v>
      </c>
      <c r="B19" s="1" t="s">
        <v>719</v>
      </c>
      <c r="C19" s="1"/>
      <c r="D19" s="1"/>
      <c r="E19" s="1"/>
      <c r="H19" s="374" t="s">
        <v>679</v>
      </c>
      <c r="I19" s="374" t="s">
        <v>680</v>
      </c>
      <c r="J19" s="1"/>
      <c r="K19" s="1" t="s">
        <v>651</v>
      </c>
      <c r="L19" s="374" t="s">
        <v>686</v>
      </c>
      <c r="M19" s="376" t="s">
        <v>687</v>
      </c>
      <c r="N19" s="1"/>
      <c r="O19" s="1"/>
      <c r="P19" s="1"/>
      <c r="R19" s="1" t="s">
        <v>660</v>
      </c>
      <c r="S19" s="1"/>
      <c r="T19" s="1"/>
      <c r="U19" s="1"/>
      <c r="V19" s="1"/>
      <c r="W19" s="1"/>
      <c r="X19" s="1"/>
      <c r="Y19" s="1"/>
      <c r="Z19" s="1"/>
      <c r="AA19" s="1"/>
      <c r="AB19" s="1"/>
      <c r="AC19" s="1"/>
      <c r="AD19" s="1"/>
      <c r="AE19" s="1"/>
      <c r="AF19" s="1"/>
      <c r="AG19" s="1"/>
      <c r="AH19" s="1"/>
      <c r="AI19" s="1"/>
    </row>
    <row r="20" spans="1:16384" customFormat="1" x14ac:dyDescent="0.35">
      <c r="A20" s="2"/>
      <c r="B20" s="1"/>
      <c r="C20" s="1"/>
      <c r="D20" s="1"/>
      <c r="E20" s="1"/>
      <c r="H20" s="371"/>
      <c r="I20" s="371"/>
      <c r="J20" s="1"/>
      <c r="K20" s="1"/>
      <c r="L20" s="371"/>
      <c r="M20" s="165"/>
      <c r="N20" s="1"/>
      <c r="O20" s="1"/>
      <c r="P20" s="1"/>
      <c r="R20" s="1"/>
      <c r="S20" s="1"/>
      <c r="T20" s="1"/>
      <c r="U20" s="1"/>
      <c r="V20" s="1"/>
      <c r="W20" s="1"/>
      <c r="X20" s="1"/>
      <c r="Y20" s="1"/>
      <c r="Z20" s="1"/>
      <c r="AA20" s="1"/>
      <c r="AB20" s="1"/>
      <c r="AC20" s="1"/>
      <c r="AD20" s="1"/>
      <c r="AE20" s="1"/>
      <c r="AF20" s="1"/>
      <c r="AG20" s="1"/>
      <c r="AH20" s="1"/>
      <c r="AI20" s="1"/>
    </row>
    <row r="21" spans="1:16384" customFormat="1" x14ac:dyDescent="0.35">
      <c r="A21" s="2">
        <v>4</v>
      </c>
      <c r="B21" s="1" t="s">
        <v>733</v>
      </c>
      <c r="D21" s="1"/>
      <c r="E21" s="1"/>
      <c r="F21" s="1"/>
      <c r="G21" s="1"/>
      <c r="H21" s="30" t="s">
        <v>677</v>
      </c>
      <c r="I21" s="242" t="s">
        <v>678</v>
      </c>
      <c r="J21" s="79"/>
      <c r="R21" s="1"/>
      <c r="S21" s="1"/>
      <c r="T21" s="1"/>
      <c r="U21" s="1"/>
      <c r="X21" s="1"/>
      <c r="Y21" s="1"/>
      <c r="Z21" s="1"/>
      <c r="AA21" s="1"/>
      <c r="AB21" s="1"/>
      <c r="AC21" s="1"/>
      <c r="AD21" s="1"/>
      <c r="AE21" s="1"/>
      <c r="AF21" s="1"/>
      <c r="AG21" s="1"/>
      <c r="AH21" s="1"/>
      <c r="AI21" s="1"/>
    </row>
    <row r="22" spans="1:16384" customFormat="1" x14ac:dyDescent="0.35">
      <c r="A22" s="2"/>
      <c r="B22" s="1"/>
      <c r="D22" s="1"/>
      <c r="E22" s="1"/>
      <c r="F22" s="1"/>
      <c r="G22" s="1"/>
      <c r="H22" s="242" t="s">
        <v>683</v>
      </c>
      <c r="I22" s="242" t="s">
        <v>725</v>
      </c>
      <c r="J22" s="79"/>
      <c r="R22" s="1"/>
      <c r="S22" s="1"/>
      <c r="T22" s="1"/>
      <c r="U22" s="1"/>
      <c r="X22" s="1"/>
      <c r="Y22" s="1"/>
      <c r="Z22" s="1"/>
      <c r="AA22" s="1"/>
      <c r="AB22" s="1"/>
      <c r="AC22" s="1"/>
      <c r="AD22" s="1"/>
      <c r="AE22" s="1"/>
      <c r="AF22" s="1"/>
      <c r="AG22" s="1"/>
      <c r="AH22" s="1"/>
      <c r="AI22" s="1"/>
    </row>
    <row r="23" spans="1:16384" customFormat="1" x14ac:dyDescent="0.35">
      <c r="A23" s="2"/>
      <c r="B23" s="371" t="s">
        <v>724</v>
      </c>
      <c r="E23" s="1"/>
      <c r="F23" s="1"/>
      <c r="G23" s="1"/>
      <c r="H23" s="390" t="s">
        <v>677</v>
      </c>
      <c r="I23" s="390" t="s">
        <v>683</v>
      </c>
      <c r="J23" s="390" t="s">
        <v>726</v>
      </c>
      <c r="K23" s="371"/>
      <c r="R23" s="1"/>
      <c r="S23" s="1"/>
      <c r="T23" s="1"/>
      <c r="U23" s="1"/>
      <c r="X23" s="1"/>
      <c r="Y23" s="1"/>
      <c r="Z23" s="1"/>
      <c r="AA23" s="1"/>
      <c r="AB23" s="1"/>
      <c r="AC23" s="1"/>
      <c r="AD23" s="1"/>
      <c r="AE23" s="1"/>
      <c r="AF23" s="1"/>
      <c r="AG23" s="1"/>
      <c r="AH23" s="1"/>
      <c r="AI23" s="1"/>
    </row>
    <row r="24" spans="1:16384" customFormat="1" x14ac:dyDescent="0.35">
      <c r="A24" s="2"/>
      <c r="B24" s="1" t="s">
        <v>728</v>
      </c>
      <c r="E24" s="1"/>
      <c r="F24" s="1"/>
      <c r="G24" s="1"/>
      <c r="H24" s="390" t="s">
        <v>678</v>
      </c>
      <c r="I24" s="390" t="s">
        <v>725</v>
      </c>
      <c r="J24" s="390" t="s">
        <v>727</v>
      </c>
      <c r="K24" s="371"/>
      <c r="R24" s="1"/>
      <c r="S24" s="1"/>
      <c r="T24" s="1"/>
      <c r="U24" s="1"/>
      <c r="X24" s="1"/>
      <c r="Y24" s="1"/>
      <c r="Z24" s="1"/>
      <c r="AA24" s="1"/>
      <c r="AB24" s="1"/>
      <c r="AC24" s="1"/>
      <c r="AD24" s="1"/>
      <c r="AE24" s="1"/>
      <c r="AF24" s="1"/>
      <c r="AG24" s="1"/>
      <c r="AH24" s="1"/>
      <c r="AI24" s="1"/>
    </row>
    <row r="25" spans="1:16384" customFormat="1" x14ac:dyDescent="0.35">
      <c r="A25" s="2"/>
      <c r="B25" s="2"/>
      <c r="C25" s="1"/>
      <c r="E25" s="1"/>
      <c r="F25" s="1"/>
      <c r="G25" s="1"/>
      <c r="H25" s="1"/>
      <c r="I25" s="1"/>
      <c r="J25" s="1"/>
      <c r="K25" s="371"/>
      <c r="R25" s="1"/>
      <c r="S25" s="1"/>
      <c r="T25" s="1"/>
      <c r="U25" s="1"/>
      <c r="X25" s="1"/>
      <c r="Y25" s="1"/>
      <c r="Z25" s="1"/>
      <c r="AA25" s="1"/>
      <c r="AB25" s="1"/>
      <c r="AC25" s="1"/>
      <c r="AD25" s="1"/>
      <c r="AE25" s="1"/>
      <c r="AF25" s="1"/>
      <c r="AG25" s="1"/>
      <c r="AH25" s="1"/>
      <c r="AI25" s="1"/>
    </row>
    <row r="26" spans="1:16384" customFormat="1" x14ac:dyDescent="0.35">
      <c r="A26" s="2"/>
      <c r="B26" s="1" t="s">
        <v>720</v>
      </c>
      <c r="C26" s="1"/>
      <c r="D26" s="1"/>
      <c r="E26" s="1"/>
      <c r="H26" s="375" t="s">
        <v>681</v>
      </c>
      <c r="I26" s="30" t="s">
        <v>682</v>
      </c>
      <c r="J26" s="1"/>
      <c r="K26" s="1" t="s">
        <v>651</v>
      </c>
      <c r="L26" s="374" t="s">
        <v>688</v>
      </c>
      <c r="M26" s="374" t="s">
        <v>680</v>
      </c>
      <c r="N26" s="373" t="s">
        <v>689</v>
      </c>
      <c r="O26" s="374" t="s">
        <v>686</v>
      </c>
      <c r="P26" s="375" t="s">
        <v>687</v>
      </c>
      <c r="R26" s="1" t="s">
        <v>661</v>
      </c>
      <c r="S26" s="1"/>
      <c r="T26" s="1"/>
      <c r="U26" s="1"/>
      <c r="V26" s="1"/>
      <c r="W26" s="1"/>
      <c r="X26" s="1"/>
      <c r="Y26" s="1"/>
      <c r="Z26" s="1"/>
      <c r="AA26" s="1"/>
      <c r="AB26" s="1"/>
      <c r="AC26" s="1"/>
      <c r="AD26" s="1"/>
      <c r="AE26" s="1"/>
      <c r="AF26" s="1"/>
      <c r="AG26" s="1"/>
      <c r="AH26" s="1"/>
      <c r="AI26" s="1"/>
    </row>
    <row r="27" spans="1:16384" customFormat="1" x14ac:dyDescent="0.35">
      <c r="A27" s="2"/>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16384" customFormat="1" x14ac:dyDescent="0.35">
      <c r="A28" s="385" t="s">
        <v>652</v>
      </c>
      <c r="B28" s="377"/>
      <c r="C28" s="377"/>
      <c r="D28" s="377"/>
      <c r="E28" s="378"/>
      <c r="F28" s="378"/>
      <c r="G28" s="378"/>
      <c r="H28" s="378"/>
      <c r="I28" s="378"/>
      <c r="J28" s="378"/>
      <c r="K28" s="378"/>
      <c r="L28" s="378"/>
      <c r="M28" s="378"/>
      <c r="N28" s="378"/>
      <c r="O28" s="378"/>
      <c r="P28" s="378"/>
      <c r="Q28" s="378"/>
      <c r="R28" s="378"/>
      <c r="S28" s="378"/>
      <c r="T28" s="378"/>
      <c r="U28" s="378"/>
      <c r="V28" s="378"/>
      <c r="W28" s="378"/>
      <c r="X28" s="378"/>
      <c r="Y28" s="378"/>
      <c r="Z28" s="378"/>
      <c r="AA28" s="378"/>
      <c r="AB28" s="378"/>
      <c r="AC28" s="378"/>
      <c r="AD28" s="378"/>
      <c r="AE28" s="379"/>
      <c r="AF28" s="380"/>
      <c r="AG28" s="380"/>
      <c r="AH28" s="380"/>
      <c r="AI28" s="381"/>
      <c r="AJ28" s="381"/>
      <c r="AK28" s="381"/>
      <c r="AL28" s="381"/>
      <c r="AM28" s="381"/>
      <c r="AN28" s="381"/>
      <c r="AO28" s="381"/>
      <c r="AP28" s="381"/>
      <c r="AQ28" s="381"/>
      <c r="AR28" s="381"/>
      <c r="AS28" s="381"/>
      <c r="AT28" s="381"/>
      <c r="AU28" s="381"/>
      <c r="AV28" s="381"/>
      <c r="AW28" s="381"/>
      <c r="AX28" s="381"/>
      <c r="AY28" s="381"/>
      <c r="AZ28" s="381"/>
      <c r="BA28" s="381"/>
      <c r="BB28" s="381"/>
      <c r="BC28" s="381"/>
      <c r="BD28" s="381"/>
      <c r="BE28" s="381"/>
      <c r="BF28" s="381"/>
      <c r="BG28" s="381"/>
      <c r="BH28" s="381"/>
      <c r="BI28" s="379"/>
      <c r="BJ28" s="380"/>
      <c r="BK28" s="380"/>
      <c r="BL28" s="380"/>
      <c r="BM28" s="381"/>
      <c r="BN28" s="381"/>
      <c r="BO28" s="381"/>
      <c r="BP28" s="381"/>
      <c r="BQ28" s="381"/>
      <c r="BR28" s="381"/>
      <c r="BS28" s="381"/>
      <c r="BT28" s="381"/>
      <c r="BU28" s="381"/>
      <c r="BV28" s="381"/>
      <c r="BW28" s="381"/>
      <c r="BX28" s="381"/>
      <c r="BY28" s="381"/>
      <c r="BZ28" s="381"/>
      <c r="CA28" s="381"/>
      <c r="CB28" s="381"/>
      <c r="CC28" s="381"/>
      <c r="CD28" s="381"/>
      <c r="CE28" s="381"/>
      <c r="CF28" s="381"/>
      <c r="CG28" s="381"/>
      <c r="CH28" s="381"/>
      <c r="CI28" s="381"/>
      <c r="CJ28" s="381"/>
      <c r="CK28" s="381"/>
      <c r="CL28" s="381"/>
      <c r="CM28" s="379"/>
      <c r="CN28" s="380"/>
      <c r="CO28" s="380"/>
      <c r="CP28" s="380"/>
      <c r="CQ28" s="381"/>
      <c r="CR28" s="381"/>
      <c r="CS28" s="381"/>
      <c r="CT28" s="381"/>
      <c r="CU28" s="381"/>
      <c r="CV28" s="381"/>
      <c r="CW28" s="381"/>
      <c r="CX28" s="381"/>
      <c r="CY28" s="381"/>
      <c r="CZ28" s="381"/>
      <c r="DA28" s="381"/>
      <c r="DB28" s="381"/>
      <c r="DC28" s="381"/>
      <c r="DD28" s="381"/>
      <c r="DE28" s="381"/>
      <c r="DF28" s="381"/>
      <c r="DG28" s="381"/>
      <c r="DH28" s="381"/>
      <c r="DI28" s="381"/>
      <c r="DJ28" s="381"/>
      <c r="DK28" s="381"/>
      <c r="DL28" s="381"/>
      <c r="DM28" s="381"/>
      <c r="DN28" s="381"/>
      <c r="DO28" s="381"/>
      <c r="DP28" s="381"/>
      <c r="DQ28" s="379"/>
      <c r="DR28" s="380"/>
      <c r="DS28" s="380"/>
      <c r="DT28" s="380"/>
      <c r="DU28" s="381"/>
      <c r="DV28" s="381"/>
      <c r="DW28" s="381"/>
      <c r="DX28" s="381"/>
      <c r="DY28" s="381"/>
      <c r="DZ28" s="381"/>
      <c r="EA28" s="381"/>
      <c r="EB28" s="381"/>
      <c r="EC28" s="381"/>
      <c r="ED28" s="381"/>
      <c r="EE28" s="381"/>
      <c r="EF28" s="381"/>
      <c r="EG28" s="381"/>
      <c r="EH28" s="381"/>
      <c r="EI28" s="381"/>
      <c r="EJ28" s="381"/>
      <c r="EK28" s="381"/>
      <c r="EL28" s="381"/>
      <c r="EM28" s="381"/>
      <c r="EN28" s="381"/>
      <c r="EO28" s="381"/>
      <c r="EP28" s="381"/>
      <c r="EQ28" s="381"/>
      <c r="ER28" s="381"/>
      <c r="ES28" s="381"/>
      <c r="ET28" s="381"/>
      <c r="EU28" s="379"/>
      <c r="EV28" s="380"/>
      <c r="EW28" s="380"/>
      <c r="EX28" s="380"/>
      <c r="EY28" s="381"/>
      <c r="EZ28" s="381"/>
      <c r="FA28" s="381"/>
      <c r="FB28" s="381"/>
      <c r="FC28" s="381"/>
      <c r="FD28" s="381"/>
      <c r="FE28" s="381"/>
      <c r="FF28" s="381"/>
      <c r="FG28" s="381"/>
      <c r="FH28" s="381"/>
      <c r="FI28" s="381"/>
      <c r="FJ28" s="381"/>
      <c r="FK28" s="381"/>
      <c r="FL28" s="381"/>
      <c r="FM28" s="381"/>
      <c r="FN28" s="381"/>
      <c r="FO28" s="381"/>
      <c r="FP28" s="381"/>
      <c r="FQ28" s="381"/>
      <c r="FR28" s="381"/>
      <c r="FS28" s="381"/>
      <c r="FT28" s="381"/>
      <c r="FU28" s="381"/>
      <c r="FV28" s="381"/>
      <c r="FW28" s="381"/>
      <c r="FX28" s="381"/>
      <c r="FY28" s="379"/>
      <c r="FZ28" s="380"/>
      <c r="GA28" s="380"/>
      <c r="GB28" s="380"/>
      <c r="GC28" s="381"/>
      <c r="GD28" s="381"/>
      <c r="GE28" s="381"/>
      <c r="GF28" s="381"/>
      <c r="GG28" s="381"/>
      <c r="GH28" s="381"/>
      <c r="GI28" s="381"/>
      <c r="GJ28" s="381"/>
      <c r="GK28" s="381"/>
      <c r="GL28" s="381"/>
      <c r="GM28" s="381"/>
      <c r="GN28" s="381"/>
      <c r="GO28" s="381"/>
      <c r="GP28" s="381"/>
      <c r="GQ28" s="381"/>
      <c r="GR28" s="381"/>
      <c r="GS28" s="381"/>
      <c r="GT28" s="381"/>
      <c r="GU28" s="381"/>
      <c r="GV28" s="381"/>
      <c r="GW28" s="381"/>
      <c r="GX28" s="381"/>
      <c r="GY28" s="381"/>
      <c r="GZ28" s="381"/>
      <c r="HA28" s="381"/>
      <c r="HB28" s="381"/>
      <c r="HC28" s="379"/>
      <c r="HD28" s="380"/>
      <c r="HE28" s="380"/>
      <c r="HF28" s="380"/>
      <c r="HG28" s="381"/>
      <c r="HH28" s="381"/>
      <c r="HI28" s="381"/>
      <c r="HJ28" s="381"/>
      <c r="HK28" s="381"/>
      <c r="HL28" s="381"/>
      <c r="HM28" s="381"/>
      <c r="HN28" s="381"/>
      <c r="HO28" s="381"/>
      <c r="HP28" s="381"/>
      <c r="HQ28" s="381"/>
      <c r="HR28" s="381"/>
      <c r="HS28" s="381"/>
      <c r="HT28" s="381"/>
      <c r="HU28" s="381"/>
      <c r="HV28" s="381"/>
      <c r="HW28" s="381"/>
      <c r="HX28" s="381"/>
      <c r="HY28" s="381"/>
      <c r="HZ28" s="381"/>
      <c r="IA28" s="381"/>
      <c r="IB28" s="381"/>
      <c r="IC28" s="381"/>
      <c r="ID28" s="381"/>
      <c r="IE28" s="381"/>
      <c r="IF28" s="381"/>
      <c r="IG28" s="379"/>
      <c r="IH28" s="380"/>
      <c r="II28" s="380"/>
      <c r="IJ28" s="380"/>
      <c r="IK28" s="381"/>
      <c r="IL28" s="381"/>
      <c r="IM28" s="381"/>
      <c r="IN28" s="381"/>
      <c r="IO28" s="381"/>
      <c r="IP28" s="381"/>
      <c r="IQ28" s="381"/>
      <c r="IR28" s="381"/>
      <c r="IS28" s="381"/>
      <c r="IT28" s="381"/>
      <c r="IU28" s="381"/>
      <c r="IV28" s="381"/>
      <c r="IW28" s="381"/>
      <c r="IX28" s="381"/>
      <c r="IY28" s="381"/>
      <c r="IZ28" s="381"/>
      <c r="JA28" s="381"/>
      <c r="JB28" s="381"/>
      <c r="JC28" s="381"/>
      <c r="JD28" s="381"/>
      <c r="JE28" s="381"/>
      <c r="JF28" s="381"/>
      <c r="JG28" s="381"/>
      <c r="JH28" s="381"/>
      <c r="JI28" s="381"/>
      <c r="JJ28" s="381"/>
      <c r="JK28" s="379"/>
      <c r="JL28" s="380"/>
      <c r="JM28" s="380"/>
      <c r="JN28" s="380"/>
      <c r="JO28" s="381"/>
      <c r="JP28" s="381"/>
      <c r="JQ28" s="381"/>
      <c r="JR28" s="381"/>
      <c r="JS28" s="381"/>
      <c r="JT28" s="381"/>
      <c r="JU28" s="381"/>
      <c r="JV28" s="381"/>
      <c r="JW28" s="381"/>
      <c r="JX28" s="381"/>
      <c r="JY28" s="381"/>
      <c r="JZ28" s="381"/>
      <c r="KA28" s="381"/>
      <c r="KB28" s="381"/>
      <c r="KC28" s="381"/>
      <c r="KD28" s="381"/>
      <c r="KE28" s="381"/>
      <c r="KF28" s="381"/>
      <c r="KG28" s="381"/>
      <c r="KH28" s="381"/>
      <c r="KI28" s="381"/>
      <c r="KJ28" s="381"/>
      <c r="KK28" s="381"/>
      <c r="KL28" s="381"/>
      <c r="KM28" s="381"/>
      <c r="KN28" s="381"/>
      <c r="KO28" s="379"/>
      <c r="KP28" s="380"/>
      <c r="KQ28" s="380"/>
      <c r="KR28" s="380"/>
      <c r="KS28" s="381"/>
      <c r="KT28" s="381"/>
      <c r="KU28" s="381"/>
      <c r="KV28" s="381"/>
      <c r="KW28" s="381"/>
      <c r="KX28" s="381"/>
      <c r="KY28" s="381"/>
      <c r="KZ28" s="381"/>
      <c r="LA28" s="381"/>
      <c r="LB28" s="381"/>
      <c r="LC28" s="381"/>
      <c r="LD28" s="381"/>
      <c r="LE28" s="381"/>
      <c r="LF28" s="381"/>
      <c r="LG28" s="381"/>
      <c r="LH28" s="381"/>
      <c r="LI28" s="381"/>
      <c r="LJ28" s="381"/>
      <c r="LK28" s="381"/>
      <c r="LL28" s="381"/>
      <c r="LM28" s="381"/>
      <c r="LN28" s="381"/>
      <c r="LO28" s="381"/>
      <c r="LP28" s="381"/>
      <c r="LQ28" s="381"/>
      <c r="LR28" s="381"/>
      <c r="LS28" s="379"/>
      <c r="LT28" s="380"/>
      <c r="LU28" s="380"/>
      <c r="LV28" s="380"/>
      <c r="LW28" s="381"/>
      <c r="LX28" s="381"/>
      <c r="LY28" s="381"/>
      <c r="LZ28" s="381"/>
      <c r="MA28" s="381"/>
      <c r="MB28" s="381"/>
      <c r="MC28" s="381"/>
      <c r="MD28" s="381"/>
      <c r="ME28" s="381"/>
      <c r="MF28" s="381"/>
      <c r="MG28" s="381"/>
      <c r="MH28" s="381"/>
      <c r="MI28" s="381"/>
      <c r="MJ28" s="381"/>
      <c r="MK28" s="381"/>
      <c r="ML28" s="381"/>
      <c r="MM28" s="381"/>
      <c r="MN28" s="381"/>
      <c r="MO28" s="381"/>
      <c r="MP28" s="381"/>
      <c r="MQ28" s="381"/>
      <c r="MR28" s="381"/>
      <c r="MS28" s="381"/>
      <c r="MT28" s="381"/>
      <c r="MU28" s="381"/>
      <c r="MV28" s="381"/>
      <c r="MW28" s="379"/>
      <c r="MX28" s="380"/>
      <c r="MY28" s="380"/>
      <c r="MZ28" s="380"/>
      <c r="NA28" s="381"/>
      <c r="NB28" s="381"/>
      <c r="NC28" s="381"/>
      <c r="ND28" s="381"/>
      <c r="NE28" s="381"/>
      <c r="NF28" s="381"/>
      <c r="NG28" s="381"/>
      <c r="NH28" s="381"/>
      <c r="NI28" s="381"/>
      <c r="NJ28" s="381"/>
      <c r="NK28" s="381"/>
      <c r="NL28" s="381"/>
      <c r="NM28" s="381"/>
      <c r="NN28" s="381"/>
      <c r="NO28" s="381"/>
      <c r="NP28" s="381"/>
      <c r="NQ28" s="381"/>
      <c r="NR28" s="381"/>
      <c r="NS28" s="381"/>
      <c r="NT28" s="381"/>
      <c r="NU28" s="381"/>
      <c r="NV28" s="381"/>
      <c r="NW28" s="381"/>
      <c r="NX28" s="381"/>
      <c r="NY28" s="381"/>
      <c r="NZ28" s="381"/>
      <c r="OA28" s="379"/>
      <c r="OB28" s="380"/>
      <c r="OC28" s="380"/>
      <c r="OD28" s="380"/>
      <c r="OE28" s="381"/>
      <c r="OF28" s="381"/>
      <c r="OG28" s="381"/>
      <c r="OH28" s="381"/>
      <c r="OI28" s="381"/>
      <c r="OJ28" s="381"/>
      <c r="OK28" s="381"/>
      <c r="OL28" s="381"/>
      <c r="OM28" s="381"/>
      <c r="ON28" s="381"/>
      <c r="OO28" s="381"/>
      <c r="OP28" s="381"/>
      <c r="OQ28" s="381"/>
      <c r="OR28" s="381"/>
      <c r="OS28" s="381"/>
      <c r="OT28" s="381"/>
      <c r="OU28" s="381"/>
      <c r="OV28" s="381"/>
      <c r="OW28" s="381"/>
      <c r="OX28" s="381"/>
      <c r="OY28" s="381"/>
      <c r="OZ28" s="381"/>
      <c r="PA28" s="381"/>
      <c r="PB28" s="381"/>
      <c r="PC28" s="381"/>
      <c r="PD28" s="381"/>
      <c r="PE28" s="379"/>
      <c r="PF28" s="380"/>
      <c r="PG28" s="380"/>
      <c r="PH28" s="380"/>
      <c r="PI28" s="381"/>
      <c r="PJ28" s="381"/>
      <c r="PK28" s="381"/>
      <c r="PL28" s="381"/>
      <c r="PM28" s="381"/>
      <c r="PN28" s="381"/>
      <c r="PO28" s="381"/>
      <c r="PP28" s="381"/>
      <c r="PQ28" s="381"/>
      <c r="PR28" s="381"/>
      <c r="PS28" s="381"/>
      <c r="PT28" s="381"/>
      <c r="PU28" s="381"/>
      <c r="PV28" s="381"/>
      <c r="PW28" s="381"/>
      <c r="PX28" s="381"/>
      <c r="PY28" s="381"/>
      <c r="PZ28" s="381"/>
      <c r="QA28" s="381"/>
      <c r="QB28" s="381"/>
      <c r="QC28" s="381"/>
      <c r="QD28" s="381"/>
      <c r="QE28" s="381"/>
      <c r="QF28" s="381"/>
      <c r="QG28" s="381"/>
      <c r="QH28" s="381"/>
      <c r="QI28" s="379"/>
      <c r="QJ28" s="380"/>
      <c r="QK28" s="380"/>
      <c r="QL28" s="380"/>
      <c r="QM28" s="381"/>
      <c r="QN28" s="381"/>
      <c r="QO28" s="381"/>
      <c r="QP28" s="381"/>
      <c r="QQ28" s="381"/>
      <c r="QR28" s="381"/>
      <c r="QS28" s="381"/>
      <c r="QT28" s="381"/>
      <c r="QU28" s="381"/>
      <c r="QV28" s="381"/>
      <c r="QW28" s="381"/>
      <c r="QX28" s="381"/>
      <c r="QY28" s="381"/>
      <c r="QZ28" s="381"/>
      <c r="RA28" s="381"/>
      <c r="RB28" s="381"/>
      <c r="RC28" s="381"/>
      <c r="RD28" s="381"/>
      <c r="RE28" s="381"/>
      <c r="RF28" s="381"/>
      <c r="RG28" s="381"/>
      <c r="RH28" s="381"/>
      <c r="RI28" s="381"/>
      <c r="RJ28" s="381"/>
      <c r="RK28" s="381"/>
      <c r="RL28" s="381"/>
      <c r="RM28" s="379"/>
      <c r="RN28" s="380"/>
      <c r="RO28" s="380"/>
      <c r="RP28" s="380"/>
      <c r="RQ28" s="381"/>
      <c r="RR28" s="381"/>
      <c r="RS28" s="381"/>
      <c r="RT28" s="381"/>
      <c r="RU28" s="381"/>
      <c r="RV28" s="381"/>
      <c r="RW28" s="381"/>
      <c r="RX28" s="381"/>
      <c r="RY28" s="381"/>
      <c r="RZ28" s="381"/>
      <c r="SA28" s="381"/>
      <c r="SB28" s="381"/>
      <c r="SC28" s="381"/>
      <c r="SD28" s="381"/>
      <c r="SE28" s="381"/>
      <c r="SF28" s="381"/>
      <c r="SG28" s="381"/>
      <c r="SH28" s="381"/>
      <c r="SI28" s="381"/>
      <c r="SJ28" s="381"/>
      <c r="SK28" s="381"/>
      <c r="SL28" s="381"/>
      <c r="SM28" s="381"/>
      <c r="SN28" s="381"/>
      <c r="SO28" s="381"/>
      <c r="SP28" s="381"/>
      <c r="SQ28" s="379"/>
      <c r="SR28" s="380"/>
      <c r="SS28" s="380"/>
      <c r="ST28" s="380"/>
      <c r="SU28" s="381"/>
      <c r="SV28" s="381"/>
      <c r="SW28" s="381"/>
      <c r="SX28" s="381"/>
      <c r="SY28" s="381"/>
      <c r="SZ28" s="381"/>
      <c r="TA28" s="381"/>
      <c r="TB28" s="381"/>
      <c r="TC28" s="381"/>
      <c r="TD28" s="381"/>
      <c r="TE28" s="381"/>
      <c r="TF28" s="381"/>
      <c r="TG28" s="381"/>
      <c r="TH28" s="381"/>
      <c r="TI28" s="381"/>
      <c r="TJ28" s="381"/>
      <c r="TK28" s="381"/>
      <c r="TL28" s="381"/>
      <c r="TM28" s="381"/>
      <c r="TN28" s="381"/>
      <c r="TO28" s="381"/>
      <c r="TP28" s="381"/>
      <c r="TQ28" s="381"/>
      <c r="TR28" s="381"/>
      <c r="TS28" s="381"/>
      <c r="TT28" s="381"/>
      <c r="TU28" s="379"/>
      <c r="TV28" s="380"/>
      <c r="TW28" s="380"/>
      <c r="TX28" s="380"/>
      <c r="TY28" s="381"/>
      <c r="TZ28" s="381"/>
      <c r="UA28" s="381"/>
      <c r="UB28" s="381"/>
      <c r="UC28" s="381"/>
      <c r="UD28" s="381"/>
      <c r="UE28" s="381"/>
      <c r="UF28" s="381"/>
      <c r="UG28" s="381"/>
      <c r="UH28" s="381"/>
      <c r="UI28" s="381"/>
      <c r="UJ28" s="381"/>
      <c r="UK28" s="381"/>
      <c r="UL28" s="381"/>
      <c r="UM28" s="381"/>
      <c r="UN28" s="381"/>
      <c r="UO28" s="381"/>
      <c r="UP28" s="381"/>
      <c r="UQ28" s="381"/>
      <c r="UR28" s="381"/>
      <c r="US28" s="381"/>
      <c r="UT28" s="381"/>
      <c r="UU28" s="381"/>
      <c r="UV28" s="381"/>
      <c r="UW28" s="381"/>
      <c r="UX28" s="381"/>
      <c r="UY28" s="379"/>
      <c r="UZ28" s="380"/>
      <c r="VA28" s="380"/>
      <c r="VB28" s="380"/>
      <c r="VC28" s="381"/>
      <c r="VD28" s="381"/>
      <c r="VE28" s="381"/>
      <c r="VF28" s="381"/>
      <c r="VG28" s="381"/>
      <c r="VH28" s="381"/>
      <c r="VI28" s="381"/>
      <c r="VJ28" s="381"/>
      <c r="VK28" s="381"/>
      <c r="VL28" s="381"/>
      <c r="VM28" s="381"/>
      <c r="VN28" s="381"/>
      <c r="VO28" s="381"/>
      <c r="VP28" s="381"/>
      <c r="VQ28" s="381"/>
      <c r="VR28" s="381"/>
      <c r="VS28" s="381"/>
      <c r="VT28" s="381"/>
      <c r="VU28" s="381"/>
      <c r="VV28" s="381"/>
      <c r="VW28" s="381"/>
      <c r="VX28" s="381"/>
      <c r="VY28" s="381"/>
      <c r="VZ28" s="381"/>
      <c r="WA28" s="381"/>
      <c r="WB28" s="381"/>
      <c r="WC28" s="379"/>
      <c r="WD28" s="380"/>
      <c r="WE28" s="380"/>
      <c r="WF28" s="380"/>
      <c r="WG28" s="381"/>
      <c r="WH28" s="381"/>
      <c r="WI28" s="381"/>
      <c r="WJ28" s="381"/>
      <c r="WK28" s="381"/>
      <c r="WL28" s="381"/>
      <c r="WM28" s="381"/>
      <c r="WN28" s="381"/>
      <c r="WO28" s="381"/>
      <c r="WP28" s="381"/>
      <c r="WQ28" s="381"/>
      <c r="WR28" s="381"/>
      <c r="WS28" s="381"/>
      <c r="WT28" s="381"/>
      <c r="WU28" s="381"/>
      <c r="WV28" s="381"/>
      <c r="WW28" s="381"/>
      <c r="WX28" s="381"/>
      <c r="WY28" s="381"/>
      <c r="WZ28" s="381"/>
      <c r="XA28" s="381"/>
      <c r="XB28" s="381"/>
      <c r="XC28" s="381"/>
      <c r="XD28" s="381"/>
      <c r="XE28" s="381"/>
      <c r="XF28" s="381"/>
      <c r="XG28" s="379"/>
      <c r="XH28" s="380"/>
      <c r="XI28" s="380"/>
      <c r="XJ28" s="380"/>
      <c r="XK28" s="381"/>
      <c r="XL28" s="381"/>
      <c r="XM28" s="381"/>
      <c r="XN28" s="381"/>
      <c r="XO28" s="381"/>
      <c r="XP28" s="381"/>
      <c r="XQ28" s="381"/>
      <c r="XR28" s="381"/>
      <c r="XS28" s="381"/>
      <c r="XT28" s="381"/>
      <c r="XU28" s="381"/>
      <c r="XV28" s="381"/>
      <c r="XW28" s="381"/>
      <c r="XX28" s="381"/>
      <c r="XY28" s="381"/>
      <c r="XZ28" s="381"/>
      <c r="YA28" s="381"/>
      <c r="YB28" s="381"/>
      <c r="YC28" s="381"/>
      <c r="YD28" s="381"/>
      <c r="YE28" s="381"/>
      <c r="YF28" s="381"/>
      <c r="YG28" s="381"/>
      <c r="YH28" s="381"/>
      <c r="YI28" s="381"/>
      <c r="YJ28" s="381"/>
      <c r="YK28" s="379"/>
      <c r="YL28" s="380"/>
      <c r="YM28" s="380"/>
      <c r="YN28" s="380"/>
      <c r="YO28" s="381"/>
      <c r="YP28" s="381"/>
      <c r="YQ28" s="381"/>
      <c r="YR28" s="381"/>
      <c r="YS28" s="381"/>
      <c r="YT28" s="381"/>
      <c r="YU28" s="381"/>
      <c r="YV28" s="381"/>
      <c r="YW28" s="381"/>
      <c r="YX28" s="381"/>
      <c r="YY28" s="381"/>
      <c r="YZ28" s="381"/>
      <c r="ZA28" s="381"/>
      <c r="ZB28" s="381"/>
      <c r="ZC28" s="381"/>
      <c r="ZD28" s="381"/>
      <c r="ZE28" s="381"/>
      <c r="ZF28" s="381"/>
      <c r="ZG28" s="381"/>
      <c r="ZH28" s="381"/>
      <c r="ZI28" s="381"/>
      <c r="ZJ28" s="381"/>
      <c r="ZK28" s="381"/>
      <c r="ZL28" s="381"/>
      <c r="ZM28" s="381"/>
      <c r="ZN28" s="381"/>
      <c r="ZO28" s="379"/>
      <c r="ZP28" s="380"/>
      <c r="ZQ28" s="380"/>
      <c r="ZR28" s="380"/>
      <c r="ZS28" s="381"/>
      <c r="ZT28" s="381"/>
      <c r="ZU28" s="381"/>
      <c r="ZV28" s="381"/>
      <c r="ZW28" s="381"/>
      <c r="ZX28" s="381"/>
      <c r="ZY28" s="381"/>
      <c r="ZZ28" s="381"/>
      <c r="AAA28" s="381"/>
      <c r="AAB28" s="381"/>
      <c r="AAC28" s="381"/>
      <c r="AAD28" s="381"/>
      <c r="AAE28" s="381"/>
      <c r="AAF28" s="381"/>
      <c r="AAG28" s="381"/>
      <c r="AAH28" s="381"/>
      <c r="AAI28" s="381"/>
      <c r="AAJ28" s="381"/>
      <c r="AAK28" s="381"/>
      <c r="AAL28" s="381"/>
      <c r="AAM28" s="381"/>
      <c r="AAN28" s="381"/>
      <c r="AAO28" s="381"/>
      <c r="AAP28" s="381"/>
      <c r="AAQ28" s="381"/>
      <c r="AAR28" s="381"/>
      <c r="AAS28" s="379"/>
      <c r="AAT28" s="380"/>
      <c r="AAU28" s="380"/>
      <c r="AAV28" s="380"/>
      <c r="AAW28" s="381"/>
      <c r="AAX28" s="381"/>
      <c r="AAY28" s="381"/>
      <c r="AAZ28" s="381"/>
      <c r="ABA28" s="381"/>
      <c r="ABB28" s="381"/>
      <c r="ABC28" s="381"/>
      <c r="ABD28" s="381"/>
      <c r="ABE28" s="381"/>
      <c r="ABF28" s="381"/>
      <c r="ABG28" s="381"/>
      <c r="ABH28" s="381"/>
      <c r="ABI28" s="381"/>
      <c r="ABJ28" s="381"/>
      <c r="ABK28" s="381"/>
      <c r="ABL28" s="381"/>
      <c r="ABM28" s="381"/>
      <c r="ABN28" s="381"/>
      <c r="ABO28" s="381"/>
      <c r="ABP28" s="381"/>
      <c r="ABQ28" s="381"/>
      <c r="ABR28" s="381"/>
      <c r="ABS28" s="381"/>
      <c r="ABT28" s="381"/>
      <c r="ABU28" s="381"/>
      <c r="ABV28" s="381"/>
      <c r="ABW28" s="379"/>
      <c r="ABX28" s="380"/>
      <c r="ABY28" s="380"/>
      <c r="ABZ28" s="380"/>
      <c r="ACA28" s="381"/>
      <c r="ACB28" s="381"/>
      <c r="ACC28" s="381"/>
      <c r="ACD28" s="381"/>
      <c r="ACE28" s="381"/>
      <c r="ACF28" s="381"/>
      <c r="ACG28" s="381"/>
      <c r="ACH28" s="381"/>
      <c r="ACI28" s="381"/>
      <c r="ACJ28" s="381"/>
      <c r="ACK28" s="381"/>
      <c r="ACL28" s="381"/>
      <c r="ACM28" s="381"/>
      <c r="ACN28" s="381"/>
      <c r="ACO28" s="381"/>
      <c r="ACP28" s="381"/>
      <c r="ACQ28" s="381"/>
      <c r="ACR28" s="381"/>
      <c r="ACS28" s="381"/>
      <c r="ACT28" s="381"/>
      <c r="ACU28" s="381"/>
      <c r="ACV28" s="381"/>
      <c r="ACW28" s="381"/>
      <c r="ACX28" s="381"/>
      <c r="ACY28" s="381"/>
      <c r="ACZ28" s="381"/>
      <c r="ADA28" s="379"/>
      <c r="ADB28" s="380"/>
      <c r="ADC28" s="380"/>
      <c r="ADD28" s="380"/>
      <c r="ADE28" s="381"/>
      <c r="ADF28" s="381"/>
      <c r="ADG28" s="381"/>
      <c r="ADH28" s="381"/>
      <c r="ADI28" s="381"/>
      <c r="ADJ28" s="381"/>
      <c r="ADK28" s="381"/>
      <c r="ADL28" s="381"/>
      <c r="ADM28" s="381"/>
      <c r="ADN28" s="381"/>
      <c r="ADO28" s="381"/>
      <c r="ADP28" s="381"/>
      <c r="ADQ28" s="381"/>
      <c r="ADR28" s="381"/>
      <c r="ADS28" s="381"/>
      <c r="ADT28" s="381"/>
      <c r="ADU28" s="381"/>
      <c r="ADV28" s="381"/>
      <c r="ADW28" s="381"/>
      <c r="ADX28" s="381"/>
      <c r="ADY28" s="381"/>
      <c r="ADZ28" s="381"/>
      <c r="AEA28" s="381"/>
      <c r="AEB28" s="381"/>
      <c r="AEC28" s="381"/>
      <c r="AED28" s="381"/>
      <c r="AEE28" s="379"/>
      <c r="AEF28" s="380"/>
      <c r="AEG28" s="380"/>
      <c r="AEH28" s="380"/>
      <c r="AEI28" s="381"/>
      <c r="AEJ28" s="381"/>
      <c r="AEK28" s="381"/>
      <c r="AEL28" s="381"/>
      <c r="AEM28" s="381"/>
      <c r="AEN28" s="381"/>
      <c r="AEO28" s="381"/>
      <c r="AEP28" s="381"/>
      <c r="AEQ28" s="381"/>
      <c r="AER28" s="381"/>
      <c r="AES28" s="381"/>
      <c r="AET28" s="381"/>
      <c r="AEU28" s="381"/>
      <c r="AEV28" s="381"/>
      <c r="AEW28" s="381"/>
      <c r="AEX28" s="381"/>
      <c r="AEY28" s="381"/>
      <c r="AEZ28" s="381"/>
      <c r="AFA28" s="381"/>
      <c r="AFB28" s="381"/>
      <c r="AFC28" s="381"/>
      <c r="AFD28" s="381"/>
      <c r="AFE28" s="381"/>
      <c r="AFF28" s="381"/>
      <c r="AFG28" s="381"/>
      <c r="AFH28" s="381"/>
      <c r="AFI28" s="379"/>
      <c r="AFJ28" s="380"/>
      <c r="AFK28" s="380"/>
      <c r="AFL28" s="380"/>
      <c r="AFM28" s="381"/>
      <c r="AFN28" s="381"/>
      <c r="AFO28" s="381"/>
      <c r="AFP28" s="381"/>
      <c r="AFQ28" s="381"/>
      <c r="AFR28" s="381"/>
      <c r="AFS28" s="381"/>
      <c r="AFT28" s="381"/>
      <c r="AFU28" s="381"/>
      <c r="AFV28" s="381"/>
      <c r="AFW28" s="381"/>
      <c r="AFX28" s="381"/>
      <c r="AFY28" s="381"/>
      <c r="AFZ28" s="381"/>
      <c r="AGA28" s="381"/>
      <c r="AGB28" s="381"/>
      <c r="AGC28" s="381"/>
      <c r="AGD28" s="381"/>
      <c r="AGE28" s="381"/>
      <c r="AGF28" s="381"/>
      <c r="AGG28" s="381"/>
      <c r="AGH28" s="381"/>
      <c r="AGI28" s="381"/>
      <c r="AGJ28" s="381"/>
      <c r="AGK28" s="381"/>
      <c r="AGL28" s="381"/>
      <c r="AGM28" s="379"/>
      <c r="AGN28" s="380"/>
      <c r="AGO28" s="380"/>
      <c r="AGP28" s="380"/>
      <c r="AGQ28" s="381"/>
      <c r="AGR28" s="381"/>
      <c r="AGS28" s="381"/>
      <c r="AGT28" s="381"/>
      <c r="AGU28" s="381"/>
      <c r="AGV28" s="381"/>
      <c r="AGW28" s="381"/>
      <c r="AGX28" s="381"/>
      <c r="AGY28" s="381"/>
      <c r="AGZ28" s="381"/>
      <c r="AHA28" s="381"/>
      <c r="AHB28" s="381"/>
      <c r="AHC28" s="381"/>
      <c r="AHD28" s="381"/>
      <c r="AHE28" s="381"/>
      <c r="AHF28" s="381"/>
      <c r="AHG28" s="381"/>
      <c r="AHH28" s="381"/>
      <c r="AHI28" s="381"/>
      <c r="AHJ28" s="381"/>
      <c r="AHK28" s="381"/>
      <c r="AHL28" s="381"/>
      <c r="AHM28" s="381"/>
      <c r="AHN28" s="381"/>
      <c r="AHO28" s="381"/>
      <c r="AHP28" s="381"/>
      <c r="AHQ28" s="379"/>
      <c r="AHR28" s="380"/>
      <c r="AHS28" s="380"/>
      <c r="AHT28" s="380"/>
      <c r="AHU28" s="381"/>
      <c r="AHV28" s="381"/>
      <c r="AHW28" s="381"/>
      <c r="AHX28" s="381"/>
      <c r="AHY28" s="381"/>
      <c r="AHZ28" s="381"/>
      <c r="AIA28" s="381"/>
      <c r="AIB28" s="381"/>
      <c r="AIC28" s="381"/>
      <c r="AID28" s="381"/>
      <c r="AIE28" s="381"/>
      <c r="AIF28" s="381"/>
      <c r="AIG28" s="381"/>
      <c r="AIH28" s="381"/>
      <c r="AII28" s="381"/>
      <c r="AIJ28" s="381"/>
      <c r="AIK28" s="381"/>
      <c r="AIL28" s="381"/>
      <c r="AIM28" s="381"/>
      <c r="AIN28" s="381"/>
      <c r="AIO28" s="381"/>
      <c r="AIP28" s="381"/>
      <c r="AIQ28" s="381"/>
      <c r="AIR28" s="381"/>
      <c r="AIS28" s="381"/>
      <c r="AIT28" s="381"/>
      <c r="AIU28" s="379"/>
      <c r="AIV28" s="380"/>
      <c r="AIW28" s="380"/>
      <c r="AIX28" s="380"/>
      <c r="AIY28" s="381"/>
      <c r="AIZ28" s="381"/>
      <c r="AJA28" s="381"/>
      <c r="AJB28" s="381"/>
      <c r="AJC28" s="381"/>
      <c r="AJD28" s="381"/>
      <c r="AJE28" s="381"/>
      <c r="AJF28" s="381"/>
      <c r="AJG28" s="381"/>
      <c r="AJH28" s="381"/>
      <c r="AJI28" s="381"/>
      <c r="AJJ28" s="381"/>
      <c r="AJK28" s="381"/>
      <c r="AJL28" s="381"/>
      <c r="AJM28" s="381"/>
      <c r="AJN28" s="381"/>
      <c r="AJO28" s="381"/>
      <c r="AJP28" s="381"/>
      <c r="AJQ28" s="381"/>
      <c r="AJR28" s="381"/>
      <c r="AJS28" s="381"/>
      <c r="AJT28" s="381"/>
      <c r="AJU28" s="381"/>
      <c r="AJV28" s="381"/>
      <c r="AJW28" s="381"/>
      <c r="AJX28" s="381"/>
      <c r="AJY28" s="379"/>
      <c r="AJZ28" s="380"/>
      <c r="AKA28" s="380"/>
      <c r="AKB28" s="380"/>
      <c r="AKC28" s="381"/>
      <c r="AKD28" s="381"/>
      <c r="AKE28" s="381"/>
      <c r="AKF28" s="381"/>
      <c r="AKG28" s="381"/>
      <c r="AKH28" s="381"/>
      <c r="AKI28" s="381"/>
      <c r="AKJ28" s="381"/>
      <c r="AKK28" s="381"/>
      <c r="AKL28" s="381"/>
      <c r="AKM28" s="381"/>
      <c r="AKN28" s="381"/>
      <c r="AKO28" s="381"/>
      <c r="AKP28" s="381"/>
      <c r="AKQ28" s="381"/>
      <c r="AKR28" s="381"/>
      <c r="AKS28" s="381"/>
      <c r="AKT28" s="381"/>
      <c r="AKU28" s="381"/>
      <c r="AKV28" s="381"/>
      <c r="AKW28" s="381"/>
      <c r="AKX28" s="381"/>
      <c r="AKY28" s="381"/>
      <c r="AKZ28" s="381"/>
      <c r="ALA28" s="381"/>
      <c r="ALB28" s="381"/>
      <c r="ALC28" s="379"/>
      <c r="ALD28" s="380"/>
      <c r="ALE28" s="380"/>
      <c r="ALF28" s="380"/>
      <c r="ALG28" s="381"/>
      <c r="ALH28" s="381"/>
      <c r="ALI28" s="381"/>
      <c r="ALJ28" s="381"/>
      <c r="ALK28" s="381"/>
      <c r="ALL28" s="381"/>
      <c r="ALM28" s="381"/>
      <c r="ALN28" s="381"/>
      <c r="ALO28" s="381"/>
      <c r="ALP28" s="381"/>
      <c r="ALQ28" s="381"/>
      <c r="ALR28" s="381"/>
      <c r="ALS28" s="381"/>
      <c r="ALT28" s="381"/>
      <c r="ALU28" s="381"/>
      <c r="ALV28" s="381"/>
      <c r="ALW28" s="381"/>
      <c r="ALX28" s="381"/>
      <c r="ALY28" s="381"/>
      <c r="ALZ28" s="381"/>
      <c r="AMA28" s="381"/>
      <c r="AMB28" s="381"/>
      <c r="AMC28" s="381"/>
      <c r="AMD28" s="381"/>
      <c r="AME28" s="381"/>
      <c r="AMF28" s="381"/>
      <c r="AMG28" s="379"/>
      <c r="AMH28" s="380"/>
      <c r="AMI28" s="380"/>
      <c r="AMJ28" s="380"/>
      <c r="AMK28" s="381"/>
      <c r="AML28" s="381"/>
      <c r="AMM28" s="381"/>
      <c r="AMN28" s="381"/>
      <c r="AMO28" s="381"/>
      <c r="AMP28" s="381"/>
      <c r="AMQ28" s="381"/>
      <c r="AMR28" s="381"/>
      <c r="AMS28" s="381"/>
      <c r="AMT28" s="381"/>
      <c r="AMU28" s="381"/>
      <c r="AMV28" s="381"/>
      <c r="AMW28" s="381"/>
      <c r="AMX28" s="381"/>
      <c r="AMY28" s="381"/>
      <c r="AMZ28" s="381"/>
      <c r="ANA28" s="381"/>
      <c r="ANB28" s="381"/>
      <c r="ANC28" s="381"/>
      <c r="AND28" s="381"/>
      <c r="ANE28" s="381"/>
      <c r="ANF28" s="381"/>
      <c r="ANG28" s="381"/>
      <c r="ANH28" s="381"/>
      <c r="ANI28" s="381"/>
      <c r="ANJ28" s="381"/>
      <c r="ANK28" s="379"/>
      <c r="ANL28" s="380"/>
      <c r="ANM28" s="380"/>
      <c r="ANN28" s="380"/>
      <c r="ANO28" s="381"/>
      <c r="ANP28" s="381"/>
      <c r="ANQ28" s="381"/>
      <c r="ANR28" s="381"/>
      <c r="ANS28" s="381"/>
      <c r="ANT28" s="381"/>
      <c r="ANU28" s="381"/>
      <c r="ANV28" s="381"/>
      <c r="ANW28" s="381"/>
      <c r="ANX28" s="381"/>
      <c r="ANY28" s="381"/>
      <c r="ANZ28" s="381"/>
      <c r="AOA28" s="381"/>
      <c r="AOB28" s="381"/>
      <c r="AOC28" s="381"/>
      <c r="AOD28" s="381"/>
      <c r="AOE28" s="381"/>
      <c r="AOF28" s="381"/>
      <c r="AOG28" s="381"/>
      <c r="AOH28" s="381"/>
      <c r="AOI28" s="381"/>
      <c r="AOJ28" s="381"/>
      <c r="AOK28" s="381"/>
      <c r="AOL28" s="381"/>
      <c r="AOM28" s="381"/>
      <c r="AON28" s="381"/>
      <c r="AOO28" s="379"/>
      <c r="AOP28" s="380"/>
      <c r="AOQ28" s="380"/>
      <c r="AOR28" s="380"/>
      <c r="AOS28" s="381"/>
      <c r="AOT28" s="381"/>
      <c r="AOU28" s="381"/>
      <c r="AOV28" s="381"/>
      <c r="AOW28" s="381"/>
      <c r="AOX28" s="381"/>
      <c r="AOY28" s="381"/>
      <c r="AOZ28" s="381"/>
      <c r="APA28" s="381"/>
      <c r="APB28" s="381"/>
      <c r="APC28" s="381"/>
      <c r="APD28" s="381"/>
      <c r="APE28" s="381"/>
      <c r="APF28" s="381"/>
      <c r="APG28" s="381"/>
      <c r="APH28" s="381"/>
      <c r="API28" s="381"/>
      <c r="APJ28" s="381"/>
      <c r="APK28" s="381"/>
      <c r="APL28" s="381"/>
      <c r="APM28" s="381"/>
      <c r="APN28" s="381"/>
      <c r="APO28" s="381"/>
      <c r="APP28" s="381"/>
      <c r="APQ28" s="381"/>
      <c r="APR28" s="381"/>
      <c r="APS28" s="379"/>
      <c r="APT28" s="380"/>
      <c r="APU28" s="380"/>
      <c r="APV28" s="380"/>
      <c r="APW28" s="381"/>
      <c r="APX28" s="381"/>
      <c r="APY28" s="381"/>
      <c r="APZ28" s="381"/>
      <c r="AQA28" s="381"/>
      <c r="AQB28" s="381"/>
      <c r="AQC28" s="381"/>
      <c r="AQD28" s="381"/>
      <c r="AQE28" s="381"/>
      <c r="AQF28" s="381"/>
      <c r="AQG28" s="381"/>
      <c r="AQH28" s="381"/>
      <c r="AQI28" s="381"/>
      <c r="AQJ28" s="381"/>
      <c r="AQK28" s="381"/>
      <c r="AQL28" s="381"/>
      <c r="AQM28" s="381"/>
      <c r="AQN28" s="381"/>
      <c r="AQO28" s="381"/>
      <c r="AQP28" s="381"/>
      <c r="AQQ28" s="381"/>
      <c r="AQR28" s="381"/>
      <c r="AQS28" s="381"/>
      <c r="AQT28" s="381"/>
      <c r="AQU28" s="381"/>
      <c r="AQV28" s="381"/>
      <c r="AQW28" s="379"/>
      <c r="AQX28" s="380"/>
      <c r="AQY28" s="380"/>
      <c r="AQZ28" s="380"/>
      <c r="ARA28" s="381"/>
      <c r="ARB28" s="381"/>
      <c r="ARC28" s="381"/>
      <c r="ARD28" s="381"/>
      <c r="ARE28" s="381"/>
      <c r="ARF28" s="381"/>
      <c r="ARG28" s="381"/>
      <c r="ARH28" s="381"/>
      <c r="ARI28" s="381"/>
      <c r="ARJ28" s="381"/>
      <c r="ARK28" s="381"/>
      <c r="ARL28" s="381"/>
      <c r="ARM28" s="381"/>
      <c r="ARN28" s="381"/>
      <c r="ARO28" s="381"/>
      <c r="ARP28" s="381"/>
      <c r="ARQ28" s="381"/>
      <c r="ARR28" s="381"/>
      <c r="ARS28" s="381"/>
      <c r="ART28" s="381"/>
      <c r="ARU28" s="381"/>
      <c r="ARV28" s="381"/>
      <c r="ARW28" s="381"/>
      <c r="ARX28" s="381"/>
      <c r="ARY28" s="381"/>
      <c r="ARZ28" s="381"/>
      <c r="ASA28" s="379"/>
      <c r="ASB28" s="380"/>
      <c r="ASC28" s="380"/>
      <c r="ASD28" s="380"/>
      <c r="ASE28" s="381"/>
      <c r="ASF28" s="381"/>
      <c r="ASG28" s="381"/>
      <c r="ASH28" s="381"/>
      <c r="ASI28" s="381"/>
      <c r="ASJ28" s="381"/>
      <c r="ASK28" s="381"/>
      <c r="ASL28" s="381"/>
      <c r="ASM28" s="381"/>
      <c r="ASN28" s="381"/>
      <c r="ASO28" s="381"/>
      <c r="ASP28" s="381"/>
      <c r="ASQ28" s="381"/>
      <c r="ASR28" s="381"/>
      <c r="ASS28" s="381"/>
      <c r="AST28" s="381"/>
      <c r="ASU28" s="381"/>
      <c r="ASV28" s="381"/>
      <c r="ASW28" s="381"/>
      <c r="ASX28" s="381"/>
      <c r="ASY28" s="381"/>
      <c r="ASZ28" s="381"/>
      <c r="ATA28" s="381"/>
      <c r="ATB28" s="381"/>
      <c r="ATC28" s="381"/>
      <c r="ATD28" s="381"/>
      <c r="ATE28" s="379"/>
      <c r="ATF28" s="380"/>
      <c r="ATG28" s="380"/>
      <c r="ATH28" s="380"/>
      <c r="ATI28" s="381"/>
      <c r="ATJ28" s="381"/>
      <c r="ATK28" s="381"/>
      <c r="ATL28" s="381"/>
      <c r="ATM28" s="381"/>
      <c r="ATN28" s="381"/>
      <c r="ATO28" s="381"/>
      <c r="ATP28" s="381"/>
      <c r="ATQ28" s="381"/>
      <c r="ATR28" s="381"/>
      <c r="ATS28" s="381"/>
      <c r="ATT28" s="381"/>
      <c r="ATU28" s="381"/>
      <c r="ATV28" s="381"/>
      <c r="ATW28" s="381"/>
      <c r="ATX28" s="381"/>
      <c r="ATY28" s="381"/>
      <c r="ATZ28" s="381"/>
      <c r="AUA28" s="381"/>
      <c r="AUB28" s="381"/>
      <c r="AUC28" s="381"/>
      <c r="AUD28" s="381"/>
      <c r="AUE28" s="381"/>
      <c r="AUF28" s="381"/>
      <c r="AUG28" s="381"/>
      <c r="AUH28" s="381"/>
      <c r="AUI28" s="379"/>
      <c r="AUJ28" s="380"/>
      <c r="AUK28" s="380"/>
      <c r="AUL28" s="380"/>
      <c r="AUM28" s="381"/>
      <c r="AUN28" s="381"/>
      <c r="AUO28" s="381"/>
      <c r="AUP28" s="381"/>
      <c r="AUQ28" s="381"/>
      <c r="AUR28" s="381"/>
      <c r="AUS28" s="381"/>
      <c r="AUT28" s="381"/>
      <c r="AUU28" s="381"/>
      <c r="AUV28" s="381"/>
      <c r="AUW28" s="381"/>
      <c r="AUX28" s="381"/>
      <c r="AUY28" s="381"/>
      <c r="AUZ28" s="381"/>
      <c r="AVA28" s="381"/>
      <c r="AVB28" s="381"/>
      <c r="AVC28" s="381"/>
      <c r="AVD28" s="381"/>
      <c r="AVE28" s="381"/>
      <c r="AVF28" s="381"/>
      <c r="AVG28" s="381"/>
      <c r="AVH28" s="381"/>
      <c r="AVI28" s="381"/>
      <c r="AVJ28" s="381"/>
      <c r="AVK28" s="381"/>
      <c r="AVL28" s="381"/>
      <c r="AVM28" s="379"/>
      <c r="AVN28" s="380"/>
      <c r="AVO28" s="380"/>
      <c r="AVP28" s="380"/>
      <c r="AVQ28" s="381"/>
      <c r="AVR28" s="381"/>
      <c r="AVS28" s="381"/>
      <c r="AVT28" s="381"/>
      <c r="AVU28" s="381"/>
      <c r="AVV28" s="381"/>
      <c r="AVW28" s="381"/>
      <c r="AVX28" s="381"/>
      <c r="AVY28" s="381"/>
      <c r="AVZ28" s="381"/>
      <c r="AWA28" s="381"/>
      <c r="AWB28" s="381"/>
      <c r="AWC28" s="381"/>
      <c r="AWD28" s="381"/>
      <c r="AWE28" s="381"/>
      <c r="AWF28" s="381"/>
      <c r="AWG28" s="381"/>
      <c r="AWH28" s="381"/>
      <c r="AWI28" s="381"/>
      <c r="AWJ28" s="381"/>
      <c r="AWK28" s="381"/>
      <c r="AWL28" s="381"/>
      <c r="AWM28" s="381"/>
      <c r="AWN28" s="381"/>
      <c r="AWO28" s="381"/>
      <c r="AWP28" s="381"/>
      <c r="AWQ28" s="379"/>
      <c r="AWR28" s="380"/>
      <c r="AWS28" s="380"/>
      <c r="AWT28" s="380"/>
      <c r="AWU28" s="381"/>
      <c r="AWV28" s="381"/>
      <c r="AWW28" s="381"/>
      <c r="AWX28" s="381"/>
      <c r="AWY28" s="381"/>
      <c r="AWZ28" s="381"/>
      <c r="AXA28" s="381"/>
      <c r="AXB28" s="381"/>
      <c r="AXC28" s="381"/>
      <c r="AXD28" s="381"/>
      <c r="AXE28" s="381"/>
      <c r="AXF28" s="381"/>
      <c r="AXG28" s="381"/>
      <c r="AXH28" s="381"/>
      <c r="AXI28" s="381"/>
      <c r="AXJ28" s="381"/>
      <c r="AXK28" s="381"/>
      <c r="AXL28" s="381"/>
      <c r="AXM28" s="381"/>
      <c r="AXN28" s="381"/>
      <c r="AXO28" s="381"/>
      <c r="AXP28" s="381"/>
      <c r="AXQ28" s="381"/>
      <c r="AXR28" s="381"/>
      <c r="AXS28" s="381"/>
      <c r="AXT28" s="381"/>
      <c r="AXU28" s="379"/>
      <c r="AXV28" s="380"/>
      <c r="AXW28" s="380"/>
      <c r="AXX28" s="380"/>
      <c r="AXY28" s="381"/>
      <c r="AXZ28" s="381"/>
      <c r="AYA28" s="381"/>
      <c r="AYB28" s="381"/>
      <c r="AYC28" s="381"/>
      <c r="AYD28" s="381"/>
      <c r="AYE28" s="381"/>
      <c r="AYF28" s="381"/>
      <c r="AYG28" s="381"/>
      <c r="AYH28" s="381"/>
      <c r="AYI28" s="381"/>
      <c r="AYJ28" s="381"/>
      <c r="AYK28" s="381"/>
      <c r="AYL28" s="381"/>
      <c r="AYM28" s="381"/>
      <c r="AYN28" s="381"/>
      <c r="AYO28" s="381"/>
      <c r="AYP28" s="381"/>
      <c r="AYQ28" s="381"/>
      <c r="AYR28" s="381"/>
      <c r="AYS28" s="381"/>
      <c r="AYT28" s="381"/>
      <c r="AYU28" s="381"/>
      <c r="AYV28" s="381"/>
      <c r="AYW28" s="381"/>
      <c r="AYX28" s="381"/>
      <c r="AYY28" s="379"/>
      <c r="AYZ28" s="380"/>
      <c r="AZA28" s="380"/>
      <c r="AZB28" s="380"/>
      <c r="AZC28" s="381"/>
      <c r="AZD28" s="381"/>
      <c r="AZE28" s="381"/>
      <c r="AZF28" s="381"/>
      <c r="AZG28" s="381"/>
      <c r="AZH28" s="381"/>
      <c r="AZI28" s="381"/>
      <c r="AZJ28" s="381"/>
      <c r="AZK28" s="381"/>
      <c r="AZL28" s="381"/>
      <c r="AZM28" s="381"/>
      <c r="AZN28" s="381"/>
      <c r="AZO28" s="381"/>
      <c r="AZP28" s="381"/>
      <c r="AZQ28" s="381"/>
      <c r="AZR28" s="381"/>
      <c r="AZS28" s="381"/>
      <c r="AZT28" s="381"/>
      <c r="AZU28" s="381"/>
      <c r="AZV28" s="381"/>
      <c r="AZW28" s="381"/>
      <c r="AZX28" s="381"/>
      <c r="AZY28" s="381"/>
      <c r="AZZ28" s="381"/>
      <c r="BAA28" s="381"/>
      <c r="BAB28" s="381"/>
      <c r="BAC28" s="379"/>
      <c r="BAD28" s="380"/>
      <c r="BAE28" s="380"/>
      <c r="BAF28" s="380"/>
      <c r="BAG28" s="381"/>
      <c r="BAH28" s="381"/>
      <c r="BAI28" s="381"/>
      <c r="BAJ28" s="381"/>
      <c r="BAK28" s="381"/>
      <c r="BAL28" s="381"/>
      <c r="BAM28" s="381"/>
      <c r="BAN28" s="381"/>
      <c r="BAO28" s="381"/>
      <c r="BAP28" s="381"/>
      <c r="BAQ28" s="381"/>
      <c r="BAR28" s="381"/>
      <c r="BAS28" s="381"/>
      <c r="BAT28" s="381"/>
      <c r="BAU28" s="381"/>
      <c r="BAV28" s="381"/>
      <c r="BAW28" s="381"/>
      <c r="BAX28" s="381"/>
      <c r="BAY28" s="381"/>
      <c r="BAZ28" s="381"/>
      <c r="BBA28" s="381"/>
      <c r="BBB28" s="381"/>
      <c r="BBC28" s="381"/>
      <c r="BBD28" s="381"/>
      <c r="BBE28" s="381"/>
      <c r="BBF28" s="381"/>
      <c r="BBG28" s="379"/>
      <c r="BBH28" s="380"/>
      <c r="BBI28" s="380"/>
      <c r="BBJ28" s="380"/>
      <c r="BBK28" s="381"/>
      <c r="BBL28" s="381"/>
      <c r="BBM28" s="381"/>
      <c r="BBN28" s="381"/>
      <c r="BBO28" s="381"/>
      <c r="BBP28" s="381"/>
      <c r="BBQ28" s="381"/>
      <c r="BBR28" s="381"/>
      <c r="BBS28" s="381"/>
      <c r="BBT28" s="381"/>
      <c r="BBU28" s="381"/>
      <c r="BBV28" s="381"/>
      <c r="BBW28" s="381"/>
      <c r="BBX28" s="381"/>
      <c r="BBY28" s="381"/>
      <c r="BBZ28" s="381"/>
      <c r="BCA28" s="381"/>
      <c r="BCB28" s="381"/>
      <c r="BCC28" s="381"/>
      <c r="BCD28" s="381"/>
      <c r="BCE28" s="381"/>
      <c r="BCF28" s="381"/>
      <c r="BCG28" s="381"/>
      <c r="BCH28" s="381"/>
      <c r="BCI28" s="381"/>
      <c r="BCJ28" s="381"/>
      <c r="BCK28" s="379"/>
      <c r="BCL28" s="380"/>
      <c r="BCM28" s="380"/>
      <c r="BCN28" s="380"/>
      <c r="BCO28" s="381"/>
      <c r="BCP28" s="381"/>
      <c r="BCQ28" s="381"/>
      <c r="BCR28" s="381"/>
      <c r="BCS28" s="381"/>
      <c r="BCT28" s="381"/>
      <c r="BCU28" s="381"/>
      <c r="BCV28" s="381"/>
      <c r="BCW28" s="381"/>
      <c r="BCX28" s="381"/>
      <c r="BCY28" s="381"/>
      <c r="BCZ28" s="381"/>
      <c r="BDA28" s="381"/>
      <c r="BDB28" s="381"/>
      <c r="BDC28" s="381"/>
      <c r="BDD28" s="381"/>
      <c r="BDE28" s="381"/>
      <c r="BDF28" s="381"/>
      <c r="BDG28" s="381"/>
      <c r="BDH28" s="381"/>
      <c r="BDI28" s="381"/>
      <c r="BDJ28" s="381"/>
      <c r="BDK28" s="381"/>
      <c r="BDL28" s="381"/>
      <c r="BDM28" s="381"/>
      <c r="BDN28" s="381"/>
      <c r="BDO28" s="379"/>
      <c r="BDP28" s="380"/>
      <c r="BDQ28" s="380"/>
      <c r="BDR28" s="380"/>
      <c r="BDS28" s="381"/>
      <c r="BDT28" s="381"/>
      <c r="BDU28" s="381"/>
      <c r="BDV28" s="381"/>
      <c r="BDW28" s="381"/>
      <c r="BDX28" s="381"/>
      <c r="BDY28" s="381"/>
      <c r="BDZ28" s="381"/>
      <c r="BEA28" s="381"/>
      <c r="BEB28" s="381"/>
      <c r="BEC28" s="381"/>
      <c r="BED28" s="381"/>
      <c r="BEE28" s="381"/>
      <c r="BEF28" s="381"/>
      <c r="BEG28" s="381"/>
      <c r="BEH28" s="381"/>
      <c r="BEI28" s="381"/>
      <c r="BEJ28" s="381"/>
      <c r="BEK28" s="381"/>
      <c r="BEL28" s="381"/>
      <c r="BEM28" s="381"/>
      <c r="BEN28" s="381"/>
      <c r="BEO28" s="381"/>
      <c r="BEP28" s="381"/>
      <c r="BEQ28" s="381"/>
      <c r="BER28" s="381"/>
      <c r="BES28" s="379"/>
      <c r="BET28" s="380"/>
      <c r="BEU28" s="380"/>
      <c r="BEV28" s="380"/>
      <c r="BEW28" s="381"/>
      <c r="BEX28" s="381"/>
      <c r="BEY28" s="381"/>
      <c r="BEZ28" s="381"/>
      <c r="BFA28" s="381"/>
      <c r="BFB28" s="381"/>
      <c r="BFC28" s="381"/>
      <c r="BFD28" s="381"/>
      <c r="BFE28" s="381"/>
      <c r="BFF28" s="381"/>
      <c r="BFG28" s="381"/>
      <c r="BFH28" s="381"/>
      <c r="BFI28" s="381"/>
      <c r="BFJ28" s="381"/>
      <c r="BFK28" s="381"/>
      <c r="BFL28" s="381"/>
      <c r="BFM28" s="381"/>
      <c r="BFN28" s="381"/>
      <c r="BFO28" s="381"/>
      <c r="BFP28" s="381"/>
      <c r="BFQ28" s="381"/>
      <c r="BFR28" s="381"/>
      <c r="BFS28" s="381"/>
      <c r="BFT28" s="381"/>
      <c r="BFU28" s="381"/>
      <c r="BFV28" s="381"/>
      <c r="BFW28" s="379"/>
      <c r="BFX28" s="380"/>
      <c r="BFY28" s="380"/>
      <c r="BFZ28" s="380"/>
      <c r="BGA28" s="381"/>
      <c r="BGB28" s="381"/>
      <c r="BGC28" s="381"/>
      <c r="BGD28" s="381"/>
      <c r="BGE28" s="381"/>
      <c r="BGF28" s="381"/>
      <c r="BGG28" s="381"/>
      <c r="BGH28" s="381"/>
      <c r="BGI28" s="381"/>
      <c r="BGJ28" s="381"/>
      <c r="BGK28" s="381"/>
      <c r="BGL28" s="381"/>
      <c r="BGM28" s="381"/>
      <c r="BGN28" s="381"/>
      <c r="BGO28" s="381"/>
      <c r="BGP28" s="381"/>
      <c r="BGQ28" s="381"/>
      <c r="BGR28" s="381"/>
      <c r="BGS28" s="381"/>
      <c r="BGT28" s="381"/>
      <c r="BGU28" s="381"/>
      <c r="BGV28" s="381"/>
      <c r="BGW28" s="381"/>
      <c r="BGX28" s="381"/>
      <c r="BGY28" s="381"/>
      <c r="BGZ28" s="381"/>
      <c r="BHA28" s="379"/>
      <c r="BHB28" s="380"/>
      <c r="BHC28" s="380"/>
      <c r="BHD28" s="380"/>
      <c r="BHE28" s="381"/>
      <c r="BHF28" s="381"/>
      <c r="BHG28" s="381"/>
      <c r="BHH28" s="381"/>
      <c r="BHI28" s="381"/>
      <c r="BHJ28" s="381"/>
      <c r="BHK28" s="381"/>
      <c r="BHL28" s="381"/>
      <c r="BHM28" s="381"/>
      <c r="BHN28" s="381"/>
      <c r="BHO28" s="381"/>
      <c r="BHP28" s="381"/>
      <c r="BHQ28" s="381"/>
      <c r="BHR28" s="381"/>
      <c r="BHS28" s="381"/>
      <c r="BHT28" s="381"/>
      <c r="BHU28" s="381"/>
      <c r="BHV28" s="381"/>
      <c r="BHW28" s="381"/>
      <c r="BHX28" s="381"/>
      <c r="BHY28" s="381"/>
      <c r="BHZ28" s="381"/>
      <c r="BIA28" s="381"/>
      <c r="BIB28" s="381"/>
      <c r="BIC28" s="381"/>
      <c r="BID28" s="381"/>
      <c r="BIE28" s="379"/>
      <c r="BIF28" s="380"/>
      <c r="BIG28" s="380"/>
      <c r="BIH28" s="380"/>
      <c r="BII28" s="381"/>
      <c r="BIJ28" s="381"/>
      <c r="BIK28" s="381"/>
      <c r="BIL28" s="381"/>
      <c r="BIM28" s="381"/>
      <c r="BIN28" s="381"/>
      <c r="BIO28" s="381"/>
      <c r="BIP28" s="381"/>
      <c r="BIQ28" s="381"/>
      <c r="BIR28" s="381"/>
      <c r="BIS28" s="381"/>
      <c r="BIT28" s="381"/>
      <c r="BIU28" s="381"/>
      <c r="BIV28" s="381"/>
      <c r="BIW28" s="381"/>
      <c r="BIX28" s="381"/>
      <c r="BIY28" s="381"/>
      <c r="BIZ28" s="381"/>
      <c r="BJA28" s="381"/>
      <c r="BJB28" s="381"/>
      <c r="BJC28" s="381"/>
      <c r="BJD28" s="381"/>
      <c r="BJE28" s="381"/>
      <c r="BJF28" s="381"/>
      <c r="BJG28" s="381"/>
      <c r="BJH28" s="381"/>
      <c r="BJI28" s="379"/>
      <c r="BJJ28" s="380"/>
      <c r="BJK28" s="380"/>
      <c r="BJL28" s="380"/>
      <c r="BJM28" s="381"/>
      <c r="BJN28" s="381"/>
      <c r="BJO28" s="381"/>
      <c r="BJP28" s="381"/>
      <c r="BJQ28" s="381"/>
      <c r="BJR28" s="381"/>
      <c r="BJS28" s="381"/>
      <c r="BJT28" s="381"/>
      <c r="BJU28" s="381"/>
      <c r="BJV28" s="381"/>
      <c r="BJW28" s="381"/>
      <c r="BJX28" s="381"/>
      <c r="BJY28" s="381"/>
      <c r="BJZ28" s="381"/>
      <c r="BKA28" s="381"/>
      <c r="BKB28" s="381"/>
      <c r="BKC28" s="381"/>
      <c r="BKD28" s="381"/>
      <c r="BKE28" s="381"/>
      <c r="BKF28" s="381"/>
      <c r="BKG28" s="381"/>
      <c r="BKH28" s="381"/>
      <c r="BKI28" s="381"/>
      <c r="BKJ28" s="381"/>
      <c r="BKK28" s="381"/>
      <c r="BKL28" s="381"/>
      <c r="BKM28" s="379"/>
      <c r="BKN28" s="380"/>
      <c r="BKO28" s="380"/>
      <c r="BKP28" s="380"/>
      <c r="BKQ28" s="381"/>
      <c r="BKR28" s="381"/>
      <c r="BKS28" s="381"/>
      <c r="BKT28" s="381"/>
      <c r="BKU28" s="381"/>
      <c r="BKV28" s="381"/>
      <c r="BKW28" s="381"/>
      <c r="BKX28" s="381"/>
      <c r="BKY28" s="381"/>
      <c r="BKZ28" s="381"/>
      <c r="BLA28" s="381"/>
      <c r="BLB28" s="381"/>
      <c r="BLC28" s="381"/>
      <c r="BLD28" s="381"/>
      <c r="BLE28" s="381"/>
      <c r="BLF28" s="381"/>
      <c r="BLG28" s="381"/>
      <c r="BLH28" s="381"/>
      <c r="BLI28" s="381"/>
      <c r="BLJ28" s="381"/>
      <c r="BLK28" s="381"/>
      <c r="BLL28" s="381"/>
      <c r="BLM28" s="381"/>
      <c r="BLN28" s="381"/>
      <c r="BLO28" s="381"/>
      <c r="BLP28" s="381"/>
      <c r="BLQ28" s="379"/>
      <c r="BLR28" s="380"/>
      <c r="BLS28" s="380"/>
      <c r="BLT28" s="380"/>
      <c r="BLU28" s="381"/>
      <c r="BLV28" s="381"/>
      <c r="BLW28" s="381"/>
      <c r="BLX28" s="381"/>
      <c r="BLY28" s="381"/>
      <c r="BLZ28" s="381"/>
      <c r="BMA28" s="381"/>
      <c r="BMB28" s="381"/>
      <c r="BMC28" s="381"/>
      <c r="BMD28" s="381"/>
      <c r="BME28" s="381"/>
      <c r="BMF28" s="381"/>
      <c r="BMG28" s="381"/>
      <c r="BMH28" s="381"/>
      <c r="BMI28" s="381"/>
      <c r="BMJ28" s="381"/>
      <c r="BMK28" s="381"/>
      <c r="BML28" s="381"/>
      <c r="BMM28" s="381"/>
      <c r="BMN28" s="381"/>
      <c r="BMO28" s="381"/>
      <c r="BMP28" s="381"/>
      <c r="BMQ28" s="381"/>
      <c r="BMR28" s="381"/>
      <c r="BMS28" s="381"/>
      <c r="BMT28" s="381"/>
      <c r="BMU28" s="379"/>
      <c r="BMV28" s="380"/>
      <c r="BMW28" s="380"/>
      <c r="BMX28" s="380"/>
      <c r="BMY28" s="381"/>
      <c r="BMZ28" s="381"/>
      <c r="BNA28" s="381"/>
      <c r="BNB28" s="381"/>
      <c r="BNC28" s="381"/>
      <c r="BND28" s="381"/>
      <c r="BNE28" s="381"/>
      <c r="BNF28" s="381"/>
      <c r="BNG28" s="381"/>
      <c r="BNH28" s="381"/>
      <c r="BNI28" s="381"/>
      <c r="BNJ28" s="381"/>
      <c r="BNK28" s="381"/>
      <c r="BNL28" s="381"/>
      <c r="BNM28" s="381"/>
      <c r="BNN28" s="381"/>
      <c r="BNO28" s="381"/>
      <c r="BNP28" s="381"/>
      <c r="BNQ28" s="381"/>
      <c r="BNR28" s="381"/>
      <c r="BNS28" s="381"/>
      <c r="BNT28" s="381"/>
      <c r="BNU28" s="381"/>
      <c r="BNV28" s="381"/>
      <c r="BNW28" s="381"/>
      <c r="BNX28" s="381"/>
      <c r="BNY28" s="379"/>
      <c r="BNZ28" s="380"/>
      <c r="BOA28" s="380"/>
      <c r="BOB28" s="380"/>
      <c r="BOC28" s="381"/>
      <c r="BOD28" s="381"/>
      <c r="BOE28" s="381"/>
      <c r="BOF28" s="381"/>
      <c r="BOG28" s="381"/>
      <c r="BOH28" s="381"/>
      <c r="BOI28" s="381"/>
      <c r="BOJ28" s="381"/>
      <c r="BOK28" s="381"/>
      <c r="BOL28" s="381"/>
      <c r="BOM28" s="381"/>
      <c r="BON28" s="381"/>
      <c r="BOO28" s="381"/>
      <c r="BOP28" s="381"/>
      <c r="BOQ28" s="381"/>
      <c r="BOR28" s="381"/>
      <c r="BOS28" s="381"/>
      <c r="BOT28" s="381"/>
      <c r="BOU28" s="381"/>
      <c r="BOV28" s="381"/>
      <c r="BOW28" s="381"/>
      <c r="BOX28" s="381"/>
      <c r="BOY28" s="381"/>
      <c r="BOZ28" s="381"/>
      <c r="BPA28" s="381"/>
      <c r="BPB28" s="381"/>
      <c r="BPC28" s="379"/>
      <c r="BPD28" s="380"/>
      <c r="BPE28" s="380"/>
      <c r="BPF28" s="380"/>
      <c r="BPG28" s="381"/>
      <c r="BPH28" s="381"/>
      <c r="BPI28" s="381"/>
      <c r="BPJ28" s="381"/>
      <c r="BPK28" s="381"/>
      <c r="BPL28" s="381"/>
      <c r="BPM28" s="381"/>
      <c r="BPN28" s="381"/>
      <c r="BPO28" s="381"/>
      <c r="BPP28" s="381"/>
      <c r="BPQ28" s="381"/>
      <c r="BPR28" s="381"/>
      <c r="BPS28" s="381"/>
      <c r="BPT28" s="381"/>
      <c r="BPU28" s="381"/>
      <c r="BPV28" s="381"/>
      <c r="BPW28" s="381"/>
      <c r="BPX28" s="381"/>
      <c r="BPY28" s="381"/>
      <c r="BPZ28" s="381"/>
      <c r="BQA28" s="381"/>
      <c r="BQB28" s="381"/>
      <c r="BQC28" s="381"/>
      <c r="BQD28" s="381"/>
      <c r="BQE28" s="381"/>
      <c r="BQF28" s="381"/>
      <c r="BQG28" s="379"/>
      <c r="BQH28" s="380"/>
      <c r="BQI28" s="380"/>
      <c r="BQJ28" s="380"/>
      <c r="BQK28" s="381"/>
      <c r="BQL28" s="381"/>
      <c r="BQM28" s="381"/>
      <c r="BQN28" s="381"/>
      <c r="BQO28" s="381"/>
      <c r="BQP28" s="381"/>
      <c r="BQQ28" s="381"/>
      <c r="BQR28" s="381"/>
      <c r="BQS28" s="381"/>
      <c r="BQT28" s="381"/>
      <c r="BQU28" s="381"/>
      <c r="BQV28" s="381"/>
      <c r="BQW28" s="381"/>
      <c r="BQX28" s="381"/>
      <c r="BQY28" s="381"/>
      <c r="BQZ28" s="381"/>
      <c r="BRA28" s="381"/>
      <c r="BRB28" s="381"/>
      <c r="BRC28" s="381"/>
      <c r="BRD28" s="381"/>
      <c r="BRE28" s="381"/>
      <c r="BRF28" s="381"/>
      <c r="BRG28" s="381"/>
      <c r="BRH28" s="381"/>
      <c r="BRI28" s="381"/>
      <c r="BRJ28" s="381"/>
      <c r="BRK28" s="379"/>
      <c r="BRL28" s="380"/>
      <c r="BRM28" s="380"/>
      <c r="BRN28" s="380"/>
      <c r="BRO28" s="381"/>
      <c r="BRP28" s="381"/>
      <c r="BRQ28" s="381"/>
      <c r="BRR28" s="381"/>
      <c r="BRS28" s="381"/>
      <c r="BRT28" s="381"/>
      <c r="BRU28" s="381"/>
      <c r="BRV28" s="381"/>
      <c r="BRW28" s="381"/>
      <c r="BRX28" s="381"/>
      <c r="BRY28" s="381"/>
      <c r="BRZ28" s="381"/>
      <c r="BSA28" s="381"/>
      <c r="BSB28" s="381"/>
      <c r="BSC28" s="381"/>
      <c r="BSD28" s="381"/>
      <c r="BSE28" s="381"/>
      <c r="BSF28" s="381"/>
      <c r="BSG28" s="381"/>
      <c r="BSH28" s="381"/>
      <c r="BSI28" s="381"/>
      <c r="BSJ28" s="381"/>
      <c r="BSK28" s="381"/>
      <c r="BSL28" s="381"/>
      <c r="BSM28" s="381"/>
      <c r="BSN28" s="381"/>
      <c r="BSO28" s="379"/>
      <c r="BSP28" s="380"/>
      <c r="BSQ28" s="380"/>
      <c r="BSR28" s="380"/>
      <c r="BSS28" s="381"/>
      <c r="BST28" s="381"/>
      <c r="BSU28" s="381"/>
      <c r="BSV28" s="381"/>
      <c r="BSW28" s="381"/>
      <c r="BSX28" s="381"/>
      <c r="BSY28" s="381"/>
      <c r="BSZ28" s="381"/>
      <c r="BTA28" s="381"/>
      <c r="BTB28" s="381"/>
      <c r="BTC28" s="381"/>
      <c r="BTD28" s="381"/>
      <c r="BTE28" s="381"/>
      <c r="BTF28" s="381"/>
      <c r="BTG28" s="381"/>
      <c r="BTH28" s="381"/>
      <c r="BTI28" s="381"/>
      <c r="BTJ28" s="381"/>
      <c r="BTK28" s="381"/>
      <c r="BTL28" s="381"/>
      <c r="BTM28" s="381"/>
      <c r="BTN28" s="381"/>
      <c r="BTO28" s="381"/>
      <c r="BTP28" s="381"/>
      <c r="BTQ28" s="381"/>
      <c r="BTR28" s="381"/>
      <c r="BTS28" s="379"/>
      <c r="BTT28" s="380"/>
      <c r="BTU28" s="380"/>
      <c r="BTV28" s="380"/>
      <c r="BTW28" s="381"/>
      <c r="BTX28" s="381"/>
      <c r="BTY28" s="381"/>
      <c r="BTZ28" s="381"/>
      <c r="BUA28" s="381"/>
      <c r="BUB28" s="381"/>
      <c r="BUC28" s="381"/>
      <c r="BUD28" s="381"/>
      <c r="BUE28" s="381"/>
      <c r="BUF28" s="381"/>
      <c r="BUG28" s="381"/>
      <c r="BUH28" s="381"/>
      <c r="BUI28" s="381"/>
      <c r="BUJ28" s="381"/>
      <c r="BUK28" s="381"/>
      <c r="BUL28" s="381"/>
      <c r="BUM28" s="381"/>
      <c r="BUN28" s="381"/>
      <c r="BUO28" s="381"/>
      <c r="BUP28" s="381"/>
      <c r="BUQ28" s="381"/>
      <c r="BUR28" s="381"/>
      <c r="BUS28" s="381"/>
      <c r="BUT28" s="381"/>
      <c r="BUU28" s="381"/>
      <c r="BUV28" s="381"/>
      <c r="BUW28" s="379"/>
      <c r="BUX28" s="380"/>
      <c r="BUY28" s="380"/>
      <c r="BUZ28" s="380"/>
      <c r="BVA28" s="381"/>
      <c r="BVB28" s="381"/>
      <c r="BVC28" s="381"/>
      <c r="BVD28" s="381"/>
      <c r="BVE28" s="381"/>
      <c r="BVF28" s="381"/>
      <c r="BVG28" s="381"/>
      <c r="BVH28" s="381"/>
      <c r="BVI28" s="381"/>
      <c r="BVJ28" s="381"/>
      <c r="BVK28" s="381"/>
      <c r="BVL28" s="381"/>
      <c r="BVM28" s="381"/>
      <c r="BVN28" s="381"/>
      <c r="BVO28" s="381"/>
      <c r="BVP28" s="381"/>
      <c r="BVQ28" s="381"/>
      <c r="BVR28" s="381"/>
      <c r="BVS28" s="381"/>
      <c r="BVT28" s="381"/>
      <c r="BVU28" s="381"/>
      <c r="BVV28" s="381"/>
      <c r="BVW28" s="381"/>
      <c r="BVX28" s="381"/>
      <c r="BVY28" s="381"/>
      <c r="BVZ28" s="381"/>
      <c r="BWA28" s="379"/>
      <c r="BWB28" s="380"/>
      <c r="BWC28" s="380"/>
      <c r="BWD28" s="380"/>
      <c r="BWE28" s="381"/>
      <c r="BWF28" s="381"/>
      <c r="BWG28" s="381"/>
      <c r="BWH28" s="381"/>
      <c r="BWI28" s="381"/>
      <c r="BWJ28" s="381"/>
      <c r="BWK28" s="381"/>
      <c r="BWL28" s="381"/>
      <c r="BWM28" s="381"/>
      <c r="BWN28" s="381"/>
      <c r="BWO28" s="381"/>
      <c r="BWP28" s="381"/>
      <c r="BWQ28" s="381"/>
      <c r="BWR28" s="381"/>
      <c r="BWS28" s="381"/>
      <c r="BWT28" s="381"/>
      <c r="BWU28" s="381"/>
      <c r="BWV28" s="381"/>
      <c r="BWW28" s="381"/>
      <c r="BWX28" s="381"/>
      <c r="BWY28" s="381"/>
      <c r="BWZ28" s="381"/>
      <c r="BXA28" s="381"/>
      <c r="BXB28" s="381"/>
      <c r="BXC28" s="381"/>
      <c r="BXD28" s="381"/>
      <c r="BXE28" s="379"/>
      <c r="BXF28" s="380"/>
      <c r="BXG28" s="380"/>
      <c r="BXH28" s="380"/>
      <c r="BXI28" s="381"/>
      <c r="BXJ28" s="381"/>
      <c r="BXK28" s="381"/>
      <c r="BXL28" s="381"/>
      <c r="BXM28" s="381"/>
      <c r="BXN28" s="381"/>
      <c r="BXO28" s="381"/>
      <c r="BXP28" s="381"/>
      <c r="BXQ28" s="381"/>
      <c r="BXR28" s="381"/>
      <c r="BXS28" s="381"/>
      <c r="BXT28" s="381"/>
      <c r="BXU28" s="381"/>
      <c r="BXV28" s="381"/>
      <c r="BXW28" s="381"/>
      <c r="BXX28" s="381"/>
      <c r="BXY28" s="381"/>
      <c r="BXZ28" s="381"/>
      <c r="BYA28" s="381"/>
      <c r="BYB28" s="381"/>
      <c r="BYC28" s="381"/>
      <c r="BYD28" s="381"/>
      <c r="BYE28" s="381"/>
      <c r="BYF28" s="381"/>
      <c r="BYG28" s="381"/>
      <c r="BYH28" s="381"/>
      <c r="BYI28" s="379"/>
      <c r="BYJ28" s="380"/>
      <c r="BYK28" s="380"/>
      <c r="BYL28" s="380"/>
      <c r="BYM28" s="381"/>
      <c r="BYN28" s="381"/>
      <c r="BYO28" s="381"/>
      <c r="BYP28" s="381"/>
      <c r="BYQ28" s="381"/>
      <c r="BYR28" s="381"/>
      <c r="BYS28" s="381"/>
      <c r="BYT28" s="381"/>
      <c r="BYU28" s="381"/>
      <c r="BYV28" s="381"/>
      <c r="BYW28" s="381"/>
      <c r="BYX28" s="381"/>
      <c r="BYY28" s="381"/>
      <c r="BYZ28" s="381"/>
      <c r="BZA28" s="381"/>
      <c r="BZB28" s="381"/>
      <c r="BZC28" s="381"/>
      <c r="BZD28" s="381"/>
      <c r="BZE28" s="381"/>
      <c r="BZF28" s="381"/>
      <c r="BZG28" s="381"/>
      <c r="BZH28" s="381"/>
      <c r="BZI28" s="381"/>
      <c r="BZJ28" s="381"/>
      <c r="BZK28" s="381"/>
      <c r="BZL28" s="381"/>
      <c r="BZM28" s="379"/>
      <c r="BZN28" s="380"/>
      <c r="BZO28" s="380"/>
      <c r="BZP28" s="380"/>
      <c r="BZQ28" s="381"/>
      <c r="BZR28" s="381"/>
      <c r="BZS28" s="381"/>
      <c r="BZT28" s="381"/>
      <c r="BZU28" s="381"/>
      <c r="BZV28" s="381"/>
      <c r="BZW28" s="381"/>
      <c r="BZX28" s="381"/>
      <c r="BZY28" s="381"/>
      <c r="BZZ28" s="381"/>
      <c r="CAA28" s="381"/>
      <c r="CAB28" s="381"/>
      <c r="CAC28" s="381"/>
      <c r="CAD28" s="381"/>
      <c r="CAE28" s="381"/>
      <c r="CAF28" s="381"/>
      <c r="CAG28" s="381"/>
      <c r="CAH28" s="381"/>
      <c r="CAI28" s="381"/>
      <c r="CAJ28" s="381"/>
      <c r="CAK28" s="381"/>
      <c r="CAL28" s="381"/>
      <c r="CAM28" s="381"/>
      <c r="CAN28" s="381"/>
      <c r="CAO28" s="381"/>
      <c r="CAP28" s="381"/>
      <c r="CAQ28" s="379"/>
      <c r="CAR28" s="380"/>
      <c r="CAS28" s="380"/>
      <c r="CAT28" s="380"/>
      <c r="CAU28" s="381"/>
      <c r="CAV28" s="381"/>
      <c r="CAW28" s="381"/>
      <c r="CAX28" s="381"/>
      <c r="CAY28" s="381"/>
      <c r="CAZ28" s="381"/>
      <c r="CBA28" s="381"/>
      <c r="CBB28" s="381"/>
      <c r="CBC28" s="381"/>
      <c r="CBD28" s="381"/>
      <c r="CBE28" s="381"/>
      <c r="CBF28" s="381"/>
      <c r="CBG28" s="381"/>
      <c r="CBH28" s="381"/>
      <c r="CBI28" s="381"/>
      <c r="CBJ28" s="381"/>
      <c r="CBK28" s="381"/>
      <c r="CBL28" s="381"/>
      <c r="CBM28" s="381"/>
      <c r="CBN28" s="381"/>
      <c r="CBO28" s="381"/>
      <c r="CBP28" s="381"/>
      <c r="CBQ28" s="381"/>
      <c r="CBR28" s="381"/>
      <c r="CBS28" s="381"/>
      <c r="CBT28" s="381"/>
      <c r="CBU28" s="379"/>
      <c r="CBV28" s="380"/>
      <c r="CBW28" s="380"/>
      <c r="CBX28" s="380"/>
      <c r="CBY28" s="381"/>
      <c r="CBZ28" s="381"/>
      <c r="CCA28" s="381"/>
      <c r="CCB28" s="381"/>
      <c r="CCC28" s="381"/>
      <c r="CCD28" s="381"/>
      <c r="CCE28" s="381"/>
      <c r="CCF28" s="381"/>
      <c r="CCG28" s="381"/>
      <c r="CCH28" s="381"/>
      <c r="CCI28" s="381"/>
      <c r="CCJ28" s="381"/>
      <c r="CCK28" s="381"/>
      <c r="CCL28" s="381"/>
      <c r="CCM28" s="381"/>
      <c r="CCN28" s="381"/>
      <c r="CCO28" s="381"/>
      <c r="CCP28" s="381"/>
      <c r="CCQ28" s="381"/>
      <c r="CCR28" s="381"/>
      <c r="CCS28" s="381"/>
      <c r="CCT28" s="381"/>
      <c r="CCU28" s="381"/>
      <c r="CCV28" s="381"/>
      <c r="CCW28" s="381"/>
      <c r="CCX28" s="381"/>
      <c r="CCY28" s="379"/>
      <c r="CCZ28" s="380"/>
      <c r="CDA28" s="380"/>
      <c r="CDB28" s="380"/>
      <c r="CDC28" s="381"/>
      <c r="CDD28" s="381"/>
      <c r="CDE28" s="381"/>
      <c r="CDF28" s="381"/>
      <c r="CDG28" s="381"/>
      <c r="CDH28" s="381"/>
      <c r="CDI28" s="381"/>
      <c r="CDJ28" s="381"/>
      <c r="CDK28" s="381"/>
      <c r="CDL28" s="381"/>
      <c r="CDM28" s="381"/>
      <c r="CDN28" s="381"/>
      <c r="CDO28" s="381"/>
      <c r="CDP28" s="381"/>
      <c r="CDQ28" s="381"/>
      <c r="CDR28" s="381"/>
      <c r="CDS28" s="381"/>
      <c r="CDT28" s="381"/>
      <c r="CDU28" s="381"/>
      <c r="CDV28" s="381"/>
      <c r="CDW28" s="381"/>
      <c r="CDX28" s="381"/>
      <c r="CDY28" s="381"/>
      <c r="CDZ28" s="381"/>
      <c r="CEA28" s="381"/>
      <c r="CEB28" s="381"/>
      <c r="CEC28" s="379"/>
      <c r="CED28" s="380"/>
      <c r="CEE28" s="380"/>
      <c r="CEF28" s="380"/>
      <c r="CEG28" s="381"/>
      <c r="CEH28" s="381"/>
      <c r="CEI28" s="381"/>
      <c r="CEJ28" s="381"/>
      <c r="CEK28" s="381"/>
      <c r="CEL28" s="381"/>
      <c r="CEM28" s="381"/>
      <c r="CEN28" s="381"/>
      <c r="CEO28" s="381"/>
      <c r="CEP28" s="381"/>
      <c r="CEQ28" s="381"/>
      <c r="CER28" s="381"/>
      <c r="CES28" s="381"/>
      <c r="CET28" s="381"/>
      <c r="CEU28" s="381"/>
      <c r="CEV28" s="381"/>
      <c r="CEW28" s="381"/>
      <c r="CEX28" s="381"/>
      <c r="CEY28" s="381"/>
      <c r="CEZ28" s="381"/>
      <c r="CFA28" s="381"/>
      <c r="CFB28" s="381"/>
      <c r="CFC28" s="381"/>
      <c r="CFD28" s="381"/>
      <c r="CFE28" s="381"/>
      <c r="CFF28" s="381"/>
      <c r="CFG28" s="379"/>
      <c r="CFH28" s="380"/>
      <c r="CFI28" s="380"/>
      <c r="CFJ28" s="380"/>
      <c r="CFK28" s="381"/>
      <c r="CFL28" s="381"/>
      <c r="CFM28" s="381"/>
      <c r="CFN28" s="381"/>
      <c r="CFO28" s="381"/>
      <c r="CFP28" s="381"/>
      <c r="CFQ28" s="381"/>
      <c r="CFR28" s="381"/>
      <c r="CFS28" s="381"/>
      <c r="CFT28" s="381"/>
      <c r="CFU28" s="381"/>
      <c r="CFV28" s="381"/>
      <c r="CFW28" s="381"/>
      <c r="CFX28" s="381"/>
      <c r="CFY28" s="381"/>
      <c r="CFZ28" s="381"/>
      <c r="CGA28" s="381"/>
      <c r="CGB28" s="381"/>
      <c r="CGC28" s="381"/>
      <c r="CGD28" s="381"/>
      <c r="CGE28" s="381"/>
      <c r="CGF28" s="381"/>
      <c r="CGG28" s="381"/>
      <c r="CGH28" s="381"/>
      <c r="CGI28" s="381"/>
      <c r="CGJ28" s="381"/>
      <c r="CGK28" s="379"/>
      <c r="CGL28" s="380"/>
      <c r="CGM28" s="380"/>
      <c r="CGN28" s="380"/>
      <c r="CGO28" s="381"/>
      <c r="CGP28" s="381"/>
      <c r="CGQ28" s="381"/>
      <c r="CGR28" s="381"/>
      <c r="CGS28" s="381"/>
      <c r="CGT28" s="381"/>
      <c r="CGU28" s="381"/>
      <c r="CGV28" s="381"/>
      <c r="CGW28" s="381"/>
      <c r="CGX28" s="381"/>
      <c r="CGY28" s="381"/>
      <c r="CGZ28" s="381"/>
      <c r="CHA28" s="381"/>
      <c r="CHB28" s="381"/>
      <c r="CHC28" s="381"/>
      <c r="CHD28" s="381"/>
      <c r="CHE28" s="381"/>
      <c r="CHF28" s="381"/>
      <c r="CHG28" s="381"/>
      <c r="CHH28" s="381"/>
      <c r="CHI28" s="381"/>
      <c r="CHJ28" s="381"/>
      <c r="CHK28" s="381"/>
      <c r="CHL28" s="381"/>
      <c r="CHM28" s="381"/>
      <c r="CHN28" s="381"/>
      <c r="CHO28" s="379"/>
      <c r="CHP28" s="380"/>
      <c r="CHQ28" s="380"/>
      <c r="CHR28" s="380"/>
      <c r="CHS28" s="381"/>
      <c r="CHT28" s="381"/>
      <c r="CHU28" s="381"/>
      <c r="CHV28" s="381"/>
      <c r="CHW28" s="381"/>
      <c r="CHX28" s="381"/>
      <c r="CHY28" s="381"/>
      <c r="CHZ28" s="381"/>
      <c r="CIA28" s="381"/>
      <c r="CIB28" s="381"/>
      <c r="CIC28" s="381"/>
      <c r="CID28" s="381"/>
      <c r="CIE28" s="381"/>
      <c r="CIF28" s="381"/>
      <c r="CIG28" s="381"/>
      <c r="CIH28" s="381"/>
      <c r="CII28" s="381"/>
      <c r="CIJ28" s="381"/>
      <c r="CIK28" s="381"/>
      <c r="CIL28" s="381"/>
      <c r="CIM28" s="381"/>
      <c r="CIN28" s="381"/>
      <c r="CIO28" s="381"/>
      <c r="CIP28" s="381"/>
      <c r="CIQ28" s="381"/>
      <c r="CIR28" s="381"/>
      <c r="CIS28" s="379"/>
      <c r="CIT28" s="380"/>
      <c r="CIU28" s="380"/>
      <c r="CIV28" s="380"/>
      <c r="CIW28" s="381"/>
      <c r="CIX28" s="381"/>
      <c r="CIY28" s="381"/>
      <c r="CIZ28" s="381"/>
      <c r="CJA28" s="381"/>
      <c r="CJB28" s="381"/>
      <c r="CJC28" s="381"/>
      <c r="CJD28" s="381"/>
      <c r="CJE28" s="381"/>
      <c r="CJF28" s="381"/>
      <c r="CJG28" s="381"/>
      <c r="CJH28" s="381"/>
      <c r="CJI28" s="381"/>
      <c r="CJJ28" s="381"/>
      <c r="CJK28" s="381"/>
      <c r="CJL28" s="381"/>
      <c r="CJM28" s="381"/>
      <c r="CJN28" s="381"/>
      <c r="CJO28" s="381"/>
      <c r="CJP28" s="381"/>
      <c r="CJQ28" s="381"/>
      <c r="CJR28" s="381"/>
      <c r="CJS28" s="381"/>
      <c r="CJT28" s="381"/>
      <c r="CJU28" s="381"/>
      <c r="CJV28" s="381"/>
      <c r="CJW28" s="379"/>
      <c r="CJX28" s="380"/>
      <c r="CJY28" s="380"/>
      <c r="CJZ28" s="380"/>
      <c r="CKA28" s="381"/>
      <c r="CKB28" s="381"/>
      <c r="CKC28" s="381"/>
      <c r="CKD28" s="381"/>
      <c r="CKE28" s="381"/>
      <c r="CKF28" s="381"/>
      <c r="CKG28" s="381"/>
      <c r="CKH28" s="381"/>
      <c r="CKI28" s="381"/>
      <c r="CKJ28" s="381"/>
      <c r="CKK28" s="381"/>
      <c r="CKL28" s="381"/>
      <c r="CKM28" s="381"/>
      <c r="CKN28" s="381"/>
      <c r="CKO28" s="381"/>
      <c r="CKP28" s="381"/>
      <c r="CKQ28" s="381"/>
      <c r="CKR28" s="381"/>
      <c r="CKS28" s="381"/>
      <c r="CKT28" s="381"/>
      <c r="CKU28" s="381"/>
      <c r="CKV28" s="381"/>
      <c r="CKW28" s="381"/>
      <c r="CKX28" s="381"/>
      <c r="CKY28" s="381"/>
      <c r="CKZ28" s="381"/>
      <c r="CLA28" s="379"/>
      <c r="CLB28" s="380"/>
      <c r="CLC28" s="380"/>
      <c r="CLD28" s="380"/>
      <c r="CLE28" s="381"/>
      <c r="CLF28" s="381"/>
      <c r="CLG28" s="381"/>
      <c r="CLH28" s="381"/>
      <c r="CLI28" s="381"/>
      <c r="CLJ28" s="381"/>
      <c r="CLK28" s="381"/>
      <c r="CLL28" s="381"/>
      <c r="CLM28" s="381"/>
      <c r="CLN28" s="381"/>
      <c r="CLO28" s="381"/>
      <c r="CLP28" s="381"/>
      <c r="CLQ28" s="381"/>
      <c r="CLR28" s="381"/>
      <c r="CLS28" s="381"/>
      <c r="CLT28" s="381"/>
      <c r="CLU28" s="381"/>
      <c r="CLV28" s="381"/>
      <c r="CLW28" s="381"/>
      <c r="CLX28" s="381"/>
      <c r="CLY28" s="381"/>
      <c r="CLZ28" s="381"/>
      <c r="CMA28" s="381"/>
      <c r="CMB28" s="381"/>
      <c r="CMC28" s="381"/>
      <c r="CMD28" s="381"/>
      <c r="CME28" s="379"/>
      <c r="CMF28" s="380"/>
      <c r="CMG28" s="380"/>
      <c r="CMH28" s="380"/>
      <c r="CMI28" s="381"/>
      <c r="CMJ28" s="381"/>
      <c r="CMK28" s="381"/>
      <c r="CML28" s="381"/>
      <c r="CMM28" s="381"/>
      <c r="CMN28" s="381"/>
      <c r="CMO28" s="381"/>
      <c r="CMP28" s="381"/>
      <c r="CMQ28" s="381"/>
      <c r="CMR28" s="381"/>
      <c r="CMS28" s="381"/>
      <c r="CMT28" s="381"/>
      <c r="CMU28" s="381"/>
      <c r="CMV28" s="381"/>
      <c r="CMW28" s="381"/>
      <c r="CMX28" s="381"/>
      <c r="CMY28" s="381"/>
      <c r="CMZ28" s="381"/>
      <c r="CNA28" s="381"/>
      <c r="CNB28" s="381"/>
      <c r="CNC28" s="381"/>
      <c r="CND28" s="381"/>
      <c r="CNE28" s="381"/>
      <c r="CNF28" s="381"/>
      <c r="CNG28" s="381"/>
      <c r="CNH28" s="381"/>
      <c r="CNI28" s="379"/>
      <c r="CNJ28" s="380"/>
      <c r="CNK28" s="380"/>
      <c r="CNL28" s="380"/>
      <c r="CNM28" s="381"/>
      <c r="CNN28" s="381"/>
      <c r="CNO28" s="381"/>
      <c r="CNP28" s="381"/>
      <c r="CNQ28" s="381"/>
      <c r="CNR28" s="381"/>
      <c r="CNS28" s="381"/>
      <c r="CNT28" s="381"/>
      <c r="CNU28" s="381"/>
      <c r="CNV28" s="381"/>
      <c r="CNW28" s="381"/>
      <c r="CNX28" s="381"/>
      <c r="CNY28" s="381"/>
      <c r="CNZ28" s="381"/>
      <c r="COA28" s="381"/>
      <c r="COB28" s="381"/>
      <c r="COC28" s="381"/>
      <c r="COD28" s="381"/>
      <c r="COE28" s="381"/>
      <c r="COF28" s="381"/>
      <c r="COG28" s="381"/>
      <c r="COH28" s="381"/>
      <c r="COI28" s="381"/>
      <c r="COJ28" s="381"/>
      <c r="COK28" s="381"/>
      <c r="COL28" s="381"/>
      <c r="COM28" s="379"/>
      <c r="CON28" s="380"/>
      <c r="COO28" s="380"/>
      <c r="COP28" s="380"/>
      <c r="COQ28" s="381"/>
      <c r="COR28" s="381"/>
      <c r="COS28" s="381"/>
      <c r="COT28" s="381"/>
      <c r="COU28" s="381"/>
      <c r="COV28" s="381"/>
      <c r="COW28" s="381"/>
      <c r="COX28" s="381"/>
      <c r="COY28" s="381"/>
      <c r="COZ28" s="381"/>
      <c r="CPA28" s="381"/>
      <c r="CPB28" s="381"/>
      <c r="CPC28" s="381"/>
      <c r="CPD28" s="381"/>
      <c r="CPE28" s="381"/>
      <c r="CPF28" s="381"/>
      <c r="CPG28" s="381"/>
      <c r="CPH28" s="381"/>
      <c r="CPI28" s="381"/>
      <c r="CPJ28" s="381"/>
      <c r="CPK28" s="381"/>
      <c r="CPL28" s="381"/>
      <c r="CPM28" s="381"/>
      <c r="CPN28" s="381"/>
      <c r="CPO28" s="381"/>
      <c r="CPP28" s="381"/>
      <c r="CPQ28" s="379"/>
      <c r="CPR28" s="380"/>
      <c r="CPS28" s="380"/>
      <c r="CPT28" s="380"/>
      <c r="CPU28" s="381"/>
      <c r="CPV28" s="381"/>
      <c r="CPW28" s="381"/>
      <c r="CPX28" s="381"/>
      <c r="CPY28" s="381"/>
      <c r="CPZ28" s="381"/>
      <c r="CQA28" s="381"/>
      <c r="CQB28" s="381"/>
      <c r="CQC28" s="381"/>
      <c r="CQD28" s="381"/>
      <c r="CQE28" s="381"/>
      <c r="CQF28" s="381"/>
      <c r="CQG28" s="381"/>
      <c r="CQH28" s="381"/>
      <c r="CQI28" s="381"/>
      <c r="CQJ28" s="381"/>
      <c r="CQK28" s="381"/>
      <c r="CQL28" s="381"/>
      <c r="CQM28" s="381"/>
      <c r="CQN28" s="381"/>
      <c r="CQO28" s="381"/>
      <c r="CQP28" s="381"/>
      <c r="CQQ28" s="381"/>
      <c r="CQR28" s="381"/>
      <c r="CQS28" s="381"/>
      <c r="CQT28" s="381"/>
      <c r="CQU28" s="379"/>
      <c r="CQV28" s="380"/>
      <c r="CQW28" s="380"/>
      <c r="CQX28" s="380"/>
      <c r="CQY28" s="381"/>
      <c r="CQZ28" s="381"/>
      <c r="CRA28" s="381"/>
      <c r="CRB28" s="381"/>
      <c r="CRC28" s="381"/>
      <c r="CRD28" s="381"/>
      <c r="CRE28" s="381"/>
      <c r="CRF28" s="381"/>
      <c r="CRG28" s="381"/>
      <c r="CRH28" s="381"/>
      <c r="CRI28" s="381"/>
      <c r="CRJ28" s="381"/>
      <c r="CRK28" s="381"/>
      <c r="CRL28" s="381"/>
      <c r="CRM28" s="381"/>
      <c r="CRN28" s="381"/>
      <c r="CRO28" s="381"/>
      <c r="CRP28" s="381"/>
      <c r="CRQ28" s="381"/>
      <c r="CRR28" s="381"/>
      <c r="CRS28" s="381"/>
      <c r="CRT28" s="381"/>
      <c r="CRU28" s="381"/>
      <c r="CRV28" s="381"/>
      <c r="CRW28" s="381"/>
      <c r="CRX28" s="381"/>
      <c r="CRY28" s="379"/>
      <c r="CRZ28" s="380"/>
      <c r="CSA28" s="380"/>
      <c r="CSB28" s="380"/>
      <c r="CSC28" s="381"/>
      <c r="CSD28" s="381"/>
      <c r="CSE28" s="381"/>
      <c r="CSF28" s="381"/>
      <c r="CSG28" s="381"/>
      <c r="CSH28" s="381"/>
      <c r="CSI28" s="381"/>
      <c r="CSJ28" s="381"/>
      <c r="CSK28" s="381"/>
      <c r="CSL28" s="381"/>
      <c r="CSM28" s="381"/>
      <c r="CSN28" s="381"/>
      <c r="CSO28" s="381"/>
      <c r="CSP28" s="381"/>
      <c r="CSQ28" s="381"/>
      <c r="CSR28" s="381"/>
      <c r="CSS28" s="381"/>
      <c r="CST28" s="381"/>
      <c r="CSU28" s="381"/>
      <c r="CSV28" s="381"/>
      <c r="CSW28" s="381"/>
      <c r="CSX28" s="381"/>
      <c r="CSY28" s="381"/>
      <c r="CSZ28" s="381"/>
      <c r="CTA28" s="381"/>
      <c r="CTB28" s="381"/>
      <c r="CTC28" s="379"/>
      <c r="CTD28" s="380"/>
      <c r="CTE28" s="380"/>
      <c r="CTF28" s="380"/>
      <c r="CTG28" s="381"/>
      <c r="CTH28" s="381"/>
      <c r="CTI28" s="381"/>
      <c r="CTJ28" s="381"/>
      <c r="CTK28" s="381"/>
      <c r="CTL28" s="381"/>
      <c r="CTM28" s="381"/>
      <c r="CTN28" s="381"/>
      <c r="CTO28" s="381"/>
      <c r="CTP28" s="381"/>
      <c r="CTQ28" s="381"/>
      <c r="CTR28" s="381"/>
      <c r="CTS28" s="381"/>
      <c r="CTT28" s="381"/>
      <c r="CTU28" s="381"/>
      <c r="CTV28" s="381"/>
      <c r="CTW28" s="381"/>
      <c r="CTX28" s="381"/>
      <c r="CTY28" s="381"/>
      <c r="CTZ28" s="381"/>
      <c r="CUA28" s="381"/>
      <c r="CUB28" s="381"/>
      <c r="CUC28" s="381"/>
      <c r="CUD28" s="381"/>
      <c r="CUE28" s="381"/>
      <c r="CUF28" s="381"/>
      <c r="CUG28" s="379"/>
      <c r="CUH28" s="380"/>
      <c r="CUI28" s="380"/>
      <c r="CUJ28" s="380"/>
      <c r="CUK28" s="381"/>
      <c r="CUL28" s="381"/>
      <c r="CUM28" s="381"/>
      <c r="CUN28" s="381"/>
      <c r="CUO28" s="381"/>
      <c r="CUP28" s="381"/>
      <c r="CUQ28" s="381"/>
      <c r="CUR28" s="381"/>
      <c r="CUS28" s="381"/>
      <c r="CUT28" s="381"/>
      <c r="CUU28" s="381"/>
      <c r="CUV28" s="381"/>
      <c r="CUW28" s="381"/>
      <c r="CUX28" s="381"/>
      <c r="CUY28" s="381"/>
      <c r="CUZ28" s="381"/>
      <c r="CVA28" s="381"/>
      <c r="CVB28" s="381"/>
      <c r="CVC28" s="381"/>
      <c r="CVD28" s="381"/>
      <c r="CVE28" s="381"/>
      <c r="CVF28" s="381"/>
      <c r="CVG28" s="381"/>
      <c r="CVH28" s="381"/>
      <c r="CVI28" s="381"/>
      <c r="CVJ28" s="381"/>
      <c r="CVK28" s="379"/>
      <c r="CVL28" s="380"/>
      <c r="CVM28" s="380"/>
      <c r="CVN28" s="380"/>
      <c r="CVO28" s="381"/>
      <c r="CVP28" s="381"/>
      <c r="CVQ28" s="381"/>
      <c r="CVR28" s="381"/>
      <c r="CVS28" s="381"/>
      <c r="CVT28" s="381"/>
      <c r="CVU28" s="381"/>
      <c r="CVV28" s="381"/>
      <c r="CVW28" s="381"/>
      <c r="CVX28" s="381"/>
      <c r="CVY28" s="381"/>
      <c r="CVZ28" s="381"/>
      <c r="CWA28" s="381"/>
      <c r="CWB28" s="381"/>
      <c r="CWC28" s="381"/>
      <c r="CWD28" s="381"/>
      <c r="CWE28" s="381"/>
      <c r="CWF28" s="381"/>
      <c r="CWG28" s="381"/>
      <c r="CWH28" s="381"/>
      <c r="CWI28" s="381"/>
      <c r="CWJ28" s="381"/>
      <c r="CWK28" s="381"/>
      <c r="CWL28" s="381"/>
      <c r="CWM28" s="381"/>
      <c r="CWN28" s="381"/>
      <c r="CWO28" s="379"/>
      <c r="CWP28" s="380"/>
      <c r="CWQ28" s="380"/>
      <c r="CWR28" s="380"/>
      <c r="CWS28" s="381"/>
      <c r="CWT28" s="381"/>
      <c r="CWU28" s="381"/>
      <c r="CWV28" s="381"/>
      <c r="CWW28" s="381"/>
      <c r="CWX28" s="381"/>
      <c r="CWY28" s="381"/>
      <c r="CWZ28" s="381"/>
      <c r="CXA28" s="381"/>
      <c r="CXB28" s="381"/>
      <c r="CXC28" s="381"/>
      <c r="CXD28" s="381"/>
      <c r="CXE28" s="381"/>
      <c r="CXF28" s="381"/>
      <c r="CXG28" s="381"/>
      <c r="CXH28" s="381"/>
      <c r="CXI28" s="381"/>
      <c r="CXJ28" s="381"/>
      <c r="CXK28" s="381"/>
      <c r="CXL28" s="381"/>
      <c r="CXM28" s="381"/>
      <c r="CXN28" s="381"/>
      <c r="CXO28" s="381"/>
      <c r="CXP28" s="381"/>
      <c r="CXQ28" s="381"/>
      <c r="CXR28" s="381"/>
      <c r="CXS28" s="379"/>
      <c r="CXT28" s="380"/>
      <c r="CXU28" s="380"/>
      <c r="CXV28" s="380"/>
      <c r="CXW28" s="381"/>
      <c r="CXX28" s="381"/>
      <c r="CXY28" s="381"/>
      <c r="CXZ28" s="381"/>
      <c r="CYA28" s="381"/>
      <c r="CYB28" s="381"/>
      <c r="CYC28" s="381"/>
      <c r="CYD28" s="381"/>
      <c r="CYE28" s="381"/>
      <c r="CYF28" s="381"/>
      <c r="CYG28" s="381"/>
      <c r="CYH28" s="381"/>
      <c r="CYI28" s="381"/>
      <c r="CYJ28" s="381"/>
      <c r="CYK28" s="381"/>
      <c r="CYL28" s="381"/>
      <c r="CYM28" s="381"/>
      <c r="CYN28" s="381"/>
      <c r="CYO28" s="381"/>
      <c r="CYP28" s="381"/>
      <c r="CYQ28" s="381"/>
      <c r="CYR28" s="381"/>
      <c r="CYS28" s="381"/>
      <c r="CYT28" s="381"/>
      <c r="CYU28" s="381"/>
      <c r="CYV28" s="381"/>
      <c r="CYW28" s="379"/>
      <c r="CYX28" s="380"/>
      <c r="CYY28" s="380"/>
      <c r="CYZ28" s="380"/>
      <c r="CZA28" s="381"/>
      <c r="CZB28" s="381"/>
      <c r="CZC28" s="381"/>
      <c r="CZD28" s="381"/>
      <c r="CZE28" s="381"/>
      <c r="CZF28" s="381"/>
      <c r="CZG28" s="381"/>
      <c r="CZH28" s="381"/>
      <c r="CZI28" s="381"/>
      <c r="CZJ28" s="381"/>
      <c r="CZK28" s="381"/>
      <c r="CZL28" s="381"/>
      <c r="CZM28" s="381"/>
      <c r="CZN28" s="381"/>
      <c r="CZO28" s="381"/>
      <c r="CZP28" s="381"/>
      <c r="CZQ28" s="381"/>
      <c r="CZR28" s="381"/>
      <c r="CZS28" s="381"/>
      <c r="CZT28" s="381"/>
      <c r="CZU28" s="381"/>
      <c r="CZV28" s="381"/>
      <c r="CZW28" s="381"/>
      <c r="CZX28" s="381"/>
      <c r="CZY28" s="381"/>
      <c r="CZZ28" s="381"/>
      <c r="DAA28" s="379"/>
      <c r="DAB28" s="380"/>
      <c r="DAC28" s="380"/>
      <c r="DAD28" s="380"/>
      <c r="DAE28" s="381"/>
      <c r="DAF28" s="381"/>
      <c r="DAG28" s="381"/>
      <c r="DAH28" s="381"/>
      <c r="DAI28" s="381"/>
      <c r="DAJ28" s="381"/>
      <c r="DAK28" s="381"/>
      <c r="DAL28" s="381"/>
      <c r="DAM28" s="381"/>
      <c r="DAN28" s="381"/>
      <c r="DAO28" s="381"/>
      <c r="DAP28" s="381"/>
      <c r="DAQ28" s="381"/>
      <c r="DAR28" s="381"/>
      <c r="DAS28" s="381"/>
      <c r="DAT28" s="381"/>
      <c r="DAU28" s="381"/>
      <c r="DAV28" s="381"/>
      <c r="DAW28" s="381"/>
      <c r="DAX28" s="381"/>
      <c r="DAY28" s="381"/>
      <c r="DAZ28" s="381"/>
      <c r="DBA28" s="381"/>
      <c r="DBB28" s="381"/>
      <c r="DBC28" s="381"/>
      <c r="DBD28" s="381"/>
      <c r="DBE28" s="379"/>
      <c r="DBF28" s="380"/>
      <c r="DBG28" s="380"/>
      <c r="DBH28" s="380"/>
      <c r="DBI28" s="381"/>
      <c r="DBJ28" s="381"/>
      <c r="DBK28" s="381"/>
      <c r="DBL28" s="381"/>
      <c r="DBM28" s="381"/>
      <c r="DBN28" s="381"/>
      <c r="DBO28" s="381"/>
      <c r="DBP28" s="381"/>
      <c r="DBQ28" s="381"/>
      <c r="DBR28" s="381"/>
      <c r="DBS28" s="381"/>
      <c r="DBT28" s="381"/>
      <c r="DBU28" s="381"/>
      <c r="DBV28" s="381"/>
      <c r="DBW28" s="381"/>
      <c r="DBX28" s="381"/>
      <c r="DBY28" s="381"/>
      <c r="DBZ28" s="381"/>
      <c r="DCA28" s="381"/>
      <c r="DCB28" s="381"/>
      <c r="DCC28" s="381"/>
      <c r="DCD28" s="381"/>
      <c r="DCE28" s="381"/>
      <c r="DCF28" s="381"/>
      <c r="DCG28" s="381"/>
      <c r="DCH28" s="381"/>
      <c r="DCI28" s="379"/>
      <c r="DCJ28" s="380"/>
      <c r="DCK28" s="380"/>
      <c r="DCL28" s="380"/>
      <c r="DCM28" s="381"/>
      <c r="DCN28" s="381"/>
      <c r="DCO28" s="381"/>
      <c r="DCP28" s="381"/>
      <c r="DCQ28" s="381"/>
      <c r="DCR28" s="381"/>
      <c r="DCS28" s="381"/>
      <c r="DCT28" s="381"/>
      <c r="DCU28" s="381"/>
      <c r="DCV28" s="381"/>
      <c r="DCW28" s="381"/>
      <c r="DCX28" s="381"/>
      <c r="DCY28" s="381"/>
      <c r="DCZ28" s="381"/>
      <c r="DDA28" s="381"/>
      <c r="DDB28" s="381"/>
      <c r="DDC28" s="381"/>
      <c r="DDD28" s="381"/>
      <c r="DDE28" s="381"/>
      <c r="DDF28" s="381"/>
      <c r="DDG28" s="381"/>
      <c r="DDH28" s="381"/>
      <c r="DDI28" s="381"/>
      <c r="DDJ28" s="381"/>
      <c r="DDK28" s="381"/>
      <c r="DDL28" s="381"/>
      <c r="DDM28" s="379"/>
      <c r="DDN28" s="380"/>
      <c r="DDO28" s="380"/>
      <c r="DDP28" s="380"/>
      <c r="DDQ28" s="381"/>
      <c r="DDR28" s="381"/>
      <c r="DDS28" s="381"/>
      <c r="DDT28" s="381"/>
      <c r="DDU28" s="381"/>
      <c r="DDV28" s="381"/>
      <c r="DDW28" s="381"/>
      <c r="DDX28" s="381"/>
      <c r="DDY28" s="381"/>
      <c r="DDZ28" s="381"/>
      <c r="DEA28" s="381"/>
      <c r="DEB28" s="381"/>
      <c r="DEC28" s="381"/>
      <c r="DED28" s="381"/>
      <c r="DEE28" s="381"/>
      <c r="DEF28" s="381"/>
      <c r="DEG28" s="381"/>
      <c r="DEH28" s="381"/>
      <c r="DEI28" s="381"/>
      <c r="DEJ28" s="381"/>
      <c r="DEK28" s="381"/>
      <c r="DEL28" s="381"/>
      <c r="DEM28" s="381"/>
      <c r="DEN28" s="381"/>
      <c r="DEO28" s="381"/>
      <c r="DEP28" s="381"/>
      <c r="DEQ28" s="379"/>
      <c r="DER28" s="380"/>
      <c r="DES28" s="380"/>
      <c r="DET28" s="380"/>
      <c r="DEU28" s="381"/>
      <c r="DEV28" s="381"/>
      <c r="DEW28" s="381"/>
      <c r="DEX28" s="381"/>
      <c r="DEY28" s="381"/>
      <c r="DEZ28" s="381"/>
      <c r="DFA28" s="381"/>
      <c r="DFB28" s="381"/>
      <c r="DFC28" s="381"/>
      <c r="DFD28" s="381"/>
      <c r="DFE28" s="381"/>
      <c r="DFF28" s="381"/>
      <c r="DFG28" s="381"/>
      <c r="DFH28" s="381"/>
      <c r="DFI28" s="381"/>
      <c r="DFJ28" s="381"/>
      <c r="DFK28" s="381"/>
      <c r="DFL28" s="381"/>
      <c r="DFM28" s="381"/>
      <c r="DFN28" s="381"/>
      <c r="DFO28" s="381"/>
      <c r="DFP28" s="381"/>
      <c r="DFQ28" s="381"/>
      <c r="DFR28" s="381"/>
      <c r="DFS28" s="381"/>
      <c r="DFT28" s="381"/>
      <c r="DFU28" s="379"/>
      <c r="DFV28" s="380"/>
      <c r="DFW28" s="380"/>
      <c r="DFX28" s="380"/>
      <c r="DFY28" s="381"/>
      <c r="DFZ28" s="381"/>
      <c r="DGA28" s="381"/>
      <c r="DGB28" s="381"/>
      <c r="DGC28" s="381"/>
      <c r="DGD28" s="381"/>
      <c r="DGE28" s="381"/>
      <c r="DGF28" s="381"/>
      <c r="DGG28" s="381"/>
      <c r="DGH28" s="381"/>
      <c r="DGI28" s="381"/>
      <c r="DGJ28" s="381"/>
      <c r="DGK28" s="381"/>
      <c r="DGL28" s="381"/>
      <c r="DGM28" s="381"/>
      <c r="DGN28" s="381"/>
      <c r="DGO28" s="381"/>
      <c r="DGP28" s="381"/>
      <c r="DGQ28" s="381"/>
      <c r="DGR28" s="381"/>
      <c r="DGS28" s="381"/>
      <c r="DGT28" s="381"/>
      <c r="DGU28" s="381"/>
      <c r="DGV28" s="381"/>
      <c r="DGW28" s="381"/>
      <c r="DGX28" s="381"/>
      <c r="DGY28" s="379"/>
      <c r="DGZ28" s="380"/>
      <c r="DHA28" s="380"/>
      <c r="DHB28" s="380"/>
      <c r="DHC28" s="381"/>
      <c r="DHD28" s="381"/>
      <c r="DHE28" s="381"/>
      <c r="DHF28" s="381"/>
      <c r="DHG28" s="381"/>
      <c r="DHH28" s="381"/>
      <c r="DHI28" s="381"/>
      <c r="DHJ28" s="381"/>
      <c r="DHK28" s="381"/>
      <c r="DHL28" s="381"/>
      <c r="DHM28" s="381"/>
      <c r="DHN28" s="381"/>
      <c r="DHO28" s="381"/>
      <c r="DHP28" s="381"/>
      <c r="DHQ28" s="381"/>
      <c r="DHR28" s="381"/>
      <c r="DHS28" s="381"/>
      <c r="DHT28" s="381"/>
      <c r="DHU28" s="381"/>
      <c r="DHV28" s="381"/>
      <c r="DHW28" s="381"/>
      <c r="DHX28" s="381"/>
      <c r="DHY28" s="381"/>
      <c r="DHZ28" s="381"/>
      <c r="DIA28" s="381"/>
      <c r="DIB28" s="381"/>
      <c r="DIC28" s="379"/>
      <c r="DID28" s="380"/>
      <c r="DIE28" s="380"/>
      <c r="DIF28" s="380"/>
      <c r="DIG28" s="381"/>
      <c r="DIH28" s="381"/>
      <c r="DII28" s="381"/>
      <c r="DIJ28" s="381"/>
      <c r="DIK28" s="381"/>
      <c r="DIL28" s="381"/>
      <c r="DIM28" s="381"/>
      <c r="DIN28" s="381"/>
      <c r="DIO28" s="381"/>
      <c r="DIP28" s="381"/>
      <c r="DIQ28" s="381"/>
      <c r="DIR28" s="381"/>
      <c r="DIS28" s="381"/>
      <c r="DIT28" s="381"/>
      <c r="DIU28" s="381"/>
      <c r="DIV28" s="381"/>
      <c r="DIW28" s="381"/>
      <c r="DIX28" s="381"/>
      <c r="DIY28" s="381"/>
      <c r="DIZ28" s="381"/>
      <c r="DJA28" s="381"/>
      <c r="DJB28" s="381"/>
      <c r="DJC28" s="381"/>
      <c r="DJD28" s="381"/>
      <c r="DJE28" s="381"/>
      <c r="DJF28" s="381"/>
      <c r="DJG28" s="379"/>
      <c r="DJH28" s="380"/>
      <c r="DJI28" s="380"/>
      <c r="DJJ28" s="380"/>
      <c r="DJK28" s="381"/>
      <c r="DJL28" s="381"/>
      <c r="DJM28" s="381"/>
      <c r="DJN28" s="381"/>
      <c r="DJO28" s="381"/>
      <c r="DJP28" s="381"/>
      <c r="DJQ28" s="381"/>
      <c r="DJR28" s="381"/>
      <c r="DJS28" s="381"/>
      <c r="DJT28" s="381"/>
      <c r="DJU28" s="381"/>
      <c r="DJV28" s="381"/>
      <c r="DJW28" s="381"/>
      <c r="DJX28" s="381"/>
      <c r="DJY28" s="381"/>
      <c r="DJZ28" s="381"/>
      <c r="DKA28" s="381"/>
      <c r="DKB28" s="381"/>
      <c r="DKC28" s="381"/>
      <c r="DKD28" s="381"/>
      <c r="DKE28" s="381"/>
      <c r="DKF28" s="381"/>
      <c r="DKG28" s="381"/>
      <c r="DKH28" s="381"/>
      <c r="DKI28" s="381"/>
      <c r="DKJ28" s="381"/>
      <c r="DKK28" s="379"/>
      <c r="DKL28" s="380"/>
      <c r="DKM28" s="380"/>
      <c r="DKN28" s="380"/>
      <c r="DKO28" s="381"/>
      <c r="DKP28" s="381"/>
      <c r="DKQ28" s="381"/>
      <c r="DKR28" s="381"/>
      <c r="DKS28" s="381"/>
      <c r="DKT28" s="381"/>
      <c r="DKU28" s="381"/>
      <c r="DKV28" s="381"/>
      <c r="DKW28" s="381"/>
      <c r="DKX28" s="381"/>
      <c r="DKY28" s="381"/>
      <c r="DKZ28" s="381"/>
      <c r="DLA28" s="381"/>
      <c r="DLB28" s="381"/>
      <c r="DLC28" s="381"/>
      <c r="DLD28" s="381"/>
      <c r="DLE28" s="381"/>
      <c r="DLF28" s="381"/>
      <c r="DLG28" s="381"/>
      <c r="DLH28" s="381"/>
      <c r="DLI28" s="381"/>
      <c r="DLJ28" s="381"/>
      <c r="DLK28" s="381"/>
      <c r="DLL28" s="381"/>
      <c r="DLM28" s="381"/>
      <c r="DLN28" s="381"/>
      <c r="DLO28" s="379"/>
      <c r="DLP28" s="380"/>
      <c r="DLQ28" s="380"/>
      <c r="DLR28" s="380"/>
      <c r="DLS28" s="381"/>
      <c r="DLT28" s="381"/>
      <c r="DLU28" s="381"/>
      <c r="DLV28" s="381"/>
      <c r="DLW28" s="381"/>
      <c r="DLX28" s="381"/>
      <c r="DLY28" s="381"/>
      <c r="DLZ28" s="381"/>
      <c r="DMA28" s="381"/>
      <c r="DMB28" s="381"/>
      <c r="DMC28" s="381"/>
      <c r="DMD28" s="381"/>
      <c r="DME28" s="381"/>
      <c r="DMF28" s="381"/>
      <c r="DMG28" s="381"/>
      <c r="DMH28" s="381"/>
      <c r="DMI28" s="381"/>
      <c r="DMJ28" s="381"/>
      <c r="DMK28" s="381"/>
      <c r="DML28" s="381"/>
      <c r="DMM28" s="381"/>
      <c r="DMN28" s="381"/>
      <c r="DMO28" s="381"/>
      <c r="DMP28" s="381"/>
      <c r="DMQ28" s="381"/>
      <c r="DMR28" s="381"/>
      <c r="DMS28" s="379"/>
      <c r="DMT28" s="380"/>
      <c r="DMU28" s="380"/>
      <c r="DMV28" s="380"/>
      <c r="DMW28" s="381"/>
      <c r="DMX28" s="381"/>
      <c r="DMY28" s="381"/>
      <c r="DMZ28" s="381"/>
      <c r="DNA28" s="381"/>
      <c r="DNB28" s="381"/>
      <c r="DNC28" s="381"/>
      <c r="DND28" s="381"/>
      <c r="DNE28" s="381"/>
      <c r="DNF28" s="381"/>
      <c r="DNG28" s="381"/>
      <c r="DNH28" s="381"/>
      <c r="DNI28" s="381"/>
      <c r="DNJ28" s="381"/>
      <c r="DNK28" s="381"/>
      <c r="DNL28" s="381"/>
      <c r="DNM28" s="381"/>
      <c r="DNN28" s="381"/>
      <c r="DNO28" s="381"/>
      <c r="DNP28" s="381"/>
      <c r="DNQ28" s="381"/>
      <c r="DNR28" s="381"/>
      <c r="DNS28" s="381"/>
      <c r="DNT28" s="381"/>
      <c r="DNU28" s="381"/>
      <c r="DNV28" s="381"/>
      <c r="DNW28" s="379"/>
      <c r="DNX28" s="380"/>
      <c r="DNY28" s="380"/>
      <c r="DNZ28" s="380"/>
      <c r="DOA28" s="381"/>
      <c r="DOB28" s="381"/>
      <c r="DOC28" s="381"/>
      <c r="DOD28" s="381"/>
      <c r="DOE28" s="381"/>
      <c r="DOF28" s="381"/>
      <c r="DOG28" s="381"/>
      <c r="DOH28" s="381"/>
      <c r="DOI28" s="381"/>
      <c r="DOJ28" s="381"/>
      <c r="DOK28" s="381"/>
      <c r="DOL28" s="381"/>
      <c r="DOM28" s="381"/>
      <c r="DON28" s="381"/>
      <c r="DOO28" s="381"/>
      <c r="DOP28" s="381"/>
      <c r="DOQ28" s="381"/>
      <c r="DOR28" s="381"/>
      <c r="DOS28" s="381"/>
      <c r="DOT28" s="381"/>
      <c r="DOU28" s="381"/>
      <c r="DOV28" s="381"/>
      <c r="DOW28" s="381"/>
      <c r="DOX28" s="381"/>
      <c r="DOY28" s="381"/>
      <c r="DOZ28" s="381"/>
      <c r="DPA28" s="379"/>
      <c r="DPB28" s="380"/>
      <c r="DPC28" s="380"/>
      <c r="DPD28" s="380"/>
      <c r="DPE28" s="381"/>
      <c r="DPF28" s="381"/>
      <c r="DPG28" s="381"/>
      <c r="DPH28" s="381"/>
      <c r="DPI28" s="381"/>
      <c r="DPJ28" s="381"/>
      <c r="DPK28" s="381"/>
      <c r="DPL28" s="381"/>
      <c r="DPM28" s="381"/>
      <c r="DPN28" s="381"/>
      <c r="DPO28" s="381"/>
      <c r="DPP28" s="381"/>
      <c r="DPQ28" s="381"/>
      <c r="DPR28" s="381"/>
      <c r="DPS28" s="381"/>
      <c r="DPT28" s="381"/>
      <c r="DPU28" s="381"/>
      <c r="DPV28" s="381"/>
      <c r="DPW28" s="381"/>
      <c r="DPX28" s="381"/>
      <c r="DPY28" s="381"/>
      <c r="DPZ28" s="381"/>
      <c r="DQA28" s="381"/>
      <c r="DQB28" s="381"/>
      <c r="DQC28" s="381"/>
      <c r="DQD28" s="381"/>
      <c r="DQE28" s="379"/>
      <c r="DQF28" s="380"/>
      <c r="DQG28" s="380"/>
      <c r="DQH28" s="380"/>
      <c r="DQI28" s="381"/>
      <c r="DQJ28" s="381"/>
      <c r="DQK28" s="381"/>
      <c r="DQL28" s="381"/>
      <c r="DQM28" s="381"/>
      <c r="DQN28" s="381"/>
      <c r="DQO28" s="381"/>
      <c r="DQP28" s="381"/>
      <c r="DQQ28" s="381"/>
      <c r="DQR28" s="381"/>
      <c r="DQS28" s="381"/>
      <c r="DQT28" s="381"/>
      <c r="DQU28" s="381"/>
      <c r="DQV28" s="381"/>
      <c r="DQW28" s="381"/>
      <c r="DQX28" s="381"/>
      <c r="DQY28" s="381"/>
      <c r="DQZ28" s="381"/>
      <c r="DRA28" s="381"/>
      <c r="DRB28" s="381"/>
      <c r="DRC28" s="381"/>
      <c r="DRD28" s="381"/>
      <c r="DRE28" s="381"/>
      <c r="DRF28" s="381"/>
      <c r="DRG28" s="381"/>
      <c r="DRH28" s="381"/>
      <c r="DRI28" s="379"/>
      <c r="DRJ28" s="380"/>
      <c r="DRK28" s="380"/>
      <c r="DRL28" s="380"/>
      <c r="DRM28" s="381"/>
      <c r="DRN28" s="381"/>
      <c r="DRO28" s="381"/>
      <c r="DRP28" s="381"/>
      <c r="DRQ28" s="381"/>
      <c r="DRR28" s="381"/>
      <c r="DRS28" s="381"/>
      <c r="DRT28" s="381"/>
      <c r="DRU28" s="381"/>
      <c r="DRV28" s="381"/>
      <c r="DRW28" s="381"/>
      <c r="DRX28" s="381"/>
      <c r="DRY28" s="381"/>
      <c r="DRZ28" s="381"/>
      <c r="DSA28" s="381"/>
      <c r="DSB28" s="381"/>
      <c r="DSC28" s="381"/>
      <c r="DSD28" s="381"/>
      <c r="DSE28" s="381"/>
      <c r="DSF28" s="381"/>
      <c r="DSG28" s="381"/>
      <c r="DSH28" s="381"/>
      <c r="DSI28" s="381"/>
      <c r="DSJ28" s="381"/>
      <c r="DSK28" s="381"/>
      <c r="DSL28" s="381"/>
      <c r="DSM28" s="379"/>
      <c r="DSN28" s="380"/>
      <c r="DSO28" s="380"/>
      <c r="DSP28" s="380"/>
      <c r="DSQ28" s="381"/>
      <c r="DSR28" s="381"/>
      <c r="DSS28" s="381"/>
      <c r="DST28" s="381"/>
      <c r="DSU28" s="381"/>
      <c r="DSV28" s="381"/>
      <c r="DSW28" s="381"/>
      <c r="DSX28" s="381"/>
      <c r="DSY28" s="381"/>
      <c r="DSZ28" s="381"/>
      <c r="DTA28" s="381"/>
      <c r="DTB28" s="381"/>
      <c r="DTC28" s="381"/>
      <c r="DTD28" s="381"/>
      <c r="DTE28" s="381"/>
      <c r="DTF28" s="381"/>
      <c r="DTG28" s="381"/>
      <c r="DTH28" s="381"/>
      <c r="DTI28" s="381"/>
      <c r="DTJ28" s="381"/>
      <c r="DTK28" s="381"/>
      <c r="DTL28" s="381"/>
      <c r="DTM28" s="381"/>
      <c r="DTN28" s="381"/>
      <c r="DTO28" s="381"/>
      <c r="DTP28" s="381"/>
      <c r="DTQ28" s="379"/>
      <c r="DTR28" s="380"/>
      <c r="DTS28" s="380"/>
      <c r="DTT28" s="380"/>
      <c r="DTU28" s="381"/>
      <c r="DTV28" s="381"/>
      <c r="DTW28" s="381"/>
      <c r="DTX28" s="381"/>
      <c r="DTY28" s="381"/>
      <c r="DTZ28" s="381"/>
      <c r="DUA28" s="381"/>
      <c r="DUB28" s="381"/>
      <c r="DUC28" s="381"/>
      <c r="DUD28" s="381"/>
      <c r="DUE28" s="381"/>
      <c r="DUF28" s="381"/>
      <c r="DUG28" s="381"/>
      <c r="DUH28" s="381"/>
      <c r="DUI28" s="381"/>
      <c r="DUJ28" s="381"/>
      <c r="DUK28" s="381"/>
      <c r="DUL28" s="381"/>
      <c r="DUM28" s="381"/>
      <c r="DUN28" s="381"/>
      <c r="DUO28" s="381"/>
      <c r="DUP28" s="381"/>
      <c r="DUQ28" s="381"/>
      <c r="DUR28" s="381"/>
      <c r="DUS28" s="381"/>
      <c r="DUT28" s="381"/>
      <c r="DUU28" s="379"/>
      <c r="DUV28" s="380"/>
      <c r="DUW28" s="380"/>
      <c r="DUX28" s="380"/>
      <c r="DUY28" s="381"/>
      <c r="DUZ28" s="381"/>
      <c r="DVA28" s="381"/>
      <c r="DVB28" s="381"/>
      <c r="DVC28" s="381"/>
      <c r="DVD28" s="381"/>
      <c r="DVE28" s="381"/>
      <c r="DVF28" s="381"/>
      <c r="DVG28" s="381"/>
      <c r="DVH28" s="381"/>
      <c r="DVI28" s="381"/>
      <c r="DVJ28" s="381"/>
      <c r="DVK28" s="381"/>
      <c r="DVL28" s="381"/>
      <c r="DVM28" s="381"/>
      <c r="DVN28" s="381"/>
      <c r="DVO28" s="381"/>
      <c r="DVP28" s="381"/>
      <c r="DVQ28" s="381"/>
      <c r="DVR28" s="381"/>
      <c r="DVS28" s="381"/>
      <c r="DVT28" s="381"/>
      <c r="DVU28" s="381"/>
      <c r="DVV28" s="381"/>
      <c r="DVW28" s="381"/>
      <c r="DVX28" s="381"/>
      <c r="DVY28" s="379"/>
      <c r="DVZ28" s="380"/>
      <c r="DWA28" s="380"/>
      <c r="DWB28" s="380"/>
      <c r="DWC28" s="381"/>
      <c r="DWD28" s="381"/>
      <c r="DWE28" s="381"/>
      <c r="DWF28" s="381"/>
      <c r="DWG28" s="381"/>
      <c r="DWH28" s="381"/>
      <c r="DWI28" s="381"/>
      <c r="DWJ28" s="381"/>
      <c r="DWK28" s="381"/>
      <c r="DWL28" s="381"/>
      <c r="DWM28" s="381"/>
      <c r="DWN28" s="381"/>
      <c r="DWO28" s="381"/>
      <c r="DWP28" s="381"/>
      <c r="DWQ28" s="381"/>
      <c r="DWR28" s="381"/>
      <c r="DWS28" s="381"/>
      <c r="DWT28" s="381"/>
      <c r="DWU28" s="381"/>
      <c r="DWV28" s="381"/>
      <c r="DWW28" s="381"/>
      <c r="DWX28" s="381"/>
      <c r="DWY28" s="381"/>
      <c r="DWZ28" s="381"/>
      <c r="DXA28" s="381"/>
      <c r="DXB28" s="381"/>
      <c r="DXC28" s="379"/>
      <c r="DXD28" s="380"/>
      <c r="DXE28" s="380"/>
      <c r="DXF28" s="380"/>
      <c r="DXG28" s="381"/>
      <c r="DXH28" s="381"/>
      <c r="DXI28" s="381"/>
      <c r="DXJ28" s="381"/>
      <c r="DXK28" s="381"/>
      <c r="DXL28" s="381"/>
      <c r="DXM28" s="381"/>
      <c r="DXN28" s="381"/>
      <c r="DXO28" s="381"/>
      <c r="DXP28" s="381"/>
      <c r="DXQ28" s="381"/>
      <c r="DXR28" s="381"/>
      <c r="DXS28" s="381"/>
      <c r="DXT28" s="381"/>
      <c r="DXU28" s="381"/>
      <c r="DXV28" s="381"/>
      <c r="DXW28" s="381"/>
      <c r="DXX28" s="381"/>
      <c r="DXY28" s="381"/>
      <c r="DXZ28" s="381"/>
      <c r="DYA28" s="381"/>
      <c r="DYB28" s="381"/>
      <c r="DYC28" s="381"/>
      <c r="DYD28" s="381"/>
      <c r="DYE28" s="381"/>
      <c r="DYF28" s="381"/>
      <c r="DYG28" s="379"/>
      <c r="DYH28" s="380"/>
      <c r="DYI28" s="380"/>
      <c r="DYJ28" s="380"/>
      <c r="DYK28" s="381"/>
      <c r="DYL28" s="381"/>
      <c r="DYM28" s="381"/>
      <c r="DYN28" s="381"/>
      <c r="DYO28" s="381"/>
      <c r="DYP28" s="381"/>
      <c r="DYQ28" s="381"/>
      <c r="DYR28" s="381"/>
      <c r="DYS28" s="381"/>
      <c r="DYT28" s="381"/>
      <c r="DYU28" s="381"/>
      <c r="DYV28" s="381"/>
      <c r="DYW28" s="381"/>
      <c r="DYX28" s="381"/>
      <c r="DYY28" s="381"/>
      <c r="DYZ28" s="381"/>
      <c r="DZA28" s="381"/>
      <c r="DZB28" s="381"/>
      <c r="DZC28" s="381"/>
      <c r="DZD28" s="381"/>
      <c r="DZE28" s="381"/>
      <c r="DZF28" s="381"/>
      <c r="DZG28" s="381"/>
      <c r="DZH28" s="381"/>
      <c r="DZI28" s="381"/>
      <c r="DZJ28" s="381"/>
      <c r="DZK28" s="379"/>
      <c r="DZL28" s="380"/>
      <c r="DZM28" s="380"/>
      <c r="DZN28" s="380"/>
      <c r="DZO28" s="381"/>
      <c r="DZP28" s="381"/>
      <c r="DZQ28" s="381"/>
      <c r="DZR28" s="381"/>
      <c r="DZS28" s="381"/>
      <c r="DZT28" s="381"/>
      <c r="DZU28" s="381"/>
      <c r="DZV28" s="381"/>
      <c r="DZW28" s="381"/>
      <c r="DZX28" s="381"/>
      <c r="DZY28" s="381"/>
      <c r="DZZ28" s="381"/>
      <c r="EAA28" s="381"/>
      <c r="EAB28" s="381"/>
      <c r="EAC28" s="381"/>
      <c r="EAD28" s="381"/>
      <c r="EAE28" s="381"/>
      <c r="EAF28" s="381"/>
      <c r="EAG28" s="381"/>
      <c r="EAH28" s="381"/>
      <c r="EAI28" s="381"/>
      <c r="EAJ28" s="381"/>
      <c r="EAK28" s="381"/>
      <c r="EAL28" s="381"/>
      <c r="EAM28" s="381"/>
      <c r="EAN28" s="381"/>
      <c r="EAO28" s="379"/>
      <c r="EAP28" s="380"/>
      <c r="EAQ28" s="380"/>
      <c r="EAR28" s="380"/>
      <c r="EAS28" s="381"/>
      <c r="EAT28" s="381"/>
      <c r="EAU28" s="381"/>
      <c r="EAV28" s="381"/>
      <c r="EAW28" s="381"/>
      <c r="EAX28" s="381"/>
      <c r="EAY28" s="381"/>
      <c r="EAZ28" s="381"/>
      <c r="EBA28" s="381"/>
      <c r="EBB28" s="381"/>
      <c r="EBC28" s="381"/>
      <c r="EBD28" s="381"/>
      <c r="EBE28" s="381"/>
      <c r="EBF28" s="381"/>
      <c r="EBG28" s="381"/>
      <c r="EBH28" s="381"/>
      <c r="EBI28" s="381"/>
      <c r="EBJ28" s="381"/>
      <c r="EBK28" s="381"/>
      <c r="EBL28" s="381"/>
      <c r="EBM28" s="381"/>
      <c r="EBN28" s="381"/>
      <c r="EBO28" s="381"/>
      <c r="EBP28" s="381"/>
      <c r="EBQ28" s="381"/>
      <c r="EBR28" s="381"/>
      <c r="EBS28" s="379"/>
      <c r="EBT28" s="380"/>
      <c r="EBU28" s="380"/>
      <c r="EBV28" s="380"/>
      <c r="EBW28" s="381"/>
      <c r="EBX28" s="381"/>
      <c r="EBY28" s="381"/>
      <c r="EBZ28" s="381"/>
      <c r="ECA28" s="381"/>
      <c r="ECB28" s="381"/>
      <c r="ECC28" s="381"/>
      <c r="ECD28" s="381"/>
      <c r="ECE28" s="381"/>
      <c r="ECF28" s="381"/>
      <c r="ECG28" s="381"/>
      <c r="ECH28" s="381"/>
      <c r="ECI28" s="381"/>
      <c r="ECJ28" s="381"/>
      <c r="ECK28" s="381"/>
      <c r="ECL28" s="381"/>
      <c r="ECM28" s="381"/>
      <c r="ECN28" s="381"/>
      <c r="ECO28" s="381"/>
      <c r="ECP28" s="381"/>
      <c r="ECQ28" s="381"/>
      <c r="ECR28" s="381"/>
      <c r="ECS28" s="381"/>
      <c r="ECT28" s="381"/>
      <c r="ECU28" s="381"/>
      <c r="ECV28" s="381"/>
      <c r="ECW28" s="379"/>
      <c r="ECX28" s="380"/>
      <c r="ECY28" s="380"/>
      <c r="ECZ28" s="380"/>
      <c r="EDA28" s="381"/>
      <c r="EDB28" s="381"/>
      <c r="EDC28" s="381"/>
      <c r="EDD28" s="381"/>
      <c r="EDE28" s="381"/>
      <c r="EDF28" s="381"/>
      <c r="EDG28" s="381"/>
      <c r="EDH28" s="381"/>
      <c r="EDI28" s="381"/>
      <c r="EDJ28" s="381"/>
      <c r="EDK28" s="381"/>
      <c r="EDL28" s="381"/>
      <c r="EDM28" s="381"/>
      <c r="EDN28" s="381"/>
      <c r="EDO28" s="381"/>
      <c r="EDP28" s="381"/>
      <c r="EDQ28" s="381"/>
      <c r="EDR28" s="381"/>
      <c r="EDS28" s="381"/>
      <c r="EDT28" s="381"/>
      <c r="EDU28" s="381"/>
      <c r="EDV28" s="381"/>
      <c r="EDW28" s="381"/>
      <c r="EDX28" s="381"/>
      <c r="EDY28" s="381"/>
      <c r="EDZ28" s="381"/>
      <c r="EEA28" s="379"/>
      <c r="EEB28" s="380"/>
      <c r="EEC28" s="380"/>
      <c r="EED28" s="380"/>
      <c r="EEE28" s="381"/>
      <c r="EEF28" s="381"/>
      <c r="EEG28" s="381"/>
      <c r="EEH28" s="381"/>
      <c r="EEI28" s="381"/>
      <c r="EEJ28" s="381"/>
      <c r="EEK28" s="381"/>
      <c r="EEL28" s="381"/>
      <c r="EEM28" s="381"/>
      <c r="EEN28" s="381"/>
      <c r="EEO28" s="381"/>
      <c r="EEP28" s="381"/>
      <c r="EEQ28" s="381"/>
      <c r="EER28" s="381"/>
      <c r="EES28" s="381"/>
      <c r="EET28" s="381"/>
      <c r="EEU28" s="381"/>
      <c r="EEV28" s="381"/>
      <c r="EEW28" s="381"/>
      <c r="EEX28" s="381"/>
      <c r="EEY28" s="381"/>
      <c r="EEZ28" s="381"/>
      <c r="EFA28" s="381"/>
      <c r="EFB28" s="381"/>
      <c r="EFC28" s="381"/>
      <c r="EFD28" s="381"/>
      <c r="EFE28" s="379"/>
      <c r="EFF28" s="380"/>
      <c r="EFG28" s="380"/>
      <c r="EFH28" s="380"/>
      <c r="EFI28" s="381"/>
      <c r="EFJ28" s="381"/>
      <c r="EFK28" s="381"/>
      <c r="EFL28" s="381"/>
      <c r="EFM28" s="381"/>
      <c r="EFN28" s="381"/>
      <c r="EFO28" s="381"/>
      <c r="EFP28" s="381"/>
      <c r="EFQ28" s="381"/>
      <c r="EFR28" s="381"/>
      <c r="EFS28" s="381"/>
      <c r="EFT28" s="381"/>
      <c r="EFU28" s="381"/>
      <c r="EFV28" s="381"/>
      <c r="EFW28" s="381"/>
      <c r="EFX28" s="381"/>
      <c r="EFY28" s="381"/>
      <c r="EFZ28" s="381"/>
      <c r="EGA28" s="381"/>
      <c r="EGB28" s="381"/>
      <c r="EGC28" s="381"/>
      <c r="EGD28" s="381"/>
      <c r="EGE28" s="381"/>
      <c r="EGF28" s="381"/>
      <c r="EGG28" s="381"/>
      <c r="EGH28" s="381"/>
      <c r="EGI28" s="379"/>
      <c r="EGJ28" s="380"/>
      <c r="EGK28" s="380"/>
      <c r="EGL28" s="380"/>
      <c r="EGM28" s="381"/>
      <c r="EGN28" s="381"/>
      <c r="EGO28" s="381"/>
      <c r="EGP28" s="381"/>
      <c r="EGQ28" s="381"/>
      <c r="EGR28" s="381"/>
      <c r="EGS28" s="381"/>
      <c r="EGT28" s="381"/>
      <c r="EGU28" s="381"/>
      <c r="EGV28" s="381"/>
      <c r="EGW28" s="381"/>
      <c r="EGX28" s="381"/>
      <c r="EGY28" s="381"/>
      <c r="EGZ28" s="381"/>
      <c r="EHA28" s="381"/>
      <c r="EHB28" s="381"/>
      <c r="EHC28" s="381"/>
      <c r="EHD28" s="381"/>
      <c r="EHE28" s="381"/>
      <c r="EHF28" s="381"/>
      <c r="EHG28" s="381"/>
      <c r="EHH28" s="381"/>
      <c r="EHI28" s="381"/>
      <c r="EHJ28" s="381"/>
      <c r="EHK28" s="381"/>
      <c r="EHL28" s="381"/>
      <c r="EHM28" s="379"/>
      <c r="EHN28" s="380"/>
      <c r="EHO28" s="380"/>
      <c r="EHP28" s="380"/>
      <c r="EHQ28" s="381"/>
      <c r="EHR28" s="381"/>
      <c r="EHS28" s="381"/>
      <c r="EHT28" s="381"/>
      <c r="EHU28" s="381"/>
      <c r="EHV28" s="381"/>
      <c r="EHW28" s="381"/>
      <c r="EHX28" s="381"/>
      <c r="EHY28" s="381"/>
      <c r="EHZ28" s="381"/>
      <c r="EIA28" s="381"/>
      <c r="EIB28" s="381"/>
      <c r="EIC28" s="381"/>
      <c r="EID28" s="381"/>
      <c r="EIE28" s="381"/>
      <c r="EIF28" s="381"/>
      <c r="EIG28" s="381"/>
      <c r="EIH28" s="381"/>
      <c r="EII28" s="381"/>
      <c r="EIJ28" s="381"/>
      <c r="EIK28" s="381"/>
      <c r="EIL28" s="381"/>
      <c r="EIM28" s="381"/>
      <c r="EIN28" s="381"/>
      <c r="EIO28" s="381"/>
      <c r="EIP28" s="381"/>
      <c r="EIQ28" s="379"/>
      <c r="EIR28" s="380"/>
      <c r="EIS28" s="380"/>
      <c r="EIT28" s="380"/>
      <c r="EIU28" s="381"/>
      <c r="EIV28" s="381"/>
      <c r="EIW28" s="381"/>
      <c r="EIX28" s="381"/>
      <c r="EIY28" s="381"/>
      <c r="EIZ28" s="381"/>
      <c r="EJA28" s="381"/>
      <c r="EJB28" s="381"/>
      <c r="EJC28" s="381"/>
      <c r="EJD28" s="381"/>
      <c r="EJE28" s="381"/>
      <c r="EJF28" s="381"/>
      <c r="EJG28" s="381"/>
      <c r="EJH28" s="381"/>
      <c r="EJI28" s="381"/>
      <c r="EJJ28" s="381"/>
      <c r="EJK28" s="381"/>
      <c r="EJL28" s="381"/>
      <c r="EJM28" s="381"/>
      <c r="EJN28" s="381"/>
      <c r="EJO28" s="381"/>
      <c r="EJP28" s="381"/>
      <c r="EJQ28" s="381"/>
      <c r="EJR28" s="381"/>
      <c r="EJS28" s="381"/>
      <c r="EJT28" s="381"/>
      <c r="EJU28" s="379"/>
      <c r="EJV28" s="380"/>
      <c r="EJW28" s="380"/>
      <c r="EJX28" s="380"/>
      <c r="EJY28" s="381"/>
      <c r="EJZ28" s="381"/>
      <c r="EKA28" s="381"/>
      <c r="EKB28" s="381"/>
      <c r="EKC28" s="381"/>
      <c r="EKD28" s="381"/>
      <c r="EKE28" s="381"/>
      <c r="EKF28" s="381"/>
      <c r="EKG28" s="381"/>
      <c r="EKH28" s="381"/>
      <c r="EKI28" s="381"/>
      <c r="EKJ28" s="381"/>
      <c r="EKK28" s="381"/>
      <c r="EKL28" s="381"/>
      <c r="EKM28" s="381"/>
      <c r="EKN28" s="381"/>
      <c r="EKO28" s="381"/>
      <c r="EKP28" s="381"/>
      <c r="EKQ28" s="381"/>
      <c r="EKR28" s="381"/>
      <c r="EKS28" s="381"/>
      <c r="EKT28" s="381"/>
      <c r="EKU28" s="381"/>
      <c r="EKV28" s="381"/>
      <c r="EKW28" s="381"/>
      <c r="EKX28" s="381"/>
      <c r="EKY28" s="379"/>
      <c r="EKZ28" s="380"/>
      <c r="ELA28" s="380"/>
      <c r="ELB28" s="380"/>
      <c r="ELC28" s="381"/>
      <c r="ELD28" s="381"/>
      <c r="ELE28" s="381"/>
      <c r="ELF28" s="381"/>
      <c r="ELG28" s="381"/>
      <c r="ELH28" s="381"/>
      <c r="ELI28" s="381"/>
      <c r="ELJ28" s="381"/>
      <c r="ELK28" s="381"/>
      <c r="ELL28" s="381"/>
      <c r="ELM28" s="381"/>
      <c r="ELN28" s="381"/>
      <c r="ELO28" s="381"/>
      <c r="ELP28" s="381"/>
      <c r="ELQ28" s="381"/>
      <c r="ELR28" s="381"/>
      <c r="ELS28" s="381"/>
      <c r="ELT28" s="381"/>
      <c r="ELU28" s="381"/>
      <c r="ELV28" s="381"/>
      <c r="ELW28" s="381"/>
      <c r="ELX28" s="381"/>
      <c r="ELY28" s="381"/>
      <c r="ELZ28" s="381"/>
      <c r="EMA28" s="381"/>
      <c r="EMB28" s="381"/>
      <c r="EMC28" s="379"/>
      <c r="EMD28" s="380"/>
      <c r="EME28" s="380"/>
      <c r="EMF28" s="380"/>
      <c r="EMG28" s="381"/>
      <c r="EMH28" s="381"/>
      <c r="EMI28" s="381"/>
      <c r="EMJ28" s="381"/>
      <c r="EMK28" s="381"/>
      <c r="EML28" s="381"/>
      <c r="EMM28" s="381"/>
      <c r="EMN28" s="381"/>
      <c r="EMO28" s="381"/>
      <c r="EMP28" s="381"/>
      <c r="EMQ28" s="381"/>
      <c r="EMR28" s="381"/>
      <c r="EMS28" s="381"/>
      <c r="EMT28" s="381"/>
      <c r="EMU28" s="381"/>
      <c r="EMV28" s="381"/>
      <c r="EMW28" s="381"/>
      <c r="EMX28" s="381"/>
      <c r="EMY28" s="381"/>
      <c r="EMZ28" s="381"/>
      <c r="ENA28" s="381"/>
      <c r="ENB28" s="381"/>
      <c r="ENC28" s="381"/>
      <c r="END28" s="381"/>
      <c r="ENE28" s="381"/>
      <c r="ENF28" s="381"/>
      <c r="ENG28" s="379"/>
      <c r="ENH28" s="380"/>
      <c r="ENI28" s="380"/>
      <c r="ENJ28" s="380"/>
      <c r="ENK28" s="381"/>
      <c r="ENL28" s="381"/>
      <c r="ENM28" s="381"/>
      <c r="ENN28" s="381"/>
      <c r="ENO28" s="381"/>
      <c r="ENP28" s="381"/>
      <c r="ENQ28" s="381"/>
      <c r="ENR28" s="381"/>
      <c r="ENS28" s="381"/>
      <c r="ENT28" s="381"/>
      <c r="ENU28" s="381"/>
      <c r="ENV28" s="381"/>
      <c r="ENW28" s="381"/>
      <c r="ENX28" s="381"/>
      <c r="ENY28" s="381"/>
      <c r="ENZ28" s="381"/>
      <c r="EOA28" s="381"/>
      <c r="EOB28" s="381"/>
      <c r="EOC28" s="381"/>
      <c r="EOD28" s="381"/>
      <c r="EOE28" s="381"/>
      <c r="EOF28" s="381"/>
      <c r="EOG28" s="381"/>
      <c r="EOH28" s="381"/>
      <c r="EOI28" s="381"/>
      <c r="EOJ28" s="381"/>
      <c r="EOK28" s="379"/>
      <c r="EOL28" s="380"/>
      <c r="EOM28" s="380"/>
      <c r="EON28" s="380"/>
      <c r="EOO28" s="381"/>
      <c r="EOP28" s="381"/>
      <c r="EOQ28" s="381"/>
      <c r="EOR28" s="381"/>
      <c r="EOS28" s="381"/>
      <c r="EOT28" s="381"/>
      <c r="EOU28" s="381"/>
      <c r="EOV28" s="381"/>
      <c r="EOW28" s="381"/>
      <c r="EOX28" s="381"/>
      <c r="EOY28" s="381"/>
      <c r="EOZ28" s="381"/>
      <c r="EPA28" s="381"/>
      <c r="EPB28" s="381"/>
      <c r="EPC28" s="381"/>
      <c r="EPD28" s="381"/>
      <c r="EPE28" s="381"/>
      <c r="EPF28" s="381"/>
      <c r="EPG28" s="381"/>
      <c r="EPH28" s="381"/>
      <c r="EPI28" s="381"/>
      <c r="EPJ28" s="381"/>
      <c r="EPK28" s="381"/>
      <c r="EPL28" s="381"/>
      <c r="EPM28" s="381"/>
      <c r="EPN28" s="381"/>
      <c r="EPO28" s="379"/>
      <c r="EPP28" s="380"/>
      <c r="EPQ28" s="380"/>
      <c r="EPR28" s="380"/>
      <c r="EPS28" s="381"/>
      <c r="EPT28" s="381"/>
      <c r="EPU28" s="381"/>
      <c r="EPV28" s="381"/>
      <c r="EPW28" s="381"/>
      <c r="EPX28" s="381"/>
      <c r="EPY28" s="381"/>
      <c r="EPZ28" s="381"/>
      <c r="EQA28" s="381"/>
      <c r="EQB28" s="381"/>
      <c r="EQC28" s="381"/>
      <c r="EQD28" s="381"/>
      <c r="EQE28" s="381"/>
      <c r="EQF28" s="381"/>
      <c r="EQG28" s="381"/>
      <c r="EQH28" s="381"/>
      <c r="EQI28" s="381"/>
      <c r="EQJ28" s="381"/>
      <c r="EQK28" s="381"/>
      <c r="EQL28" s="381"/>
      <c r="EQM28" s="381"/>
      <c r="EQN28" s="381"/>
      <c r="EQO28" s="381"/>
      <c r="EQP28" s="381"/>
      <c r="EQQ28" s="381"/>
      <c r="EQR28" s="381"/>
      <c r="EQS28" s="379"/>
      <c r="EQT28" s="380"/>
      <c r="EQU28" s="380"/>
      <c r="EQV28" s="380"/>
      <c r="EQW28" s="381"/>
      <c r="EQX28" s="381"/>
      <c r="EQY28" s="381"/>
      <c r="EQZ28" s="381"/>
      <c r="ERA28" s="381"/>
      <c r="ERB28" s="381"/>
      <c r="ERC28" s="381"/>
      <c r="ERD28" s="381"/>
      <c r="ERE28" s="381"/>
      <c r="ERF28" s="381"/>
      <c r="ERG28" s="381"/>
      <c r="ERH28" s="381"/>
      <c r="ERI28" s="381"/>
      <c r="ERJ28" s="381"/>
      <c r="ERK28" s="381"/>
      <c r="ERL28" s="381"/>
      <c r="ERM28" s="381"/>
      <c r="ERN28" s="381"/>
      <c r="ERO28" s="381"/>
      <c r="ERP28" s="381"/>
      <c r="ERQ28" s="381"/>
      <c r="ERR28" s="381"/>
      <c r="ERS28" s="381"/>
      <c r="ERT28" s="381"/>
      <c r="ERU28" s="381"/>
      <c r="ERV28" s="381"/>
      <c r="ERW28" s="379"/>
      <c r="ERX28" s="380"/>
      <c r="ERY28" s="380"/>
      <c r="ERZ28" s="380"/>
      <c r="ESA28" s="381"/>
      <c r="ESB28" s="381"/>
      <c r="ESC28" s="381"/>
      <c r="ESD28" s="381"/>
      <c r="ESE28" s="381"/>
      <c r="ESF28" s="381"/>
      <c r="ESG28" s="381"/>
      <c r="ESH28" s="381"/>
      <c r="ESI28" s="381"/>
      <c r="ESJ28" s="381"/>
      <c r="ESK28" s="381"/>
      <c r="ESL28" s="381"/>
      <c r="ESM28" s="381"/>
      <c r="ESN28" s="381"/>
      <c r="ESO28" s="381"/>
      <c r="ESP28" s="381"/>
      <c r="ESQ28" s="381"/>
      <c r="ESR28" s="381"/>
      <c r="ESS28" s="381"/>
      <c r="EST28" s="381"/>
      <c r="ESU28" s="381"/>
      <c r="ESV28" s="381"/>
      <c r="ESW28" s="381"/>
      <c r="ESX28" s="381"/>
      <c r="ESY28" s="381"/>
      <c r="ESZ28" s="381"/>
      <c r="ETA28" s="379"/>
      <c r="ETB28" s="380"/>
      <c r="ETC28" s="380"/>
      <c r="ETD28" s="380"/>
      <c r="ETE28" s="381"/>
      <c r="ETF28" s="381"/>
      <c r="ETG28" s="381"/>
      <c r="ETH28" s="381"/>
      <c r="ETI28" s="381"/>
      <c r="ETJ28" s="381"/>
      <c r="ETK28" s="381"/>
      <c r="ETL28" s="381"/>
      <c r="ETM28" s="381"/>
      <c r="ETN28" s="381"/>
      <c r="ETO28" s="381"/>
      <c r="ETP28" s="381"/>
      <c r="ETQ28" s="381"/>
      <c r="ETR28" s="381"/>
      <c r="ETS28" s="381"/>
      <c r="ETT28" s="381"/>
      <c r="ETU28" s="381"/>
      <c r="ETV28" s="381"/>
      <c r="ETW28" s="381"/>
      <c r="ETX28" s="381"/>
      <c r="ETY28" s="381"/>
      <c r="ETZ28" s="381"/>
      <c r="EUA28" s="381"/>
      <c r="EUB28" s="381"/>
      <c r="EUC28" s="381"/>
      <c r="EUD28" s="381"/>
      <c r="EUE28" s="379"/>
      <c r="EUF28" s="380"/>
      <c r="EUG28" s="380"/>
      <c r="EUH28" s="380"/>
      <c r="EUI28" s="381"/>
      <c r="EUJ28" s="381"/>
      <c r="EUK28" s="381"/>
      <c r="EUL28" s="381"/>
      <c r="EUM28" s="381"/>
      <c r="EUN28" s="381"/>
      <c r="EUO28" s="381"/>
      <c r="EUP28" s="381"/>
      <c r="EUQ28" s="381"/>
      <c r="EUR28" s="381"/>
      <c r="EUS28" s="381"/>
      <c r="EUT28" s="381"/>
      <c r="EUU28" s="381"/>
      <c r="EUV28" s="381"/>
      <c r="EUW28" s="381"/>
      <c r="EUX28" s="381"/>
      <c r="EUY28" s="381"/>
      <c r="EUZ28" s="381"/>
      <c r="EVA28" s="381"/>
      <c r="EVB28" s="381"/>
      <c r="EVC28" s="381"/>
      <c r="EVD28" s="381"/>
      <c r="EVE28" s="381"/>
      <c r="EVF28" s="381"/>
      <c r="EVG28" s="381"/>
      <c r="EVH28" s="381"/>
      <c r="EVI28" s="379"/>
      <c r="EVJ28" s="380"/>
      <c r="EVK28" s="380"/>
      <c r="EVL28" s="380"/>
      <c r="EVM28" s="381"/>
      <c r="EVN28" s="381"/>
      <c r="EVO28" s="381"/>
      <c r="EVP28" s="381"/>
      <c r="EVQ28" s="381"/>
      <c r="EVR28" s="381"/>
      <c r="EVS28" s="381"/>
      <c r="EVT28" s="381"/>
      <c r="EVU28" s="381"/>
      <c r="EVV28" s="381"/>
      <c r="EVW28" s="381"/>
      <c r="EVX28" s="381"/>
      <c r="EVY28" s="381"/>
      <c r="EVZ28" s="381"/>
      <c r="EWA28" s="381"/>
      <c r="EWB28" s="381"/>
      <c r="EWC28" s="381"/>
      <c r="EWD28" s="381"/>
      <c r="EWE28" s="381"/>
      <c r="EWF28" s="381"/>
      <c r="EWG28" s="381"/>
      <c r="EWH28" s="381"/>
      <c r="EWI28" s="381"/>
      <c r="EWJ28" s="381"/>
      <c r="EWK28" s="381"/>
      <c r="EWL28" s="381"/>
      <c r="EWM28" s="379"/>
      <c r="EWN28" s="380"/>
      <c r="EWO28" s="380"/>
      <c r="EWP28" s="380"/>
      <c r="EWQ28" s="381"/>
      <c r="EWR28" s="381"/>
      <c r="EWS28" s="381"/>
      <c r="EWT28" s="381"/>
      <c r="EWU28" s="381"/>
      <c r="EWV28" s="381"/>
      <c r="EWW28" s="381"/>
      <c r="EWX28" s="381"/>
      <c r="EWY28" s="381"/>
      <c r="EWZ28" s="381"/>
      <c r="EXA28" s="381"/>
      <c r="EXB28" s="381"/>
      <c r="EXC28" s="381"/>
      <c r="EXD28" s="381"/>
      <c r="EXE28" s="381"/>
      <c r="EXF28" s="381"/>
      <c r="EXG28" s="381"/>
      <c r="EXH28" s="381"/>
      <c r="EXI28" s="381"/>
      <c r="EXJ28" s="381"/>
      <c r="EXK28" s="381"/>
      <c r="EXL28" s="381"/>
      <c r="EXM28" s="381"/>
      <c r="EXN28" s="381"/>
      <c r="EXO28" s="381"/>
      <c r="EXP28" s="381"/>
      <c r="EXQ28" s="379"/>
      <c r="EXR28" s="380"/>
      <c r="EXS28" s="380"/>
      <c r="EXT28" s="380"/>
      <c r="EXU28" s="381"/>
      <c r="EXV28" s="381"/>
      <c r="EXW28" s="381"/>
      <c r="EXX28" s="381"/>
      <c r="EXY28" s="381"/>
      <c r="EXZ28" s="381"/>
      <c r="EYA28" s="381"/>
      <c r="EYB28" s="381"/>
      <c r="EYC28" s="381"/>
      <c r="EYD28" s="381"/>
      <c r="EYE28" s="381"/>
      <c r="EYF28" s="381"/>
      <c r="EYG28" s="381"/>
      <c r="EYH28" s="381"/>
      <c r="EYI28" s="381"/>
      <c r="EYJ28" s="381"/>
      <c r="EYK28" s="381"/>
      <c r="EYL28" s="381"/>
      <c r="EYM28" s="381"/>
      <c r="EYN28" s="381"/>
      <c r="EYO28" s="381"/>
      <c r="EYP28" s="381"/>
      <c r="EYQ28" s="381"/>
      <c r="EYR28" s="381"/>
      <c r="EYS28" s="381"/>
      <c r="EYT28" s="381"/>
      <c r="EYU28" s="379"/>
      <c r="EYV28" s="380"/>
      <c r="EYW28" s="380"/>
      <c r="EYX28" s="380"/>
      <c r="EYY28" s="381"/>
      <c r="EYZ28" s="381"/>
      <c r="EZA28" s="381"/>
      <c r="EZB28" s="381"/>
      <c r="EZC28" s="381"/>
      <c r="EZD28" s="381"/>
      <c r="EZE28" s="381"/>
      <c r="EZF28" s="381"/>
      <c r="EZG28" s="381"/>
      <c r="EZH28" s="381"/>
      <c r="EZI28" s="381"/>
      <c r="EZJ28" s="381"/>
      <c r="EZK28" s="381"/>
      <c r="EZL28" s="381"/>
      <c r="EZM28" s="381"/>
      <c r="EZN28" s="381"/>
      <c r="EZO28" s="381"/>
      <c r="EZP28" s="381"/>
      <c r="EZQ28" s="381"/>
      <c r="EZR28" s="381"/>
      <c r="EZS28" s="381"/>
      <c r="EZT28" s="381"/>
      <c r="EZU28" s="381"/>
      <c r="EZV28" s="381"/>
      <c r="EZW28" s="381"/>
      <c r="EZX28" s="381"/>
      <c r="EZY28" s="379"/>
      <c r="EZZ28" s="380"/>
      <c r="FAA28" s="380"/>
      <c r="FAB28" s="380"/>
      <c r="FAC28" s="381"/>
      <c r="FAD28" s="381"/>
      <c r="FAE28" s="381"/>
      <c r="FAF28" s="381"/>
      <c r="FAG28" s="381"/>
      <c r="FAH28" s="381"/>
      <c r="FAI28" s="381"/>
      <c r="FAJ28" s="381"/>
      <c r="FAK28" s="381"/>
      <c r="FAL28" s="381"/>
      <c r="FAM28" s="381"/>
      <c r="FAN28" s="381"/>
      <c r="FAO28" s="381"/>
      <c r="FAP28" s="381"/>
      <c r="FAQ28" s="381"/>
      <c r="FAR28" s="381"/>
      <c r="FAS28" s="381"/>
      <c r="FAT28" s="381"/>
      <c r="FAU28" s="381"/>
      <c r="FAV28" s="381"/>
      <c r="FAW28" s="381"/>
      <c r="FAX28" s="381"/>
      <c r="FAY28" s="381"/>
      <c r="FAZ28" s="381"/>
      <c r="FBA28" s="381"/>
      <c r="FBB28" s="381"/>
      <c r="FBC28" s="379"/>
      <c r="FBD28" s="380"/>
      <c r="FBE28" s="380"/>
      <c r="FBF28" s="380"/>
      <c r="FBG28" s="381"/>
      <c r="FBH28" s="381"/>
      <c r="FBI28" s="381"/>
      <c r="FBJ28" s="381"/>
      <c r="FBK28" s="381"/>
      <c r="FBL28" s="381"/>
      <c r="FBM28" s="381"/>
      <c r="FBN28" s="381"/>
      <c r="FBO28" s="381"/>
      <c r="FBP28" s="381"/>
      <c r="FBQ28" s="381"/>
      <c r="FBR28" s="381"/>
      <c r="FBS28" s="381"/>
      <c r="FBT28" s="381"/>
      <c r="FBU28" s="381"/>
      <c r="FBV28" s="381"/>
      <c r="FBW28" s="381"/>
      <c r="FBX28" s="381"/>
      <c r="FBY28" s="381"/>
      <c r="FBZ28" s="381"/>
      <c r="FCA28" s="381"/>
      <c r="FCB28" s="381"/>
      <c r="FCC28" s="381"/>
      <c r="FCD28" s="381"/>
      <c r="FCE28" s="381"/>
      <c r="FCF28" s="381"/>
      <c r="FCG28" s="379"/>
      <c r="FCH28" s="380"/>
      <c r="FCI28" s="380"/>
      <c r="FCJ28" s="380"/>
      <c r="FCK28" s="381"/>
      <c r="FCL28" s="381"/>
      <c r="FCM28" s="381"/>
      <c r="FCN28" s="381"/>
      <c r="FCO28" s="381"/>
      <c r="FCP28" s="381"/>
      <c r="FCQ28" s="381"/>
      <c r="FCR28" s="381"/>
      <c r="FCS28" s="381"/>
      <c r="FCT28" s="381"/>
      <c r="FCU28" s="381"/>
      <c r="FCV28" s="381"/>
      <c r="FCW28" s="381"/>
      <c r="FCX28" s="381"/>
      <c r="FCY28" s="381"/>
      <c r="FCZ28" s="381"/>
      <c r="FDA28" s="381"/>
      <c r="FDB28" s="381"/>
      <c r="FDC28" s="381"/>
      <c r="FDD28" s="381"/>
      <c r="FDE28" s="381"/>
      <c r="FDF28" s="381"/>
      <c r="FDG28" s="381"/>
      <c r="FDH28" s="381"/>
      <c r="FDI28" s="381"/>
      <c r="FDJ28" s="381"/>
      <c r="FDK28" s="379"/>
      <c r="FDL28" s="380"/>
      <c r="FDM28" s="380"/>
      <c r="FDN28" s="380"/>
      <c r="FDO28" s="381"/>
      <c r="FDP28" s="381"/>
      <c r="FDQ28" s="381"/>
      <c r="FDR28" s="381"/>
      <c r="FDS28" s="381"/>
      <c r="FDT28" s="381"/>
      <c r="FDU28" s="381"/>
      <c r="FDV28" s="381"/>
      <c r="FDW28" s="381"/>
      <c r="FDX28" s="381"/>
      <c r="FDY28" s="381"/>
      <c r="FDZ28" s="381"/>
      <c r="FEA28" s="381"/>
      <c r="FEB28" s="381"/>
      <c r="FEC28" s="381"/>
      <c r="FED28" s="381"/>
      <c r="FEE28" s="381"/>
      <c r="FEF28" s="381"/>
      <c r="FEG28" s="381"/>
      <c r="FEH28" s="381"/>
      <c r="FEI28" s="381"/>
      <c r="FEJ28" s="381"/>
      <c r="FEK28" s="381"/>
      <c r="FEL28" s="381"/>
      <c r="FEM28" s="381"/>
      <c r="FEN28" s="381"/>
      <c r="FEO28" s="379"/>
      <c r="FEP28" s="380"/>
      <c r="FEQ28" s="380"/>
      <c r="FER28" s="380"/>
      <c r="FES28" s="381"/>
      <c r="FET28" s="381"/>
      <c r="FEU28" s="381"/>
      <c r="FEV28" s="381"/>
      <c r="FEW28" s="381"/>
      <c r="FEX28" s="381"/>
      <c r="FEY28" s="381"/>
      <c r="FEZ28" s="381"/>
      <c r="FFA28" s="381"/>
      <c r="FFB28" s="381"/>
      <c r="FFC28" s="381"/>
      <c r="FFD28" s="381"/>
      <c r="FFE28" s="381"/>
      <c r="FFF28" s="381"/>
      <c r="FFG28" s="381"/>
      <c r="FFH28" s="381"/>
      <c r="FFI28" s="381"/>
      <c r="FFJ28" s="381"/>
      <c r="FFK28" s="381"/>
      <c r="FFL28" s="381"/>
      <c r="FFM28" s="381"/>
      <c r="FFN28" s="381"/>
      <c r="FFO28" s="381"/>
      <c r="FFP28" s="381"/>
      <c r="FFQ28" s="381"/>
      <c r="FFR28" s="381"/>
      <c r="FFS28" s="379"/>
      <c r="FFT28" s="380"/>
      <c r="FFU28" s="380"/>
      <c r="FFV28" s="380"/>
      <c r="FFW28" s="381"/>
      <c r="FFX28" s="381"/>
      <c r="FFY28" s="381"/>
      <c r="FFZ28" s="381"/>
      <c r="FGA28" s="381"/>
      <c r="FGB28" s="381"/>
      <c r="FGC28" s="381"/>
      <c r="FGD28" s="381"/>
      <c r="FGE28" s="381"/>
      <c r="FGF28" s="381"/>
      <c r="FGG28" s="381"/>
      <c r="FGH28" s="381"/>
      <c r="FGI28" s="381"/>
      <c r="FGJ28" s="381"/>
      <c r="FGK28" s="381"/>
      <c r="FGL28" s="381"/>
      <c r="FGM28" s="381"/>
      <c r="FGN28" s="381"/>
      <c r="FGO28" s="381"/>
      <c r="FGP28" s="381"/>
      <c r="FGQ28" s="381"/>
      <c r="FGR28" s="381"/>
      <c r="FGS28" s="381"/>
      <c r="FGT28" s="381"/>
      <c r="FGU28" s="381"/>
      <c r="FGV28" s="381"/>
      <c r="FGW28" s="379"/>
      <c r="FGX28" s="380"/>
      <c r="FGY28" s="380"/>
      <c r="FGZ28" s="380"/>
      <c r="FHA28" s="381"/>
      <c r="FHB28" s="381"/>
      <c r="FHC28" s="381"/>
      <c r="FHD28" s="381"/>
      <c r="FHE28" s="381"/>
      <c r="FHF28" s="381"/>
      <c r="FHG28" s="381"/>
      <c r="FHH28" s="381"/>
      <c r="FHI28" s="381"/>
      <c r="FHJ28" s="381"/>
      <c r="FHK28" s="381"/>
      <c r="FHL28" s="381"/>
      <c r="FHM28" s="381"/>
      <c r="FHN28" s="381"/>
      <c r="FHO28" s="381"/>
      <c r="FHP28" s="381"/>
      <c r="FHQ28" s="381"/>
      <c r="FHR28" s="381"/>
      <c r="FHS28" s="381"/>
      <c r="FHT28" s="381"/>
      <c r="FHU28" s="381"/>
      <c r="FHV28" s="381"/>
      <c r="FHW28" s="381"/>
      <c r="FHX28" s="381"/>
      <c r="FHY28" s="381"/>
      <c r="FHZ28" s="381"/>
      <c r="FIA28" s="379"/>
      <c r="FIB28" s="380"/>
      <c r="FIC28" s="380"/>
      <c r="FID28" s="380"/>
      <c r="FIE28" s="381"/>
      <c r="FIF28" s="381"/>
      <c r="FIG28" s="381"/>
      <c r="FIH28" s="381"/>
      <c r="FII28" s="381"/>
      <c r="FIJ28" s="381"/>
      <c r="FIK28" s="381"/>
      <c r="FIL28" s="381"/>
      <c r="FIM28" s="381"/>
      <c r="FIN28" s="381"/>
      <c r="FIO28" s="381"/>
      <c r="FIP28" s="381"/>
      <c r="FIQ28" s="381"/>
      <c r="FIR28" s="381"/>
      <c r="FIS28" s="381"/>
      <c r="FIT28" s="381"/>
      <c r="FIU28" s="381"/>
      <c r="FIV28" s="381"/>
      <c r="FIW28" s="381"/>
      <c r="FIX28" s="381"/>
      <c r="FIY28" s="381"/>
      <c r="FIZ28" s="381"/>
      <c r="FJA28" s="381"/>
      <c r="FJB28" s="381"/>
      <c r="FJC28" s="381"/>
      <c r="FJD28" s="381"/>
      <c r="FJE28" s="379"/>
      <c r="FJF28" s="380"/>
      <c r="FJG28" s="380"/>
      <c r="FJH28" s="380"/>
      <c r="FJI28" s="381"/>
      <c r="FJJ28" s="381"/>
      <c r="FJK28" s="381"/>
      <c r="FJL28" s="381"/>
      <c r="FJM28" s="381"/>
      <c r="FJN28" s="381"/>
      <c r="FJO28" s="381"/>
      <c r="FJP28" s="381"/>
      <c r="FJQ28" s="381"/>
      <c r="FJR28" s="381"/>
      <c r="FJS28" s="381"/>
      <c r="FJT28" s="381"/>
      <c r="FJU28" s="381"/>
      <c r="FJV28" s="381"/>
      <c r="FJW28" s="381"/>
      <c r="FJX28" s="381"/>
      <c r="FJY28" s="381"/>
      <c r="FJZ28" s="381"/>
      <c r="FKA28" s="381"/>
      <c r="FKB28" s="381"/>
      <c r="FKC28" s="381"/>
      <c r="FKD28" s="381"/>
      <c r="FKE28" s="381"/>
      <c r="FKF28" s="381"/>
      <c r="FKG28" s="381"/>
      <c r="FKH28" s="381"/>
      <c r="FKI28" s="379"/>
      <c r="FKJ28" s="380"/>
      <c r="FKK28" s="380"/>
      <c r="FKL28" s="380"/>
      <c r="FKM28" s="381"/>
      <c r="FKN28" s="381"/>
      <c r="FKO28" s="381"/>
      <c r="FKP28" s="381"/>
      <c r="FKQ28" s="381"/>
      <c r="FKR28" s="381"/>
      <c r="FKS28" s="381"/>
      <c r="FKT28" s="381"/>
      <c r="FKU28" s="381"/>
      <c r="FKV28" s="381"/>
      <c r="FKW28" s="381"/>
      <c r="FKX28" s="381"/>
      <c r="FKY28" s="381"/>
      <c r="FKZ28" s="381"/>
      <c r="FLA28" s="381"/>
      <c r="FLB28" s="381"/>
      <c r="FLC28" s="381"/>
      <c r="FLD28" s="381"/>
      <c r="FLE28" s="381"/>
      <c r="FLF28" s="381"/>
      <c r="FLG28" s="381"/>
      <c r="FLH28" s="381"/>
      <c r="FLI28" s="381"/>
      <c r="FLJ28" s="381"/>
      <c r="FLK28" s="381"/>
      <c r="FLL28" s="381"/>
      <c r="FLM28" s="379"/>
      <c r="FLN28" s="380"/>
      <c r="FLO28" s="380"/>
      <c r="FLP28" s="380"/>
      <c r="FLQ28" s="381"/>
      <c r="FLR28" s="381"/>
      <c r="FLS28" s="381"/>
      <c r="FLT28" s="381"/>
      <c r="FLU28" s="381"/>
      <c r="FLV28" s="381"/>
      <c r="FLW28" s="381"/>
      <c r="FLX28" s="381"/>
      <c r="FLY28" s="381"/>
      <c r="FLZ28" s="381"/>
      <c r="FMA28" s="381"/>
      <c r="FMB28" s="381"/>
      <c r="FMC28" s="381"/>
      <c r="FMD28" s="381"/>
      <c r="FME28" s="381"/>
      <c r="FMF28" s="381"/>
      <c r="FMG28" s="381"/>
      <c r="FMH28" s="381"/>
      <c r="FMI28" s="381"/>
      <c r="FMJ28" s="381"/>
      <c r="FMK28" s="381"/>
      <c r="FML28" s="381"/>
      <c r="FMM28" s="381"/>
      <c r="FMN28" s="381"/>
      <c r="FMO28" s="381"/>
      <c r="FMP28" s="381"/>
      <c r="FMQ28" s="379"/>
      <c r="FMR28" s="380"/>
      <c r="FMS28" s="380"/>
      <c r="FMT28" s="380"/>
      <c r="FMU28" s="381"/>
      <c r="FMV28" s="381"/>
      <c r="FMW28" s="381"/>
      <c r="FMX28" s="381"/>
      <c r="FMY28" s="381"/>
      <c r="FMZ28" s="381"/>
      <c r="FNA28" s="381"/>
      <c r="FNB28" s="381"/>
      <c r="FNC28" s="381"/>
      <c r="FND28" s="381"/>
      <c r="FNE28" s="381"/>
      <c r="FNF28" s="381"/>
      <c r="FNG28" s="381"/>
      <c r="FNH28" s="381"/>
      <c r="FNI28" s="381"/>
      <c r="FNJ28" s="381"/>
      <c r="FNK28" s="381"/>
      <c r="FNL28" s="381"/>
      <c r="FNM28" s="381"/>
      <c r="FNN28" s="381"/>
      <c r="FNO28" s="381"/>
      <c r="FNP28" s="381"/>
      <c r="FNQ28" s="381"/>
      <c r="FNR28" s="381"/>
      <c r="FNS28" s="381"/>
      <c r="FNT28" s="381"/>
      <c r="FNU28" s="379"/>
      <c r="FNV28" s="380"/>
      <c r="FNW28" s="380"/>
      <c r="FNX28" s="380"/>
      <c r="FNY28" s="381"/>
      <c r="FNZ28" s="381"/>
      <c r="FOA28" s="381"/>
      <c r="FOB28" s="381"/>
      <c r="FOC28" s="381"/>
      <c r="FOD28" s="381"/>
      <c r="FOE28" s="381"/>
      <c r="FOF28" s="381"/>
      <c r="FOG28" s="381"/>
      <c r="FOH28" s="381"/>
      <c r="FOI28" s="381"/>
      <c r="FOJ28" s="381"/>
      <c r="FOK28" s="381"/>
      <c r="FOL28" s="381"/>
      <c r="FOM28" s="381"/>
      <c r="FON28" s="381"/>
      <c r="FOO28" s="381"/>
      <c r="FOP28" s="381"/>
      <c r="FOQ28" s="381"/>
      <c r="FOR28" s="381"/>
      <c r="FOS28" s="381"/>
      <c r="FOT28" s="381"/>
      <c r="FOU28" s="381"/>
      <c r="FOV28" s="381"/>
      <c r="FOW28" s="381"/>
      <c r="FOX28" s="381"/>
      <c r="FOY28" s="379"/>
      <c r="FOZ28" s="380"/>
      <c r="FPA28" s="380"/>
      <c r="FPB28" s="380"/>
      <c r="FPC28" s="381"/>
      <c r="FPD28" s="381"/>
      <c r="FPE28" s="381"/>
      <c r="FPF28" s="381"/>
      <c r="FPG28" s="381"/>
      <c r="FPH28" s="381"/>
      <c r="FPI28" s="381"/>
      <c r="FPJ28" s="381"/>
      <c r="FPK28" s="381"/>
      <c r="FPL28" s="381"/>
      <c r="FPM28" s="381"/>
      <c r="FPN28" s="381"/>
      <c r="FPO28" s="381"/>
      <c r="FPP28" s="381"/>
      <c r="FPQ28" s="381"/>
      <c r="FPR28" s="381"/>
      <c r="FPS28" s="381"/>
      <c r="FPT28" s="381"/>
      <c r="FPU28" s="381"/>
      <c r="FPV28" s="381"/>
      <c r="FPW28" s="381"/>
      <c r="FPX28" s="381"/>
      <c r="FPY28" s="381"/>
      <c r="FPZ28" s="381"/>
      <c r="FQA28" s="381"/>
      <c r="FQB28" s="381"/>
      <c r="FQC28" s="379"/>
      <c r="FQD28" s="380"/>
      <c r="FQE28" s="380"/>
      <c r="FQF28" s="380"/>
      <c r="FQG28" s="381"/>
      <c r="FQH28" s="381"/>
      <c r="FQI28" s="381"/>
      <c r="FQJ28" s="381"/>
      <c r="FQK28" s="381"/>
      <c r="FQL28" s="381"/>
      <c r="FQM28" s="381"/>
      <c r="FQN28" s="381"/>
      <c r="FQO28" s="381"/>
      <c r="FQP28" s="381"/>
      <c r="FQQ28" s="381"/>
      <c r="FQR28" s="381"/>
      <c r="FQS28" s="381"/>
      <c r="FQT28" s="381"/>
      <c r="FQU28" s="381"/>
      <c r="FQV28" s="381"/>
      <c r="FQW28" s="381"/>
      <c r="FQX28" s="381"/>
      <c r="FQY28" s="381"/>
      <c r="FQZ28" s="381"/>
      <c r="FRA28" s="381"/>
      <c r="FRB28" s="381"/>
      <c r="FRC28" s="381"/>
      <c r="FRD28" s="381"/>
      <c r="FRE28" s="381"/>
      <c r="FRF28" s="381"/>
      <c r="FRG28" s="379"/>
      <c r="FRH28" s="380"/>
      <c r="FRI28" s="380"/>
      <c r="FRJ28" s="380"/>
      <c r="FRK28" s="381"/>
      <c r="FRL28" s="381"/>
      <c r="FRM28" s="381"/>
      <c r="FRN28" s="381"/>
      <c r="FRO28" s="381"/>
      <c r="FRP28" s="381"/>
      <c r="FRQ28" s="381"/>
      <c r="FRR28" s="381"/>
      <c r="FRS28" s="381"/>
      <c r="FRT28" s="381"/>
      <c r="FRU28" s="381"/>
      <c r="FRV28" s="381"/>
      <c r="FRW28" s="381"/>
      <c r="FRX28" s="381"/>
      <c r="FRY28" s="381"/>
      <c r="FRZ28" s="381"/>
      <c r="FSA28" s="381"/>
      <c r="FSB28" s="381"/>
      <c r="FSC28" s="381"/>
      <c r="FSD28" s="381"/>
      <c r="FSE28" s="381"/>
      <c r="FSF28" s="381"/>
      <c r="FSG28" s="381"/>
      <c r="FSH28" s="381"/>
      <c r="FSI28" s="381"/>
      <c r="FSJ28" s="381"/>
      <c r="FSK28" s="379"/>
      <c r="FSL28" s="380"/>
      <c r="FSM28" s="380"/>
      <c r="FSN28" s="380"/>
      <c r="FSO28" s="381"/>
      <c r="FSP28" s="381"/>
      <c r="FSQ28" s="381"/>
      <c r="FSR28" s="381"/>
      <c r="FSS28" s="381"/>
      <c r="FST28" s="381"/>
      <c r="FSU28" s="381"/>
      <c r="FSV28" s="381"/>
      <c r="FSW28" s="381"/>
      <c r="FSX28" s="381"/>
      <c r="FSY28" s="381"/>
      <c r="FSZ28" s="381"/>
      <c r="FTA28" s="381"/>
      <c r="FTB28" s="381"/>
      <c r="FTC28" s="381"/>
      <c r="FTD28" s="381"/>
      <c r="FTE28" s="381"/>
      <c r="FTF28" s="381"/>
      <c r="FTG28" s="381"/>
      <c r="FTH28" s="381"/>
      <c r="FTI28" s="381"/>
      <c r="FTJ28" s="381"/>
      <c r="FTK28" s="381"/>
      <c r="FTL28" s="381"/>
      <c r="FTM28" s="381"/>
      <c r="FTN28" s="381"/>
      <c r="FTO28" s="379"/>
      <c r="FTP28" s="380"/>
      <c r="FTQ28" s="380"/>
      <c r="FTR28" s="380"/>
      <c r="FTS28" s="381"/>
      <c r="FTT28" s="381"/>
      <c r="FTU28" s="381"/>
      <c r="FTV28" s="381"/>
      <c r="FTW28" s="381"/>
      <c r="FTX28" s="381"/>
      <c r="FTY28" s="381"/>
      <c r="FTZ28" s="381"/>
      <c r="FUA28" s="381"/>
      <c r="FUB28" s="381"/>
      <c r="FUC28" s="381"/>
      <c r="FUD28" s="381"/>
      <c r="FUE28" s="381"/>
      <c r="FUF28" s="381"/>
      <c r="FUG28" s="381"/>
      <c r="FUH28" s="381"/>
      <c r="FUI28" s="381"/>
      <c r="FUJ28" s="381"/>
      <c r="FUK28" s="381"/>
      <c r="FUL28" s="381"/>
      <c r="FUM28" s="381"/>
      <c r="FUN28" s="381"/>
      <c r="FUO28" s="381"/>
      <c r="FUP28" s="381"/>
      <c r="FUQ28" s="381"/>
      <c r="FUR28" s="381"/>
      <c r="FUS28" s="379"/>
      <c r="FUT28" s="380"/>
      <c r="FUU28" s="380"/>
      <c r="FUV28" s="380"/>
      <c r="FUW28" s="381"/>
      <c r="FUX28" s="381"/>
      <c r="FUY28" s="381"/>
      <c r="FUZ28" s="381"/>
      <c r="FVA28" s="381"/>
      <c r="FVB28" s="381"/>
      <c r="FVC28" s="381"/>
      <c r="FVD28" s="381"/>
      <c r="FVE28" s="381"/>
      <c r="FVF28" s="381"/>
      <c r="FVG28" s="381"/>
      <c r="FVH28" s="381"/>
      <c r="FVI28" s="381"/>
      <c r="FVJ28" s="381"/>
      <c r="FVK28" s="381"/>
      <c r="FVL28" s="381"/>
      <c r="FVM28" s="381"/>
      <c r="FVN28" s="381"/>
      <c r="FVO28" s="381"/>
      <c r="FVP28" s="381"/>
      <c r="FVQ28" s="381"/>
      <c r="FVR28" s="381"/>
      <c r="FVS28" s="381"/>
      <c r="FVT28" s="381"/>
      <c r="FVU28" s="381"/>
      <c r="FVV28" s="381"/>
      <c r="FVW28" s="379"/>
      <c r="FVX28" s="380"/>
      <c r="FVY28" s="380"/>
      <c r="FVZ28" s="380"/>
      <c r="FWA28" s="381"/>
      <c r="FWB28" s="381"/>
      <c r="FWC28" s="381"/>
      <c r="FWD28" s="381"/>
      <c r="FWE28" s="381"/>
      <c r="FWF28" s="381"/>
      <c r="FWG28" s="381"/>
      <c r="FWH28" s="381"/>
      <c r="FWI28" s="381"/>
      <c r="FWJ28" s="381"/>
      <c r="FWK28" s="381"/>
      <c r="FWL28" s="381"/>
      <c r="FWM28" s="381"/>
      <c r="FWN28" s="381"/>
      <c r="FWO28" s="381"/>
      <c r="FWP28" s="381"/>
      <c r="FWQ28" s="381"/>
      <c r="FWR28" s="381"/>
      <c r="FWS28" s="381"/>
      <c r="FWT28" s="381"/>
      <c r="FWU28" s="381"/>
      <c r="FWV28" s="381"/>
      <c r="FWW28" s="381"/>
      <c r="FWX28" s="381"/>
      <c r="FWY28" s="381"/>
      <c r="FWZ28" s="381"/>
      <c r="FXA28" s="379"/>
      <c r="FXB28" s="380"/>
      <c r="FXC28" s="380"/>
      <c r="FXD28" s="380"/>
      <c r="FXE28" s="381"/>
      <c r="FXF28" s="381"/>
      <c r="FXG28" s="381"/>
      <c r="FXH28" s="381"/>
      <c r="FXI28" s="381"/>
      <c r="FXJ28" s="381"/>
      <c r="FXK28" s="381"/>
      <c r="FXL28" s="381"/>
      <c r="FXM28" s="381"/>
      <c r="FXN28" s="381"/>
      <c r="FXO28" s="381"/>
      <c r="FXP28" s="381"/>
      <c r="FXQ28" s="381"/>
      <c r="FXR28" s="381"/>
      <c r="FXS28" s="381"/>
      <c r="FXT28" s="381"/>
      <c r="FXU28" s="381"/>
      <c r="FXV28" s="381"/>
      <c r="FXW28" s="381"/>
      <c r="FXX28" s="381"/>
      <c r="FXY28" s="381"/>
      <c r="FXZ28" s="381"/>
      <c r="FYA28" s="381"/>
      <c r="FYB28" s="381"/>
      <c r="FYC28" s="381"/>
      <c r="FYD28" s="381"/>
      <c r="FYE28" s="379"/>
      <c r="FYF28" s="380"/>
      <c r="FYG28" s="380"/>
      <c r="FYH28" s="380"/>
      <c r="FYI28" s="381"/>
      <c r="FYJ28" s="381"/>
      <c r="FYK28" s="381"/>
      <c r="FYL28" s="381"/>
      <c r="FYM28" s="381"/>
      <c r="FYN28" s="381"/>
      <c r="FYO28" s="381"/>
      <c r="FYP28" s="381"/>
      <c r="FYQ28" s="381"/>
      <c r="FYR28" s="381"/>
      <c r="FYS28" s="381"/>
      <c r="FYT28" s="381"/>
      <c r="FYU28" s="381"/>
      <c r="FYV28" s="381"/>
      <c r="FYW28" s="381"/>
      <c r="FYX28" s="381"/>
      <c r="FYY28" s="381"/>
      <c r="FYZ28" s="381"/>
      <c r="FZA28" s="381"/>
      <c r="FZB28" s="381"/>
      <c r="FZC28" s="381"/>
      <c r="FZD28" s="381"/>
      <c r="FZE28" s="381"/>
      <c r="FZF28" s="381"/>
      <c r="FZG28" s="381"/>
      <c r="FZH28" s="381"/>
      <c r="FZI28" s="379"/>
      <c r="FZJ28" s="380"/>
      <c r="FZK28" s="380"/>
      <c r="FZL28" s="380"/>
      <c r="FZM28" s="381"/>
      <c r="FZN28" s="381"/>
      <c r="FZO28" s="381"/>
      <c r="FZP28" s="381"/>
      <c r="FZQ28" s="381"/>
      <c r="FZR28" s="381"/>
      <c r="FZS28" s="381"/>
      <c r="FZT28" s="381"/>
      <c r="FZU28" s="381"/>
      <c r="FZV28" s="381"/>
      <c r="FZW28" s="381"/>
      <c r="FZX28" s="381"/>
      <c r="FZY28" s="381"/>
      <c r="FZZ28" s="381"/>
      <c r="GAA28" s="381"/>
      <c r="GAB28" s="381"/>
      <c r="GAC28" s="381"/>
      <c r="GAD28" s="381"/>
      <c r="GAE28" s="381"/>
      <c r="GAF28" s="381"/>
      <c r="GAG28" s="381"/>
      <c r="GAH28" s="381"/>
      <c r="GAI28" s="381"/>
      <c r="GAJ28" s="381"/>
      <c r="GAK28" s="381"/>
      <c r="GAL28" s="381"/>
      <c r="GAM28" s="379"/>
      <c r="GAN28" s="380"/>
      <c r="GAO28" s="380"/>
      <c r="GAP28" s="380"/>
      <c r="GAQ28" s="381"/>
      <c r="GAR28" s="381"/>
      <c r="GAS28" s="381"/>
      <c r="GAT28" s="381"/>
      <c r="GAU28" s="381"/>
      <c r="GAV28" s="381"/>
      <c r="GAW28" s="381"/>
      <c r="GAX28" s="381"/>
      <c r="GAY28" s="381"/>
      <c r="GAZ28" s="381"/>
      <c r="GBA28" s="381"/>
      <c r="GBB28" s="381"/>
      <c r="GBC28" s="381"/>
      <c r="GBD28" s="381"/>
      <c r="GBE28" s="381"/>
      <c r="GBF28" s="381"/>
      <c r="GBG28" s="381"/>
      <c r="GBH28" s="381"/>
      <c r="GBI28" s="381"/>
      <c r="GBJ28" s="381"/>
      <c r="GBK28" s="381"/>
      <c r="GBL28" s="381"/>
      <c r="GBM28" s="381"/>
      <c r="GBN28" s="381"/>
      <c r="GBO28" s="381"/>
      <c r="GBP28" s="381"/>
      <c r="GBQ28" s="379"/>
      <c r="GBR28" s="380"/>
      <c r="GBS28" s="380"/>
      <c r="GBT28" s="380"/>
      <c r="GBU28" s="381"/>
      <c r="GBV28" s="381"/>
      <c r="GBW28" s="381"/>
      <c r="GBX28" s="381"/>
      <c r="GBY28" s="381"/>
      <c r="GBZ28" s="381"/>
      <c r="GCA28" s="381"/>
      <c r="GCB28" s="381"/>
      <c r="GCC28" s="381"/>
      <c r="GCD28" s="381"/>
      <c r="GCE28" s="381"/>
      <c r="GCF28" s="381"/>
      <c r="GCG28" s="381"/>
      <c r="GCH28" s="381"/>
      <c r="GCI28" s="381"/>
      <c r="GCJ28" s="381"/>
      <c r="GCK28" s="381"/>
      <c r="GCL28" s="381"/>
      <c r="GCM28" s="381"/>
      <c r="GCN28" s="381"/>
      <c r="GCO28" s="381"/>
      <c r="GCP28" s="381"/>
      <c r="GCQ28" s="381"/>
      <c r="GCR28" s="381"/>
      <c r="GCS28" s="381"/>
      <c r="GCT28" s="381"/>
      <c r="GCU28" s="379"/>
      <c r="GCV28" s="380"/>
      <c r="GCW28" s="380"/>
      <c r="GCX28" s="380"/>
      <c r="GCY28" s="381"/>
      <c r="GCZ28" s="381"/>
      <c r="GDA28" s="381"/>
      <c r="GDB28" s="381"/>
      <c r="GDC28" s="381"/>
      <c r="GDD28" s="381"/>
      <c r="GDE28" s="381"/>
      <c r="GDF28" s="381"/>
      <c r="GDG28" s="381"/>
      <c r="GDH28" s="381"/>
      <c r="GDI28" s="381"/>
      <c r="GDJ28" s="381"/>
      <c r="GDK28" s="381"/>
      <c r="GDL28" s="381"/>
      <c r="GDM28" s="381"/>
      <c r="GDN28" s="381"/>
      <c r="GDO28" s="381"/>
      <c r="GDP28" s="381"/>
      <c r="GDQ28" s="381"/>
      <c r="GDR28" s="381"/>
      <c r="GDS28" s="381"/>
      <c r="GDT28" s="381"/>
      <c r="GDU28" s="381"/>
      <c r="GDV28" s="381"/>
      <c r="GDW28" s="381"/>
      <c r="GDX28" s="381"/>
      <c r="GDY28" s="379"/>
      <c r="GDZ28" s="380"/>
      <c r="GEA28" s="380"/>
      <c r="GEB28" s="380"/>
      <c r="GEC28" s="381"/>
      <c r="GED28" s="381"/>
      <c r="GEE28" s="381"/>
      <c r="GEF28" s="381"/>
      <c r="GEG28" s="381"/>
      <c r="GEH28" s="381"/>
      <c r="GEI28" s="381"/>
      <c r="GEJ28" s="381"/>
      <c r="GEK28" s="381"/>
      <c r="GEL28" s="381"/>
      <c r="GEM28" s="381"/>
      <c r="GEN28" s="381"/>
      <c r="GEO28" s="381"/>
      <c r="GEP28" s="381"/>
      <c r="GEQ28" s="381"/>
      <c r="GER28" s="381"/>
      <c r="GES28" s="381"/>
      <c r="GET28" s="381"/>
      <c r="GEU28" s="381"/>
      <c r="GEV28" s="381"/>
      <c r="GEW28" s="381"/>
      <c r="GEX28" s="381"/>
      <c r="GEY28" s="381"/>
      <c r="GEZ28" s="381"/>
      <c r="GFA28" s="381"/>
      <c r="GFB28" s="381"/>
      <c r="GFC28" s="379"/>
      <c r="GFD28" s="380"/>
      <c r="GFE28" s="380"/>
      <c r="GFF28" s="380"/>
      <c r="GFG28" s="381"/>
      <c r="GFH28" s="381"/>
      <c r="GFI28" s="381"/>
      <c r="GFJ28" s="381"/>
      <c r="GFK28" s="381"/>
      <c r="GFL28" s="381"/>
      <c r="GFM28" s="381"/>
      <c r="GFN28" s="381"/>
      <c r="GFO28" s="381"/>
      <c r="GFP28" s="381"/>
      <c r="GFQ28" s="381"/>
      <c r="GFR28" s="381"/>
      <c r="GFS28" s="381"/>
      <c r="GFT28" s="381"/>
      <c r="GFU28" s="381"/>
      <c r="GFV28" s="381"/>
      <c r="GFW28" s="381"/>
      <c r="GFX28" s="381"/>
      <c r="GFY28" s="381"/>
      <c r="GFZ28" s="381"/>
      <c r="GGA28" s="381"/>
      <c r="GGB28" s="381"/>
      <c r="GGC28" s="381"/>
      <c r="GGD28" s="381"/>
      <c r="GGE28" s="381"/>
      <c r="GGF28" s="381"/>
      <c r="GGG28" s="379"/>
      <c r="GGH28" s="380"/>
      <c r="GGI28" s="380"/>
      <c r="GGJ28" s="380"/>
      <c r="GGK28" s="381"/>
      <c r="GGL28" s="381"/>
      <c r="GGM28" s="381"/>
      <c r="GGN28" s="381"/>
      <c r="GGO28" s="381"/>
      <c r="GGP28" s="381"/>
      <c r="GGQ28" s="381"/>
      <c r="GGR28" s="381"/>
      <c r="GGS28" s="381"/>
      <c r="GGT28" s="381"/>
      <c r="GGU28" s="381"/>
      <c r="GGV28" s="381"/>
      <c r="GGW28" s="381"/>
      <c r="GGX28" s="381"/>
      <c r="GGY28" s="381"/>
      <c r="GGZ28" s="381"/>
      <c r="GHA28" s="381"/>
      <c r="GHB28" s="381"/>
      <c r="GHC28" s="381"/>
      <c r="GHD28" s="381"/>
      <c r="GHE28" s="381"/>
      <c r="GHF28" s="381"/>
      <c r="GHG28" s="381"/>
      <c r="GHH28" s="381"/>
      <c r="GHI28" s="381"/>
      <c r="GHJ28" s="381"/>
      <c r="GHK28" s="379"/>
      <c r="GHL28" s="380"/>
      <c r="GHM28" s="380"/>
      <c r="GHN28" s="380"/>
      <c r="GHO28" s="381"/>
      <c r="GHP28" s="381"/>
      <c r="GHQ28" s="381"/>
      <c r="GHR28" s="381"/>
      <c r="GHS28" s="381"/>
      <c r="GHT28" s="381"/>
      <c r="GHU28" s="381"/>
      <c r="GHV28" s="381"/>
      <c r="GHW28" s="381"/>
      <c r="GHX28" s="381"/>
      <c r="GHY28" s="381"/>
      <c r="GHZ28" s="381"/>
      <c r="GIA28" s="381"/>
      <c r="GIB28" s="381"/>
      <c r="GIC28" s="381"/>
      <c r="GID28" s="381"/>
      <c r="GIE28" s="381"/>
      <c r="GIF28" s="381"/>
      <c r="GIG28" s="381"/>
      <c r="GIH28" s="381"/>
      <c r="GII28" s="381"/>
      <c r="GIJ28" s="381"/>
      <c r="GIK28" s="381"/>
      <c r="GIL28" s="381"/>
      <c r="GIM28" s="381"/>
      <c r="GIN28" s="381"/>
      <c r="GIO28" s="379"/>
      <c r="GIP28" s="380"/>
      <c r="GIQ28" s="380"/>
      <c r="GIR28" s="380"/>
      <c r="GIS28" s="381"/>
      <c r="GIT28" s="381"/>
      <c r="GIU28" s="381"/>
      <c r="GIV28" s="381"/>
      <c r="GIW28" s="381"/>
      <c r="GIX28" s="381"/>
      <c r="GIY28" s="381"/>
      <c r="GIZ28" s="381"/>
      <c r="GJA28" s="381"/>
      <c r="GJB28" s="381"/>
      <c r="GJC28" s="381"/>
      <c r="GJD28" s="381"/>
      <c r="GJE28" s="381"/>
      <c r="GJF28" s="381"/>
      <c r="GJG28" s="381"/>
      <c r="GJH28" s="381"/>
      <c r="GJI28" s="381"/>
      <c r="GJJ28" s="381"/>
      <c r="GJK28" s="381"/>
      <c r="GJL28" s="381"/>
      <c r="GJM28" s="381"/>
      <c r="GJN28" s="381"/>
      <c r="GJO28" s="381"/>
      <c r="GJP28" s="381"/>
      <c r="GJQ28" s="381"/>
      <c r="GJR28" s="381"/>
      <c r="GJS28" s="379"/>
      <c r="GJT28" s="380"/>
      <c r="GJU28" s="380"/>
      <c r="GJV28" s="380"/>
      <c r="GJW28" s="381"/>
      <c r="GJX28" s="381"/>
      <c r="GJY28" s="381"/>
      <c r="GJZ28" s="381"/>
      <c r="GKA28" s="381"/>
      <c r="GKB28" s="381"/>
      <c r="GKC28" s="381"/>
      <c r="GKD28" s="381"/>
      <c r="GKE28" s="381"/>
      <c r="GKF28" s="381"/>
      <c r="GKG28" s="381"/>
      <c r="GKH28" s="381"/>
      <c r="GKI28" s="381"/>
      <c r="GKJ28" s="381"/>
      <c r="GKK28" s="381"/>
      <c r="GKL28" s="381"/>
      <c r="GKM28" s="381"/>
      <c r="GKN28" s="381"/>
      <c r="GKO28" s="381"/>
      <c r="GKP28" s="381"/>
      <c r="GKQ28" s="381"/>
      <c r="GKR28" s="381"/>
      <c r="GKS28" s="381"/>
      <c r="GKT28" s="381"/>
      <c r="GKU28" s="381"/>
      <c r="GKV28" s="381"/>
      <c r="GKW28" s="379"/>
      <c r="GKX28" s="380"/>
      <c r="GKY28" s="380"/>
      <c r="GKZ28" s="380"/>
      <c r="GLA28" s="381"/>
      <c r="GLB28" s="381"/>
      <c r="GLC28" s="381"/>
      <c r="GLD28" s="381"/>
      <c r="GLE28" s="381"/>
      <c r="GLF28" s="381"/>
      <c r="GLG28" s="381"/>
      <c r="GLH28" s="381"/>
      <c r="GLI28" s="381"/>
      <c r="GLJ28" s="381"/>
      <c r="GLK28" s="381"/>
      <c r="GLL28" s="381"/>
      <c r="GLM28" s="381"/>
      <c r="GLN28" s="381"/>
      <c r="GLO28" s="381"/>
      <c r="GLP28" s="381"/>
      <c r="GLQ28" s="381"/>
      <c r="GLR28" s="381"/>
      <c r="GLS28" s="381"/>
      <c r="GLT28" s="381"/>
      <c r="GLU28" s="381"/>
      <c r="GLV28" s="381"/>
      <c r="GLW28" s="381"/>
      <c r="GLX28" s="381"/>
      <c r="GLY28" s="381"/>
      <c r="GLZ28" s="381"/>
      <c r="GMA28" s="379"/>
      <c r="GMB28" s="380"/>
      <c r="GMC28" s="380"/>
      <c r="GMD28" s="380"/>
      <c r="GME28" s="381"/>
      <c r="GMF28" s="381"/>
      <c r="GMG28" s="381"/>
      <c r="GMH28" s="381"/>
      <c r="GMI28" s="381"/>
      <c r="GMJ28" s="381"/>
      <c r="GMK28" s="381"/>
      <c r="GML28" s="381"/>
      <c r="GMM28" s="381"/>
      <c r="GMN28" s="381"/>
      <c r="GMO28" s="381"/>
      <c r="GMP28" s="381"/>
      <c r="GMQ28" s="381"/>
      <c r="GMR28" s="381"/>
      <c r="GMS28" s="381"/>
      <c r="GMT28" s="381"/>
      <c r="GMU28" s="381"/>
      <c r="GMV28" s="381"/>
      <c r="GMW28" s="381"/>
      <c r="GMX28" s="381"/>
      <c r="GMY28" s="381"/>
      <c r="GMZ28" s="381"/>
      <c r="GNA28" s="381"/>
      <c r="GNB28" s="381"/>
      <c r="GNC28" s="381"/>
      <c r="GND28" s="381"/>
      <c r="GNE28" s="379"/>
      <c r="GNF28" s="380"/>
      <c r="GNG28" s="380"/>
      <c r="GNH28" s="380"/>
      <c r="GNI28" s="381"/>
      <c r="GNJ28" s="381"/>
      <c r="GNK28" s="381"/>
      <c r="GNL28" s="381"/>
      <c r="GNM28" s="381"/>
      <c r="GNN28" s="381"/>
      <c r="GNO28" s="381"/>
      <c r="GNP28" s="381"/>
      <c r="GNQ28" s="381"/>
      <c r="GNR28" s="381"/>
      <c r="GNS28" s="381"/>
      <c r="GNT28" s="381"/>
      <c r="GNU28" s="381"/>
      <c r="GNV28" s="381"/>
      <c r="GNW28" s="381"/>
      <c r="GNX28" s="381"/>
      <c r="GNY28" s="381"/>
      <c r="GNZ28" s="381"/>
      <c r="GOA28" s="381"/>
      <c r="GOB28" s="381"/>
      <c r="GOC28" s="381"/>
      <c r="GOD28" s="381"/>
      <c r="GOE28" s="381"/>
      <c r="GOF28" s="381"/>
      <c r="GOG28" s="381"/>
      <c r="GOH28" s="381"/>
      <c r="GOI28" s="379"/>
      <c r="GOJ28" s="380"/>
      <c r="GOK28" s="380"/>
      <c r="GOL28" s="380"/>
      <c r="GOM28" s="381"/>
      <c r="GON28" s="381"/>
      <c r="GOO28" s="381"/>
      <c r="GOP28" s="381"/>
      <c r="GOQ28" s="381"/>
      <c r="GOR28" s="381"/>
      <c r="GOS28" s="381"/>
      <c r="GOT28" s="381"/>
      <c r="GOU28" s="381"/>
      <c r="GOV28" s="381"/>
      <c r="GOW28" s="381"/>
      <c r="GOX28" s="381"/>
      <c r="GOY28" s="381"/>
      <c r="GOZ28" s="381"/>
      <c r="GPA28" s="381"/>
      <c r="GPB28" s="381"/>
      <c r="GPC28" s="381"/>
      <c r="GPD28" s="381"/>
      <c r="GPE28" s="381"/>
      <c r="GPF28" s="381"/>
      <c r="GPG28" s="381"/>
      <c r="GPH28" s="381"/>
      <c r="GPI28" s="381"/>
      <c r="GPJ28" s="381"/>
      <c r="GPK28" s="381"/>
      <c r="GPL28" s="381"/>
      <c r="GPM28" s="379"/>
      <c r="GPN28" s="380"/>
      <c r="GPO28" s="380"/>
      <c r="GPP28" s="380"/>
      <c r="GPQ28" s="381"/>
      <c r="GPR28" s="381"/>
      <c r="GPS28" s="381"/>
      <c r="GPT28" s="381"/>
      <c r="GPU28" s="381"/>
      <c r="GPV28" s="381"/>
      <c r="GPW28" s="381"/>
      <c r="GPX28" s="381"/>
      <c r="GPY28" s="381"/>
      <c r="GPZ28" s="381"/>
      <c r="GQA28" s="381"/>
      <c r="GQB28" s="381"/>
      <c r="GQC28" s="381"/>
      <c r="GQD28" s="381"/>
      <c r="GQE28" s="381"/>
      <c r="GQF28" s="381"/>
      <c r="GQG28" s="381"/>
      <c r="GQH28" s="381"/>
      <c r="GQI28" s="381"/>
      <c r="GQJ28" s="381"/>
      <c r="GQK28" s="381"/>
      <c r="GQL28" s="381"/>
      <c r="GQM28" s="381"/>
      <c r="GQN28" s="381"/>
      <c r="GQO28" s="381"/>
      <c r="GQP28" s="381"/>
      <c r="GQQ28" s="379"/>
      <c r="GQR28" s="380"/>
      <c r="GQS28" s="380"/>
      <c r="GQT28" s="380"/>
      <c r="GQU28" s="381"/>
      <c r="GQV28" s="381"/>
      <c r="GQW28" s="381"/>
      <c r="GQX28" s="381"/>
      <c r="GQY28" s="381"/>
      <c r="GQZ28" s="381"/>
      <c r="GRA28" s="381"/>
      <c r="GRB28" s="381"/>
      <c r="GRC28" s="381"/>
      <c r="GRD28" s="381"/>
      <c r="GRE28" s="381"/>
      <c r="GRF28" s="381"/>
      <c r="GRG28" s="381"/>
      <c r="GRH28" s="381"/>
      <c r="GRI28" s="381"/>
      <c r="GRJ28" s="381"/>
      <c r="GRK28" s="381"/>
      <c r="GRL28" s="381"/>
      <c r="GRM28" s="381"/>
      <c r="GRN28" s="381"/>
      <c r="GRO28" s="381"/>
      <c r="GRP28" s="381"/>
      <c r="GRQ28" s="381"/>
      <c r="GRR28" s="381"/>
      <c r="GRS28" s="381"/>
      <c r="GRT28" s="381"/>
      <c r="GRU28" s="379"/>
      <c r="GRV28" s="380"/>
      <c r="GRW28" s="380"/>
      <c r="GRX28" s="380"/>
      <c r="GRY28" s="381"/>
      <c r="GRZ28" s="381"/>
      <c r="GSA28" s="381"/>
      <c r="GSB28" s="381"/>
      <c r="GSC28" s="381"/>
      <c r="GSD28" s="381"/>
      <c r="GSE28" s="381"/>
      <c r="GSF28" s="381"/>
      <c r="GSG28" s="381"/>
      <c r="GSH28" s="381"/>
      <c r="GSI28" s="381"/>
      <c r="GSJ28" s="381"/>
      <c r="GSK28" s="381"/>
      <c r="GSL28" s="381"/>
      <c r="GSM28" s="381"/>
      <c r="GSN28" s="381"/>
      <c r="GSO28" s="381"/>
      <c r="GSP28" s="381"/>
      <c r="GSQ28" s="381"/>
      <c r="GSR28" s="381"/>
      <c r="GSS28" s="381"/>
      <c r="GST28" s="381"/>
      <c r="GSU28" s="381"/>
      <c r="GSV28" s="381"/>
      <c r="GSW28" s="381"/>
      <c r="GSX28" s="381"/>
      <c r="GSY28" s="379"/>
      <c r="GSZ28" s="380"/>
      <c r="GTA28" s="380"/>
      <c r="GTB28" s="380"/>
      <c r="GTC28" s="381"/>
      <c r="GTD28" s="381"/>
      <c r="GTE28" s="381"/>
      <c r="GTF28" s="381"/>
      <c r="GTG28" s="381"/>
      <c r="GTH28" s="381"/>
      <c r="GTI28" s="381"/>
      <c r="GTJ28" s="381"/>
      <c r="GTK28" s="381"/>
      <c r="GTL28" s="381"/>
      <c r="GTM28" s="381"/>
      <c r="GTN28" s="381"/>
      <c r="GTO28" s="381"/>
      <c r="GTP28" s="381"/>
      <c r="GTQ28" s="381"/>
      <c r="GTR28" s="381"/>
      <c r="GTS28" s="381"/>
      <c r="GTT28" s="381"/>
      <c r="GTU28" s="381"/>
      <c r="GTV28" s="381"/>
      <c r="GTW28" s="381"/>
      <c r="GTX28" s="381"/>
      <c r="GTY28" s="381"/>
      <c r="GTZ28" s="381"/>
      <c r="GUA28" s="381"/>
      <c r="GUB28" s="381"/>
      <c r="GUC28" s="379"/>
      <c r="GUD28" s="380"/>
      <c r="GUE28" s="380"/>
      <c r="GUF28" s="380"/>
      <c r="GUG28" s="381"/>
      <c r="GUH28" s="381"/>
      <c r="GUI28" s="381"/>
      <c r="GUJ28" s="381"/>
      <c r="GUK28" s="381"/>
      <c r="GUL28" s="381"/>
      <c r="GUM28" s="381"/>
      <c r="GUN28" s="381"/>
      <c r="GUO28" s="381"/>
      <c r="GUP28" s="381"/>
      <c r="GUQ28" s="381"/>
      <c r="GUR28" s="381"/>
      <c r="GUS28" s="381"/>
      <c r="GUT28" s="381"/>
      <c r="GUU28" s="381"/>
      <c r="GUV28" s="381"/>
      <c r="GUW28" s="381"/>
      <c r="GUX28" s="381"/>
      <c r="GUY28" s="381"/>
      <c r="GUZ28" s="381"/>
      <c r="GVA28" s="381"/>
      <c r="GVB28" s="381"/>
      <c r="GVC28" s="381"/>
      <c r="GVD28" s="381"/>
      <c r="GVE28" s="381"/>
      <c r="GVF28" s="381"/>
      <c r="GVG28" s="379"/>
      <c r="GVH28" s="380"/>
      <c r="GVI28" s="380"/>
      <c r="GVJ28" s="380"/>
      <c r="GVK28" s="381"/>
      <c r="GVL28" s="381"/>
      <c r="GVM28" s="381"/>
      <c r="GVN28" s="381"/>
      <c r="GVO28" s="381"/>
      <c r="GVP28" s="381"/>
      <c r="GVQ28" s="381"/>
      <c r="GVR28" s="381"/>
      <c r="GVS28" s="381"/>
      <c r="GVT28" s="381"/>
      <c r="GVU28" s="381"/>
      <c r="GVV28" s="381"/>
      <c r="GVW28" s="381"/>
      <c r="GVX28" s="381"/>
      <c r="GVY28" s="381"/>
      <c r="GVZ28" s="381"/>
      <c r="GWA28" s="381"/>
      <c r="GWB28" s="381"/>
      <c r="GWC28" s="381"/>
      <c r="GWD28" s="381"/>
      <c r="GWE28" s="381"/>
      <c r="GWF28" s="381"/>
      <c r="GWG28" s="381"/>
      <c r="GWH28" s="381"/>
      <c r="GWI28" s="381"/>
      <c r="GWJ28" s="381"/>
      <c r="GWK28" s="379"/>
      <c r="GWL28" s="380"/>
      <c r="GWM28" s="380"/>
      <c r="GWN28" s="380"/>
      <c r="GWO28" s="381"/>
      <c r="GWP28" s="381"/>
      <c r="GWQ28" s="381"/>
      <c r="GWR28" s="381"/>
      <c r="GWS28" s="381"/>
      <c r="GWT28" s="381"/>
      <c r="GWU28" s="381"/>
      <c r="GWV28" s="381"/>
      <c r="GWW28" s="381"/>
      <c r="GWX28" s="381"/>
      <c r="GWY28" s="381"/>
      <c r="GWZ28" s="381"/>
      <c r="GXA28" s="381"/>
      <c r="GXB28" s="381"/>
      <c r="GXC28" s="381"/>
      <c r="GXD28" s="381"/>
      <c r="GXE28" s="381"/>
      <c r="GXF28" s="381"/>
      <c r="GXG28" s="381"/>
      <c r="GXH28" s="381"/>
      <c r="GXI28" s="381"/>
      <c r="GXJ28" s="381"/>
      <c r="GXK28" s="381"/>
      <c r="GXL28" s="381"/>
      <c r="GXM28" s="381"/>
      <c r="GXN28" s="381"/>
      <c r="GXO28" s="379"/>
      <c r="GXP28" s="380"/>
      <c r="GXQ28" s="380"/>
      <c r="GXR28" s="380"/>
      <c r="GXS28" s="381"/>
      <c r="GXT28" s="381"/>
      <c r="GXU28" s="381"/>
      <c r="GXV28" s="381"/>
      <c r="GXW28" s="381"/>
      <c r="GXX28" s="381"/>
      <c r="GXY28" s="381"/>
      <c r="GXZ28" s="381"/>
      <c r="GYA28" s="381"/>
      <c r="GYB28" s="381"/>
      <c r="GYC28" s="381"/>
      <c r="GYD28" s="381"/>
      <c r="GYE28" s="381"/>
      <c r="GYF28" s="381"/>
      <c r="GYG28" s="381"/>
      <c r="GYH28" s="381"/>
      <c r="GYI28" s="381"/>
      <c r="GYJ28" s="381"/>
      <c r="GYK28" s="381"/>
      <c r="GYL28" s="381"/>
      <c r="GYM28" s="381"/>
      <c r="GYN28" s="381"/>
      <c r="GYO28" s="381"/>
      <c r="GYP28" s="381"/>
      <c r="GYQ28" s="381"/>
      <c r="GYR28" s="381"/>
      <c r="GYS28" s="379"/>
      <c r="GYT28" s="380"/>
      <c r="GYU28" s="380"/>
      <c r="GYV28" s="380"/>
      <c r="GYW28" s="381"/>
      <c r="GYX28" s="381"/>
      <c r="GYY28" s="381"/>
      <c r="GYZ28" s="381"/>
      <c r="GZA28" s="381"/>
      <c r="GZB28" s="381"/>
      <c r="GZC28" s="381"/>
      <c r="GZD28" s="381"/>
      <c r="GZE28" s="381"/>
      <c r="GZF28" s="381"/>
      <c r="GZG28" s="381"/>
      <c r="GZH28" s="381"/>
      <c r="GZI28" s="381"/>
      <c r="GZJ28" s="381"/>
      <c r="GZK28" s="381"/>
      <c r="GZL28" s="381"/>
      <c r="GZM28" s="381"/>
      <c r="GZN28" s="381"/>
      <c r="GZO28" s="381"/>
      <c r="GZP28" s="381"/>
      <c r="GZQ28" s="381"/>
      <c r="GZR28" s="381"/>
      <c r="GZS28" s="381"/>
      <c r="GZT28" s="381"/>
      <c r="GZU28" s="381"/>
      <c r="GZV28" s="381"/>
      <c r="GZW28" s="379"/>
      <c r="GZX28" s="380"/>
      <c r="GZY28" s="380"/>
      <c r="GZZ28" s="380"/>
      <c r="HAA28" s="381"/>
      <c r="HAB28" s="381"/>
      <c r="HAC28" s="381"/>
      <c r="HAD28" s="381"/>
      <c r="HAE28" s="381"/>
      <c r="HAF28" s="381"/>
      <c r="HAG28" s="381"/>
      <c r="HAH28" s="381"/>
      <c r="HAI28" s="381"/>
      <c r="HAJ28" s="381"/>
      <c r="HAK28" s="381"/>
      <c r="HAL28" s="381"/>
      <c r="HAM28" s="381"/>
      <c r="HAN28" s="381"/>
      <c r="HAO28" s="381"/>
      <c r="HAP28" s="381"/>
      <c r="HAQ28" s="381"/>
      <c r="HAR28" s="381"/>
      <c r="HAS28" s="381"/>
      <c r="HAT28" s="381"/>
      <c r="HAU28" s="381"/>
      <c r="HAV28" s="381"/>
      <c r="HAW28" s="381"/>
      <c r="HAX28" s="381"/>
      <c r="HAY28" s="381"/>
      <c r="HAZ28" s="381"/>
      <c r="HBA28" s="379"/>
      <c r="HBB28" s="380"/>
      <c r="HBC28" s="380"/>
      <c r="HBD28" s="380"/>
      <c r="HBE28" s="381"/>
      <c r="HBF28" s="381"/>
      <c r="HBG28" s="381"/>
      <c r="HBH28" s="381"/>
      <c r="HBI28" s="381"/>
      <c r="HBJ28" s="381"/>
      <c r="HBK28" s="381"/>
      <c r="HBL28" s="381"/>
      <c r="HBM28" s="381"/>
      <c r="HBN28" s="381"/>
      <c r="HBO28" s="381"/>
      <c r="HBP28" s="381"/>
      <c r="HBQ28" s="381"/>
      <c r="HBR28" s="381"/>
      <c r="HBS28" s="381"/>
      <c r="HBT28" s="381"/>
      <c r="HBU28" s="381"/>
      <c r="HBV28" s="381"/>
      <c r="HBW28" s="381"/>
      <c r="HBX28" s="381"/>
      <c r="HBY28" s="381"/>
      <c r="HBZ28" s="381"/>
      <c r="HCA28" s="381"/>
      <c r="HCB28" s="381"/>
      <c r="HCC28" s="381"/>
      <c r="HCD28" s="381"/>
      <c r="HCE28" s="379"/>
      <c r="HCF28" s="380"/>
      <c r="HCG28" s="380"/>
      <c r="HCH28" s="380"/>
      <c r="HCI28" s="381"/>
      <c r="HCJ28" s="381"/>
      <c r="HCK28" s="381"/>
      <c r="HCL28" s="381"/>
      <c r="HCM28" s="381"/>
      <c r="HCN28" s="381"/>
      <c r="HCO28" s="381"/>
      <c r="HCP28" s="381"/>
      <c r="HCQ28" s="381"/>
      <c r="HCR28" s="381"/>
      <c r="HCS28" s="381"/>
      <c r="HCT28" s="381"/>
      <c r="HCU28" s="381"/>
      <c r="HCV28" s="381"/>
      <c r="HCW28" s="381"/>
      <c r="HCX28" s="381"/>
      <c r="HCY28" s="381"/>
      <c r="HCZ28" s="381"/>
      <c r="HDA28" s="381"/>
      <c r="HDB28" s="381"/>
      <c r="HDC28" s="381"/>
      <c r="HDD28" s="381"/>
      <c r="HDE28" s="381"/>
      <c r="HDF28" s="381"/>
      <c r="HDG28" s="381"/>
      <c r="HDH28" s="381"/>
      <c r="HDI28" s="379"/>
      <c r="HDJ28" s="380"/>
      <c r="HDK28" s="380"/>
      <c r="HDL28" s="380"/>
      <c r="HDM28" s="381"/>
      <c r="HDN28" s="381"/>
      <c r="HDO28" s="381"/>
      <c r="HDP28" s="381"/>
      <c r="HDQ28" s="381"/>
      <c r="HDR28" s="381"/>
      <c r="HDS28" s="381"/>
      <c r="HDT28" s="381"/>
      <c r="HDU28" s="381"/>
      <c r="HDV28" s="381"/>
      <c r="HDW28" s="381"/>
      <c r="HDX28" s="381"/>
      <c r="HDY28" s="381"/>
      <c r="HDZ28" s="381"/>
      <c r="HEA28" s="381"/>
      <c r="HEB28" s="381"/>
      <c r="HEC28" s="381"/>
      <c r="HED28" s="381"/>
      <c r="HEE28" s="381"/>
      <c r="HEF28" s="381"/>
      <c r="HEG28" s="381"/>
      <c r="HEH28" s="381"/>
      <c r="HEI28" s="381"/>
      <c r="HEJ28" s="381"/>
      <c r="HEK28" s="381"/>
      <c r="HEL28" s="381"/>
      <c r="HEM28" s="379"/>
      <c r="HEN28" s="380"/>
      <c r="HEO28" s="380"/>
      <c r="HEP28" s="380"/>
      <c r="HEQ28" s="381"/>
      <c r="HER28" s="381"/>
      <c r="HES28" s="381"/>
      <c r="HET28" s="381"/>
      <c r="HEU28" s="381"/>
      <c r="HEV28" s="381"/>
      <c r="HEW28" s="381"/>
      <c r="HEX28" s="381"/>
      <c r="HEY28" s="381"/>
      <c r="HEZ28" s="381"/>
      <c r="HFA28" s="381"/>
      <c r="HFB28" s="381"/>
      <c r="HFC28" s="381"/>
      <c r="HFD28" s="381"/>
      <c r="HFE28" s="381"/>
      <c r="HFF28" s="381"/>
      <c r="HFG28" s="381"/>
      <c r="HFH28" s="381"/>
      <c r="HFI28" s="381"/>
      <c r="HFJ28" s="381"/>
      <c r="HFK28" s="381"/>
      <c r="HFL28" s="381"/>
      <c r="HFM28" s="381"/>
      <c r="HFN28" s="381"/>
      <c r="HFO28" s="381"/>
      <c r="HFP28" s="381"/>
      <c r="HFQ28" s="379"/>
      <c r="HFR28" s="380"/>
      <c r="HFS28" s="380"/>
      <c r="HFT28" s="380"/>
      <c r="HFU28" s="381"/>
      <c r="HFV28" s="381"/>
      <c r="HFW28" s="381"/>
      <c r="HFX28" s="381"/>
      <c r="HFY28" s="381"/>
      <c r="HFZ28" s="381"/>
      <c r="HGA28" s="381"/>
      <c r="HGB28" s="381"/>
      <c r="HGC28" s="381"/>
      <c r="HGD28" s="381"/>
      <c r="HGE28" s="381"/>
      <c r="HGF28" s="381"/>
      <c r="HGG28" s="381"/>
      <c r="HGH28" s="381"/>
      <c r="HGI28" s="381"/>
      <c r="HGJ28" s="381"/>
      <c r="HGK28" s="381"/>
      <c r="HGL28" s="381"/>
      <c r="HGM28" s="381"/>
      <c r="HGN28" s="381"/>
      <c r="HGO28" s="381"/>
      <c r="HGP28" s="381"/>
      <c r="HGQ28" s="381"/>
      <c r="HGR28" s="381"/>
      <c r="HGS28" s="381"/>
      <c r="HGT28" s="381"/>
      <c r="HGU28" s="379"/>
      <c r="HGV28" s="380"/>
      <c r="HGW28" s="380"/>
      <c r="HGX28" s="380"/>
      <c r="HGY28" s="381"/>
      <c r="HGZ28" s="381"/>
      <c r="HHA28" s="381"/>
      <c r="HHB28" s="381"/>
      <c r="HHC28" s="381"/>
      <c r="HHD28" s="381"/>
      <c r="HHE28" s="381"/>
      <c r="HHF28" s="381"/>
      <c r="HHG28" s="381"/>
      <c r="HHH28" s="381"/>
      <c r="HHI28" s="381"/>
      <c r="HHJ28" s="381"/>
      <c r="HHK28" s="381"/>
      <c r="HHL28" s="381"/>
      <c r="HHM28" s="381"/>
      <c r="HHN28" s="381"/>
      <c r="HHO28" s="381"/>
      <c r="HHP28" s="381"/>
      <c r="HHQ28" s="381"/>
      <c r="HHR28" s="381"/>
      <c r="HHS28" s="381"/>
      <c r="HHT28" s="381"/>
      <c r="HHU28" s="381"/>
      <c r="HHV28" s="381"/>
      <c r="HHW28" s="381"/>
      <c r="HHX28" s="381"/>
      <c r="HHY28" s="379"/>
      <c r="HHZ28" s="380"/>
      <c r="HIA28" s="380"/>
      <c r="HIB28" s="380"/>
      <c r="HIC28" s="381"/>
      <c r="HID28" s="381"/>
      <c r="HIE28" s="381"/>
      <c r="HIF28" s="381"/>
      <c r="HIG28" s="381"/>
      <c r="HIH28" s="381"/>
      <c r="HII28" s="381"/>
      <c r="HIJ28" s="381"/>
      <c r="HIK28" s="381"/>
      <c r="HIL28" s="381"/>
      <c r="HIM28" s="381"/>
      <c r="HIN28" s="381"/>
      <c r="HIO28" s="381"/>
      <c r="HIP28" s="381"/>
      <c r="HIQ28" s="381"/>
      <c r="HIR28" s="381"/>
      <c r="HIS28" s="381"/>
      <c r="HIT28" s="381"/>
      <c r="HIU28" s="381"/>
      <c r="HIV28" s="381"/>
      <c r="HIW28" s="381"/>
      <c r="HIX28" s="381"/>
      <c r="HIY28" s="381"/>
      <c r="HIZ28" s="381"/>
      <c r="HJA28" s="381"/>
      <c r="HJB28" s="381"/>
      <c r="HJC28" s="379"/>
      <c r="HJD28" s="380"/>
      <c r="HJE28" s="380"/>
      <c r="HJF28" s="380"/>
      <c r="HJG28" s="381"/>
      <c r="HJH28" s="381"/>
      <c r="HJI28" s="381"/>
      <c r="HJJ28" s="381"/>
      <c r="HJK28" s="381"/>
      <c r="HJL28" s="381"/>
      <c r="HJM28" s="381"/>
      <c r="HJN28" s="381"/>
      <c r="HJO28" s="381"/>
      <c r="HJP28" s="381"/>
      <c r="HJQ28" s="381"/>
      <c r="HJR28" s="381"/>
      <c r="HJS28" s="381"/>
      <c r="HJT28" s="381"/>
      <c r="HJU28" s="381"/>
      <c r="HJV28" s="381"/>
      <c r="HJW28" s="381"/>
      <c r="HJX28" s="381"/>
      <c r="HJY28" s="381"/>
      <c r="HJZ28" s="381"/>
      <c r="HKA28" s="381"/>
      <c r="HKB28" s="381"/>
      <c r="HKC28" s="381"/>
      <c r="HKD28" s="381"/>
      <c r="HKE28" s="381"/>
      <c r="HKF28" s="381"/>
      <c r="HKG28" s="379"/>
      <c r="HKH28" s="380"/>
      <c r="HKI28" s="380"/>
      <c r="HKJ28" s="380"/>
      <c r="HKK28" s="381"/>
      <c r="HKL28" s="381"/>
      <c r="HKM28" s="381"/>
      <c r="HKN28" s="381"/>
      <c r="HKO28" s="381"/>
      <c r="HKP28" s="381"/>
      <c r="HKQ28" s="381"/>
      <c r="HKR28" s="381"/>
      <c r="HKS28" s="381"/>
      <c r="HKT28" s="381"/>
      <c r="HKU28" s="381"/>
      <c r="HKV28" s="381"/>
      <c r="HKW28" s="381"/>
      <c r="HKX28" s="381"/>
      <c r="HKY28" s="381"/>
      <c r="HKZ28" s="381"/>
      <c r="HLA28" s="381"/>
      <c r="HLB28" s="381"/>
      <c r="HLC28" s="381"/>
      <c r="HLD28" s="381"/>
      <c r="HLE28" s="381"/>
      <c r="HLF28" s="381"/>
      <c r="HLG28" s="381"/>
      <c r="HLH28" s="381"/>
      <c r="HLI28" s="381"/>
      <c r="HLJ28" s="381"/>
      <c r="HLK28" s="379"/>
      <c r="HLL28" s="380"/>
      <c r="HLM28" s="380"/>
      <c r="HLN28" s="380"/>
      <c r="HLO28" s="381"/>
      <c r="HLP28" s="381"/>
      <c r="HLQ28" s="381"/>
      <c r="HLR28" s="381"/>
      <c r="HLS28" s="381"/>
      <c r="HLT28" s="381"/>
      <c r="HLU28" s="381"/>
      <c r="HLV28" s="381"/>
      <c r="HLW28" s="381"/>
      <c r="HLX28" s="381"/>
      <c r="HLY28" s="381"/>
      <c r="HLZ28" s="381"/>
      <c r="HMA28" s="381"/>
      <c r="HMB28" s="381"/>
      <c r="HMC28" s="381"/>
      <c r="HMD28" s="381"/>
      <c r="HME28" s="381"/>
      <c r="HMF28" s="381"/>
      <c r="HMG28" s="381"/>
      <c r="HMH28" s="381"/>
      <c r="HMI28" s="381"/>
      <c r="HMJ28" s="381"/>
      <c r="HMK28" s="381"/>
      <c r="HML28" s="381"/>
      <c r="HMM28" s="381"/>
      <c r="HMN28" s="381"/>
      <c r="HMO28" s="379"/>
      <c r="HMP28" s="380"/>
      <c r="HMQ28" s="380"/>
      <c r="HMR28" s="380"/>
      <c r="HMS28" s="381"/>
      <c r="HMT28" s="381"/>
      <c r="HMU28" s="381"/>
      <c r="HMV28" s="381"/>
      <c r="HMW28" s="381"/>
      <c r="HMX28" s="381"/>
      <c r="HMY28" s="381"/>
      <c r="HMZ28" s="381"/>
      <c r="HNA28" s="381"/>
      <c r="HNB28" s="381"/>
      <c r="HNC28" s="381"/>
      <c r="HND28" s="381"/>
      <c r="HNE28" s="381"/>
      <c r="HNF28" s="381"/>
      <c r="HNG28" s="381"/>
      <c r="HNH28" s="381"/>
      <c r="HNI28" s="381"/>
      <c r="HNJ28" s="381"/>
      <c r="HNK28" s="381"/>
      <c r="HNL28" s="381"/>
      <c r="HNM28" s="381"/>
      <c r="HNN28" s="381"/>
      <c r="HNO28" s="381"/>
      <c r="HNP28" s="381"/>
      <c r="HNQ28" s="381"/>
      <c r="HNR28" s="381"/>
      <c r="HNS28" s="379"/>
      <c r="HNT28" s="380"/>
      <c r="HNU28" s="380"/>
      <c r="HNV28" s="380"/>
      <c r="HNW28" s="381"/>
      <c r="HNX28" s="381"/>
      <c r="HNY28" s="381"/>
      <c r="HNZ28" s="381"/>
      <c r="HOA28" s="381"/>
      <c r="HOB28" s="381"/>
      <c r="HOC28" s="381"/>
      <c r="HOD28" s="381"/>
      <c r="HOE28" s="381"/>
      <c r="HOF28" s="381"/>
      <c r="HOG28" s="381"/>
      <c r="HOH28" s="381"/>
      <c r="HOI28" s="381"/>
      <c r="HOJ28" s="381"/>
      <c r="HOK28" s="381"/>
      <c r="HOL28" s="381"/>
      <c r="HOM28" s="381"/>
      <c r="HON28" s="381"/>
      <c r="HOO28" s="381"/>
      <c r="HOP28" s="381"/>
      <c r="HOQ28" s="381"/>
      <c r="HOR28" s="381"/>
      <c r="HOS28" s="381"/>
      <c r="HOT28" s="381"/>
      <c r="HOU28" s="381"/>
      <c r="HOV28" s="381"/>
      <c r="HOW28" s="379"/>
      <c r="HOX28" s="380"/>
      <c r="HOY28" s="380"/>
      <c r="HOZ28" s="380"/>
      <c r="HPA28" s="381"/>
      <c r="HPB28" s="381"/>
      <c r="HPC28" s="381"/>
      <c r="HPD28" s="381"/>
      <c r="HPE28" s="381"/>
      <c r="HPF28" s="381"/>
      <c r="HPG28" s="381"/>
      <c r="HPH28" s="381"/>
      <c r="HPI28" s="381"/>
      <c r="HPJ28" s="381"/>
      <c r="HPK28" s="381"/>
      <c r="HPL28" s="381"/>
      <c r="HPM28" s="381"/>
      <c r="HPN28" s="381"/>
      <c r="HPO28" s="381"/>
      <c r="HPP28" s="381"/>
      <c r="HPQ28" s="381"/>
      <c r="HPR28" s="381"/>
      <c r="HPS28" s="381"/>
      <c r="HPT28" s="381"/>
      <c r="HPU28" s="381"/>
      <c r="HPV28" s="381"/>
      <c r="HPW28" s="381"/>
      <c r="HPX28" s="381"/>
      <c r="HPY28" s="381"/>
      <c r="HPZ28" s="381"/>
      <c r="HQA28" s="379"/>
      <c r="HQB28" s="380"/>
      <c r="HQC28" s="380"/>
      <c r="HQD28" s="380"/>
      <c r="HQE28" s="381"/>
      <c r="HQF28" s="381"/>
      <c r="HQG28" s="381"/>
      <c r="HQH28" s="381"/>
      <c r="HQI28" s="381"/>
      <c r="HQJ28" s="381"/>
      <c r="HQK28" s="381"/>
      <c r="HQL28" s="381"/>
      <c r="HQM28" s="381"/>
      <c r="HQN28" s="381"/>
      <c r="HQO28" s="381"/>
      <c r="HQP28" s="381"/>
      <c r="HQQ28" s="381"/>
      <c r="HQR28" s="381"/>
      <c r="HQS28" s="381"/>
      <c r="HQT28" s="381"/>
      <c r="HQU28" s="381"/>
      <c r="HQV28" s="381"/>
      <c r="HQW28" s="381"/>
      <c r="HQX28" s="381"/>
      <c r="HQY28" s="381"/>
      <c r="HQZ28" s="381"/>
      <c r="HRA28" s="381"/>
      <c r="HRB28" s="381"/>
      <c r="HRC28" s="381"/>
      <c r="HRD28" s="381"/>
      <c r="HRE28" s="379"/>
      <c r="HRF28" s="380"/>
      <c r="HRG28" s="380"/>
      <c r="HRH28" s="380"/>
      <c r="HRI28" s="381"/>
      <c r="HRJ28" s="381"/>
      <c r="HRK28" s="381"/>
      <c r="HRL28" s="381"/>
      <c r="HRM28" s="381"/>
      <c r="HRN28" s="381"/>
      <c r="HRO28" s="381"/>
      <c r="HRP28" s="381"/>
      <c r="HRQ28" s="381"/>
      <c r="HRR28" s="381"/>
      <c r="HRS28" s="381"/>
      <c r="HRT28" s="381"/>
      <c r="HRU28" s="381"/>
      <c r="HRV28" s="381"/>
      <c r="HRW28" s="381"/>
      <c r="HRX28" s="381"/>
      <c r="HRY28" s="381"/>
      <c r="HRZ28" s="381"/>
      <c r="HSA28" s="381"/>
      <c r="HSB28" s="381"/>
      <c r="HSC28" s="381"/>
      <c r="HSD28" s="381"/>
      <c r="HSE28" s="381"/>
      <c r="HSF28" s="381"/>
      <c r="HSG28" s="381"/>
      <c r="HSH28" s="381"/>
      <c r="HSI28" s="379"/>
      <c r="HSJ28" s="380"/>
      <c r="HSK28" s="380"/>
      <c r="HSL28" s="380"/>
      <c r="HSM28" s="381"/>
      <c r="HSN28" s="381"/>
      <c r="HSO28" s="381"/>
      <c r="HSP28" s="381"/>
      <c r="HSQ28" s="381"/>
      <c r="HSR28" s="381"/>
      <c r="HSS28" s="381"/>
      <c r="HST28" s="381"/>
      <c r="HSU28" s="381"/>
      <c r="HSV28" s="381"/>
      <c r="HSW28" s="381"/>
      <c r="HSX28" s="381"/>
      <c r="HSY28" s="381"/>
      <c r="HSZ28" s="381"/>
      <c r="HTA28" s="381"/>
      <c r="HTB28" s="381"/>
      <c r="HTC28" s="381"/>
      <c r="HTD28" s="381"/>
      <c r="HTE28" s="381"/>
      <c r="HTF28" s="381"/>
      <c r="HTG28" s="381"/>
      <c r="HTH28" s="381"/>
      <c r="HTI28" s="381"/>
      <c r="HTJ28" s="381"/>
      <c r="HTK28" s="381"/>
      <c r="HTL28" s="381"/>
      <c r="HTM28" s="379"/>
      <c r="HTN28" s="380"/>
      <c r="HTO28" s="380"/>
      <c r="HTP28" s="380"/>
      <c r="HTQ28" s="381"/>
      <c r="HTR28" s="381"/>
      <c r="HTS28" s="381"/>
      <c r="HTT28" s="381"/>
      <c r="HTU28" s="381"/>
      <c r="HTV28" s="381"/>
      <c r="HTW28" s="381"/>
      <c r="HTX28" s="381"/>
      <c r="HTY28" s="381"/>
      <c r="HTZ28" s="381"/>
      <c r="HUA28" s="381"/>
      <c r="HUB28" s="381"/>
      <c r="HUC28" s="381"/>
      <c r="HUD28" s="381"/>
      <c r="HUE28" s="381"/>
      <c r="HUF28" s="381"/>
      <c r="HUG28" s="381"/>
      <c r="HUH28" s="381"/>
      <c r="HUI28" s="381"/>
      <c r="HUJ28" s="381"/>
      <c r="HUK28" s="381"/>
      <c r="HUL28" s="381"/>
      <c r="HUM28" s="381"/>
      <c r="HUN28" s="381"/>
      <c r="HUO28" s="381"/>
      <c r="HUP28" s="381"/>
      <c r="HUQ28" s="379"/>
      <c r="HUR28" s="380"/>
      <c r="HUS28" s="380"/>
      <c r="HUT28" s="380"/>
      <c r="HUU28" s="381"/>
      <c r="HUV28" s="381"/>
      <c r="HUW28" s="381"/>
      <c r="HUX28" s="381"/>
      <c r="HUY28" s="381"/>
      <c r="HUZ28" s="381"/>
      <c r="HVA28" s="381"/>
      <c r="HVB28" s="381"/>
      <c r="HVC28" s="381"/>
      <c r="HVD28" s="381"/>
      <c r="HVE28" s="381"/>
      <c r="HVF28" s="381"/>
      <c r="HVG28" s="381"/>
      <c r="HVH28" s="381"/>
      <c r="HVI28" s="381"/>
      <c r="HVJ28" s="381"/>
      <c r="HVK28" s="381"/>
      <c r="HVL28" s="381"/>
      <c r="HVM28" s="381"/>
      <c r="HVN28" s="381"/>
      <c r="HVO28" s="381"/>
      <c r="HVP28" s="381"/>
      <c r="HVQ28" s="381"/>
      <c r="HVR28" s="381"/>
      <c r="HVS28" s="381"/>
      <c r="HVT28" s="381"/>
      <c r="HVU28" s="379"/>
      <c r="HVV28" s="380"/>
      <c r="HVW28" s="380"/>
      <c r="HVX28" s="380"/>
      <c r="HVY28" s="381"/>
      <c r="HVZ28" s="381"/>
      <c r="HWA28" s="381"/>
      <c r="HWB28" s="381"/>
      <c r="HWC28" s="381"/>
      <c r="HWD28" s="381"/>
      <c r="HWE28" s="381"/>
      <c r="HWF28" s="381"/>
      <c r="HWG28" s="381"/>
      <c r="HWH28" s="381"/>
      <c r="HWI28" s="381"/>
      <c r="HWJ28" s="381"/>
      <c r="HWK28" s="381"/>
      <c r="HWL28" s="381"/>
      <c r="HWM28" s="381"/>
      <c r="HWN28" s="381"/>
      <c r="HWO28" s="381"/>
      <c r="HWP28" s="381"/>
      <c r="HWQ28" s="381"/>
      <c r="HWR28" s="381"/>
      <c r="HWS28" s="381"/>
      <c r="HWT28" s="381"/>
      <c r="HWU28" s="381"/>
      <c r="HWV28" s="381"/>
      <c r="HWW28" s="381"/>
      <c r="HWX28" s="381"/>
      <c r="HWY28" s="379"/>
      <c r="HWZ28" s="380"/>
      <c r="HXA28" s="380"/>
      <c r="HXB28" s="380"/>
      <c r="HXC28" s="381"/>
      <c r="HXD28" s="381"/>
      <c r="HXE28" s="381"/>
      <c r="HXF28" s="381"/>
      <c r="HXG28" s="381"/>
      <c r="HXH28" s="381"/>
      <c r="HXI28" s="381"/>
      <c r="HXJ28" s="381"/>
      <c r="HXK28" s="381"/>
      <c r="HXL28" s="381"/>
      <c r="HXM28" s="381"/>
      <c r="HXN28" s="381"/>
      <c r="HXO28" s="381"/>
      <c r="HXP28" s="381"/>
      <c r="HXQ28" s="381"/>
      <c r="HXR28" s="381"/>
      <c r="HXS28" s="381"/>
      <c r="HXT28" s="381"/>
      <c r="HXU28" s="381"/>
      <c r="HXV28" s="381"/>
      <c r="HXW28" s="381"/>
      <c r="HXX28" s="381"/>
      <c r="HXY28" s="381"/>
      <c r="HXZ28" s="381"/>
      <c r="HYA28" s="381"/>
      <c r="HYB28" s="381"/>
      <c r="HYC28" s="379"/>
      <c r="HYD28" s="380"/>
      <c r="HYE28" s="380"/>
      <c r="HYF28" s="380"/>
      <c r="HYG28" s="381"/>
      <c r="HYH28" s="381"/>
      <c r="HYI28" s="381"/>
      <c r="HYJ28" s="381"/>
      <c r="HYK28" s="381"/>
      <c r="HYL28" s="381"/>
      <c r="HYM28" s="381"/>
      <c r="HYN28" s="381"/>
      <c r="HYO28" s="381"/>
      <c r="HYP28" s="381"/>
      <c r="HYQ28" s="381"/>
      <c r="HYR28" s="381"/>
      <c r="HYS28" s="381"/>
      <c r="HYT28" s="381"/>
      <c r="HYU28" s="381"/>
      <c r="HYV28" s="381"/>
      <c r="HYW28" s="381"/>
      <c r="HYX28" s="381"/>
      <c r="HYY28" s="381"/>
      <c r="HYZ28" s="381"/>
      <c r="HZA28" s="381"/>
      <c r="HZB28" s="381"/>
      <c r="HZC28" s="381"/>
      <c r="HZD28" s="381"/>
      <c r="HZE28" s="381"/>
      <c r="HZF28" s="381"/>
      <c r="HZG28" s="379"/>
      <c r="HZH28" s="380"/>
      <c r="HZI28" s="380"/>
      <c r="HZJ28" s="380"/>
      <c r="HZK28" s="381"/>
      <c r="HZL28" s="381"/>
      <c r="HZM28" s="381"/>
      <c r="HZN28" s="381"/>
      <c r="HZO28" s="381"/>
      <c r="HZP28" s="381"/>
      <c r="HZQ28" s="381"/>
      <c r="HZR28" s="381"/>
      <c r="HZS28" s="381"/>
      <c r="HZT28" s="381"/>
      <c r="HZU28" s="381"/>
      <c r="HZV28" s="381"/>
      <c r="HZW28" s="381"/>
      <c r="HZX28" s="381"/>
      <c r="HZY28" s="381"/>
      <c r="HZZ28" s="381"/>
      <c r="IAA28" s="381"/>
      <c r="IAB28" s="381"/>
      <c r="IAC28" s="381"/>
      <c r="IAD28" s="381"/>
      <c r="IAE28" s="381"/>
      <c r="IAF28" s="381"/>
      <c r="IAG28" s="381"/>
      <c r="IAH28" s="381"/>
      <c r="IAI28" s="381"/>
      <c r="IAJ28" s="381"/>
      <c r="IAK28" s="379"/>
      <c r="IAL28" s="380"/>
      <c r="IAM28" s="380"/>
      <c r="IAN28" s="380"/>
      <c r="IAO28" s="381"/>
      <c r="IAP28" s="381"/>
      <c r="IAQ28" s="381"/>
      <c r="IAR28" s="381"/>
      <c r="IAS28" s="381"/>
      <c r="IAT28" s="381"/>
      <c r="IAU28" s="381"/>
      <c r="IAV28" s="381"/>
      <c r="IAW28" s="381"/>
      <c r="IAX28" s="381"/>
      <c r="IAY28" s="381"/>
      <c r="IAZ28" s="381"/>
      <c r="IBA28" s="381"/>
      <c r="IBB28" s="381"/>
      <c r="IBC28" s="381"/>
      <c r="IBD28" s="381"/>
      <c r="IBE28" s="381"/>
      <c r="IBF28" s="381"/>
      <c r="IBG28" s="381"/>
      <c r="IBH28" s="381"/>
      <c r="IBI28" s="381"/>
      <c r="IBJ28" s="381"/>
      <c r="IBK28" s="381"/>
      <c r="IBL28" s="381"/>
      <c r="IBM28" s="381"/>
      <c r="IBN28" s="381"/>
      <c r="IBO28" s="379"/>
      <c r="IBP28" s="380"/>
      <c r="IBQ28" s="380"/>
      <c r="IBR28" s="380"/>
      <c r="IBS28" s="381"/>
      <c r="IBT28" s="381"/>
      <c r="IBU28" s="381"/>
      <c r="IBV28" s="381"/>
      <c r="IBW28" s="381"/>
      <c r="IBX28" s="381"/>
      <c r="IBY28" s="381"/>
      <c r="IBZ28" s="381"/>
      <c r="ICA28" s="381"/>
      <c r="ICB28" s="381"/>
      <c r="ICC28" s="381"/>
      <c r="ICD28" s="381"/>
      <c r="ICE28" s="381"/>
      <c r="ICF28" s="381"/>
      <c r="ICG28" s="381"/>
      <c r="ICH28" s="381"/>
      <c r="ICI28" s="381"/>
      <c r="ICJ28" s="381"/>
      <c r="ICK28" s="381"/>
      <c r="ICL28" s="381"/>
      <c r="ICM28" s="381"/>
      <c r="ICN28" s="381"/>
      <c r="ICO28" s="381"/>
      <c r="ICP28" s="381"/>
      <c r="ICQ28" s="381"/>
      <c r="ICR28" s="381"/>
      <c r="ICS28" s="379"/>
      <c r="ICT28" s="380"/>
      <c r="ICU28" s="380"/>
      <c r="ICV28" s="380"/>
      <c r="ICW28" s="381"/>
      <c r="ICX28" s="381"/>
      <c r="ICY28" s="381"/>
      <c r="ICZ28" s="381"/>
      <c r="IDA28" s="381"/>
      <c r="IDB28" s="381"/>
      <c r="IDC28" s="381"/>
      <c r="IDD28" s="381"/>
      <c r="IDE28" s="381"/>
      <c r="IDF28" s="381"/>
      <c r="IDG28" s="381"/>
      <c r="IDH28" s="381"/>
      <c r="IDI28" s="381"/>
      <c r="IDJ28" s="381"/>
      <c r="IDK28" s="381"/>
      <c r="IDL28" s="381"/>
      <c r="IDM28" s="381"/>
      <c r="IDN28" s="381"/>
      <c r="IDO28" s="381"/>
      <c r="IDP28" s="381"/>
      <c r="IDQ28" s="381"/>
      <c r="IDR28" s="381"/>
      <c r="IDS28" s="381"/>
      <c r="IDT28" s="381"/>
      <c r="IDU28" s="381"/>
      <c r="IDV28" s="381"/>
      <c r="IDW28" s="379"/>
      <c r="IDX28" s="380"/>
      <c r="IDY28" s="380"/>
      <c r="IDZ28" s="380"/>
      <c r="IEA28" s="381"/>
      <c r="IEB28" s="381"/>
      <c r="IEC28" s="381"/>
      <c r="IED28" s="381"/>
      <c r="IEE28" s="381"/>
      <c r="IEF28" s="381"/>
      <c r="IEG28" s="381"/>
      <c r="IEH28" s="381"/>
      <c r="IEI28" s="381"/>
      <c r="IEJ28" s="381"/>
      <c r="IEK28" s="381"/>
      <c r="IEL28" s="381"/>
      <c r="IEM28" s="381"/>
      <c r="IEN28" s="381"/>
      <c r="IEO28" s="381"/>
      <c r="IEP28" s="381"/>
      <c r="IEQ28" s="381"/>
      <c r="IER28" s="381"/>
      <c r="IES28" s="381"/>
      <c r="IET28" s="381"/>
      <c r="IEU28" s="381"/>
      <c r="IEV28" s="381"/>
      <c r="IEW28" s="381"/>
      <c r="IEX28" s="381"/>
      <c r="IEY28" s="381"/>
      <c r="IEZ28" s="381"/>
      <c r="IFA28" s="379"/>
      <c r="IFB28" s="380"/>
      <c r="IFC28" s="380"/>
      <c r="IFD28" s="380"/>
      <c r="IFE28" s="381"/>
      <c r="IFF28" s="381"/>
      <c r="IFG28" s="381"/>
      <c r="IFH28" s="381"/>
      <c r="IFI28" s="381"/>
      <c r="IFJ28" s="381"/>
      <c r="IFK28" s="381"/>
      <c r="IFL28" s="381"/>
      <c r="IFM28" s="381"/>
      <c r="IFN28" s="381"/>
      <c r="IFO28" s="381"/>
      <c r="IFP28" s="381"/>
      <c r="IFQ28" s="381"/>
      <c r="IFR28" s="381"/>
      <c r="IFS28" s="381"/>
      <c r="IFT28" s="381"/>
      <c r="IFU28" s="381"/>
      <c r="IFV28" s="381"/>
      <c r="IFW28" s="381"/>
      <c r="IFX28" s="381"/>
      <c r="IFY28" s="381"/>
      <c r="IFZ28" s="381"/>
      <c r="IGA28" s="381"/>
      <c r="IGB28" s="381"/>
      <c r="IGC28" s="381"/>
      <c r="IGD28" s="381"/>
      <c r="IGE28" s="379"/>
      <c r="IGF28" s="380"/>
      <c r="IGG28" s="380"/>
      <c r="IGH28" s="380"/>
      <c r="IGI28" s="381"/>
      <c r="IGJ28" s="381"/>
      <c r="IGK28" s="381"/>
      <c r="IGL28" s="381"/>
      <c r="IGM28" s="381"/>
      <c r="IGN28" s="381"/>
      <c r="IGO28" s="381"/>
      <c r="IGP28" s="381"/>
      <c r="IGQ28" s="381"/>
      <c r="IGR28" s="381"/>
      <c r="IGS28" s="381"/>
      <c r="IGT28" s="381"/>
      <c r="IGU28" s="381"/>
      <c r="IGV28" s="381"/>
      <c r="IGW28" s="381"/>
      <c r="IGX28" s="381"/>
      <c r="IGY28" s="381"/>
      <c r="IGZ28" s="381"/>
      <c r="IHA28" s="381"/>
      <c r="IHB28" s="381"/>
      <c r="IHC28" s="381"/>
      <c r="IHD28" s="381"/>
      <c r="IHE28" s="381"/>
      <c r="IHF28" s="381"/>
      <c r="IHG28" s="381"/>
      <c r="IHH28" s="381"/>
      <c r="IHI28" s="379"/>
      <c r="IHJ28" s="380"/>
      <c r="IHK28" s="380"/>
      <c r="IHL28" s="380"/>
      <c r="IHM28" s="381"/>
      <c r="IHN28" s="381"/>
      <c r="IHO28" s="381"/>
      <c r="IHP28" s="381"/>
      <c r="IHQ28" s="381"/>
      <c r="IHR28" s="381"/>
      <c r="IHS28" s="381"/>
      <c r="IHT28" s="381"/>
      <c r="IHU28" s="381"/>
      <c r="IHV28" s="381"/>
      <c r="IHW28" s="381"/>
      <c r="IHX28" s="381"/>
      <c r="IHY28" s="381"/>
      <c r="IHZ28" s="381"/>
      <c r="IIA28" s="381"/>
      <c r="IIB28" s="381"/>
      <c r="IIC28" s="381"/>
      <c r="IID28" s="381"/>
      <c r="IIE28" s="381"/>
      <c r="IIF28" s="381"/>
      <c r="IIG28" s="381"/>
      <c r="IIH28" s="381"/>
      <c r="III28" s="381"/>
      <c r="IIJ28" s="381"/>
      <c r="IIK28" s="381"/>
      <c r="IIL28" s="381"/>
      <c r="IIM28" s="379"/>
      <c r="IIN28" s="380"/>
      <c r="IIO28" s="380"/>
      <c r="IIP28" s="380"/>
      <c r="IIQ28" s="381"/>
      <c r="IIR28" s="381"/>
      <c r="IIS28" s="381"/>
      <c r="IIT28" s="381"/>
      <c r="IIU28" s="381"/>
      <c r="IIV28" s="381"/>
      <c r="IIW28" s="381"/>
      <c r="IIX28" s="381"/>
      <c r="IIY28" s="381"/>
      <c r="IIZ28" s="381"/>
      <c r="IJA28" s="381"/>
      <c r="IJB28" s="381"/>
      <c r="IJC28" s="381"/>
      <c r="IJD28" s="381"/>
      <c r="IJE28" s="381"/>
      <c r="IJF28" s="381"/>
      <c r="IJG28" s="381"/>
      <c r="IJH28" s="381"/>
      <c r="IJI28" s="381"/>
      <c r="IJJ28" s="381"/>
      <c r="IJK28" s="381"/>
      <c r="IJL28" s="381"/>
      <c r="IJM28" s="381"/>
      <c r="IJN28" s="381"/>
      <c r="IJO28" s="381"/>
      <c r="IJP28" s="381"/>
      <c r="IJQ28" s="379"/>
      <c r="IJR28" s="380"/>
      <c r="IJS28" s="380"/>
      <c r="IJT28" s="380"/>
      <c r="IJU28" s="381"/>
      <c r="IJV28" s="381"/>
      <c r="IJW28" s="381"/>
      <c r="IJX28" s="381"/>
      <c r="IJY28" s="381"/>
      <c r="IJZ28" s="381"/>
      <c r="IKA28" s="381"/>
      <c r="IKB28" s="381"/>
      <c r="IKC28" s="381"/>
      <c r="IKD28" s="381"/>
      <c r="IKE28" s="381"/>
      <c r="IKF28" s="381"/>
      <c r="IKG28" s="381"/>
      <c r="IKH28" s="381"/>
      <c r="IKI28" s="381"/>
      <c r="IKJ28" s="381"/>
      <c r="IKK28" s="381"/>
      <c r="IKL28" s="381"/>
      <c r="IKM28" s="381"/>
      <c r="IKN28" s="381"/>
      <c r="IKO28" s="381"/>
      <c r="IKP28" s="381"/>
      <c r="IKQ28" s="381"/>
      <c r="IKR28" s="381"/>
      <c r="IKS28" s="381"/>
      <c r="IKT28" s="381"/>
      <c r="IKU28" s="379"/>
      <c r="IKV28" s="380"/>
      <c r="IKW28" s="380"/>
      <c r="IKX28" s="380"/>
      <c r="IKY28" s="381"/>
      <c r="IKZ28" s="381"/>
      <c r="ILA28" s="381"/>
      <c r="ILB28" s="381"/>
      <c r="ILC28" s="381"/>
      <c r="ILD28" s="381"/>
      <c r="ILE28" s="381"/>
      <c r="ILF28" s="381"/>
      <c r="ILG28" s="381"/>
      <c r="ILH28" s="381"/>
      <c r="ILI28" s="381"/>
      <c r="ILJ28" s="381"/>
      <c r="ILK28" s="381"/>
      <c r="ILL28" s="381"/>
      <c r="ILM28" s="381"/>
      <c r="ILN28" s="381"/>
      <c r="ILO28" s="381"/>
      <c r="ILP28" s="381"/>
      <c r="ILQ28" s="381"/>
      <c r="ILR28" s="381"/>
      <c r="ILS28" s="381"/>
      <c r="ILT28" s="381"/>
      <c r="ILU28" s="381"/>
      <c r="ILV28" s="381"/>
      <c r="ILW28" s="381"/>
      <c r="ILX28" s="381"/>
      <c r="ILY28" s="379"/>
      <c r="ILZ28" s="380"/>
      <c r="IMA28" s="380"/>
      <c r="IMB28" s="380"/>
      <c r="IMC28" s="381"/>
      <c r="IMD28" s="381"/>
      <c r="IME28" s="381"/>
      <c r="IMF28" s="381"/>
      <c r="IMG28" s="381"/>
      <c r="IMH28" s="381"/>
      <c r="IMI28" s="381"/>
      <c r="IMJ28" s="381"/>
      <c r="IMK28" s="381"/>
      <c r="IML28" s="381"/>
      <c r="IMM28" s="381"/>
      <c r="IMN28" s="381"/>
      <c r="IMO28" s="381"/>
      <c r="IMP28" s="381"/>
      <c r="IMQ28" s="381"/>
      <c r="IMR28" s="381"/>
      <c r="IMS28" s="381"/>
      <c r="IMT28" s="381"/>
      <c r="IMU28" s="381"/>
      <c r="IMV28" s="381"/>
      <c r="IMW28" s="381"/>
      <c r="IMX28" s="381"/>
      <c r="IMY28" s="381"/>
      <c r="IMZ28" s="381"/>
      <c r="INA28" s="381"/>
      <c r="INB28" s="381"/>
      <c r="INC28" s="379"/>
      <c r="IND28" s="380"/>
      <c r="INE28" s="380"/>
      <c r="INF28" s="380"/>
      <c r="ING28" s="381"/>
      <c r="INH28" s="381"/>
      <c r="INI28" s="381"/>
      <c r="INJ28" s="381"/>
      <c r="INK28" s="381"/>
      <c r="INL28" s="381"/>
      <c r="INM28" s="381"/>
      <c r="INN28" s="381"/>
      <c r="INO28" s="381"/>
      <c r="INP28" s="381"/>
      <c r="INQ28" s="381"/>
      <c r="INR28" s="381"/>
      <c r="INS28" s="381"/>
      <c r="INT28" s="381"/>
      <c r="INU28" s="381"/>
      <c r="INV28" s="381"/>
      <c r="INW28" s="381"/>
      <c r="INX28" s="381"/>
      <c r="INY28" s="381"/>
      <c r="INZ28" s="381"/>
      <c r="IOA28" s="381"/>
      <c r="IOB28" s="381"/>
      <c r="IOC28" s="381"/>
      <c r="IOD28" s="381"/>
      <c r="IOE28" s="381"/>
      <c r="IOF28" s="381"/>
      <c r="IOG28" s="379"/>
      <c r="IOH28" s="380"/>
      <c r="IOI28" s="380"/>
      <c r="IOJ28" s="380"/>
      <c r="IOK28" s="381"/>
      <c r="IOL28" s="381"/>
      <c r="IOM28" s="381"/>
      <c r="ION28" s="381"/>
      <c r="IOO28" s="381"/>
      <c r="IOP28" s="381"/>
      <c r="IOQ28" s="381"/>
      <c r="IOR28" s="381"/>
      <c r="IOS28" s="381"/>
      <c r="IOT28" s="381"/>
      <c r="IOU28" s="381"/>
      <c r="IOV28" s="381"/>
      <c r="IOW28" s="381"/>
      <c r="IOX28" s="381"/>
      <c r="IOY28" s="381"/>
      <c r="IOZ28" s="381"/>
      <c r="IPA28" s="381"/>
      <c r="IPB28" s="381"/>
      <c r="IPC28" s="381"/>
      <c r="IPD28" s="381"/>
      <c r="IPE28" s="381"/>
      <c r="IPF28" s="381"/>
      <c r="IPG28" s="381"/>
      <c r="IPH28" s="381"/>
      <c r="IPI28" s="381"/>
      <c r="IPJ28" s="381"/>
      <c r="IPK28" s="379"/>
      <c r="IPL28" s="380"/>
      <c r="IPM28" s="380"/>
      <c r="IPN28" s="380"/>
      <c r="IPO28" s="381"/>
      <c r="IPP28" s="381"/>
      <c r="IPQ28" s="381"/>
      <c r="IPR28" s="381"/>
      <c r="IPS28" s="381"/>
      <c r="IPT28" s="381"/>
      <c r="IPU28" s="381"/>
      <c r="IPV28" s="381"/>
      <c r="IPW28" s="381"/>
      <c r="IPX28" s="381"/>
      <c r="IPY28" s="381"/>
      <c r="IPZ28" s="381"/>
      <c r="IQA28" s="381"/>
      <c r="IQB28" s="381"/>
      <c r="IQC28" s="381"/>
      <c r="IQD28" s="381"/>
      <c r="IQE28" s="381"/>
      <c r="IQF28" s="381"/>
      <c r="IQG28" s="381"/>
      <c r="IQH28" s="381"/>
      <c r="IQI28" s="381"/>
      <c r="IQJ28" s="381"/>
      <c r="IQK28" s="381"/>
      <c r="IQL28" s="381"/>
      <c r="IQM28" s="381"/>
      <c r="IQN28" s="381"/>
      <c r="IQO28" s="379"/>
      <c r="IQP28" s="380"/>
      <c r="IQQ28" s="380"/>
      <c r="IQR28" s="380"/>
      <c r="IQS28" s="381"/>
      <c r="IQT28" s="381"/>
      <c r="IQU28" s="381"/>
      <c r="IQV28" s="381"/>
      <c r="IQW28" s="381"/>
      <c r="IQX28" s="381"/>
      <c r="IQY28" s="381"/>
      <c r="IQZ28" s="381"/>
      <c r="IRA28" s="381"/>
      <c r="IRB28" s="381"/>
      <c r="IRC28" s="381"/>
      <c r="IRD28" s="381"/>
      <c r="IRE28" s="381"/>
      <c r="IRF28" s="381"/>
      <c r="IRG28" s="381"/>
      <c r="IRH28" s="381"/>
      <c r="IRI28" s="381"/>
      <c r="IRJ28" s="381"/>
      <c r="IRK28" s="381"/>
      <c r="IRL28" s="381"/>
      <c r="IRM28" s="381"/>
      <c r="IRN28" s="381"/>
      <c r="IRO28" s="381"/>
      <c r="IRP28" s="381"/>
      <c r="IRQ28" s="381"/>
      <c r="IRR28" s="381"/>
      <c r="IRS28" s="379"/>
      <c r="IRT28" s="380"/>
      <c r="IRU28" s="380"/>
      <c r="IRV28" s="380"/>
      <c r="IRW28" s="381"/>
      <c r="IRX28" s="381"/>
      <c r="IRY28" s="381"/>
      <c r="IRZ28" s="381"/>
      <c r="ISA28" s="381"/>
      <c r="ISB28" s="381"/>
      <c r="ISC28" s="381"/>
      <c r="ISD28" s="381"/>
      <c r="ISE28" s="381"/>
      <c r="ISF28" s="381"/>
      <c r="ISG28" s="381"/>
      <c r="ISH28" s="381"/>
      <c r="ISI28" s="381"/>
      <c r="ISJ28" s="381"/>
      <c r="ISK28" s="381"/>
      <c r="ISL28" s="381"/>
      <c r="ISM28" s="381"/>
      <c r="ISN28" s="381"/>
      <c r="ISO28" s="381"/>
      <c r="ISP28" s="381"/>
      <c r="ISQ28" s="381"/>
      <c r="ISR28" s="381"/>
      <c r="ISS28" s="381"/>
      <c r="IST28" s="381"/>
      <c r="ISU28" s="381"/>
      <c r="ISV28" s="381"/>
      <c r="ISW28" s="379"/>
      <c r="ISX28" s="380"/>
      <c r="ISY28" s="380"/>
      <c r="ISZ28" s="380"/>
      <c r="ITA28" s="381"/>
      <c r="ITB28" s="381"/>
      <c r="ITC28" s="381"/>
      <c r="ITD28" s="381"/>
      <c r="ITE28" s="381"/>
      <c r="ITF28" s="381"/>
      <c r="ITG28" s="381"/>
      <c r="ITH28" s="381"/>
      <c r="ITI28" s="381"/>
      <c r="ITJ28" s="381"/>
      <c r="ITK28" s="381"/>
      <c r="ITL28" s="381"/>
      <c r="ITM28" s="381"/>
      <c r="ITN28" s="381"/>
      <c r="ITO28" s="381"/>
      <c r="ITP28" s="381"/>
      <c r="ITQ28" s="381"/>
      <c r="ITR28" s="381"/>
      <c r="ITS28" s="381"/>
      <c r="ITT28" s="381"/>
      <c r="ITU28" s="381"/>
      <c r="ITV28" s="381"/>
      <c r="ITW28" s="381"/>
      <c r="ITX28" s="381"/>
      <c r="ITY28" s="381"/>
      <c r="ITZ28" s="381"/>
      <c r="IUA28" s="379"/>
      <c r="IUB28" s="380"/>
      <c r="IUC28" s="380"/>
      <c r="IUD28" s="380"/>
      <c r="IUE28" s="381"/>
      <c r="IUF28" s="381"/>
      <c r="IUG28" s="381"/>
      <c r="IUH28" s="381"/>
      <c r="IUI28" s="381"/>
      <c r="IUJ28" s="381"/>
      <c r="IUK28" s="381"/>
      <c r="IUL28" s="381"/>
      <c r="IUM28" s="381"/>
      <c r="IUN28" s="381"/>
      <c r="IUO28" s="381"/>
      <c r="IUP28" s="381"/>
      <c r="IUQ28" s="381"/>
      <c r="IUR28" s="381"/>
      <c r="IUS28" s="381"/>
      <c r="IUT28" s="381"/>
      <c r="IUU28" s="381"/>
      <c r="IUV28" s="381"/>
      <c r="IUW28" s="381"/>
      <c r="IUX28" s="381"/>
      <c r="IUY28" s="381"/>
      <c r="IUZ28" s="381"/>
      <c r="IVA28" s="381"/>
      <c r="IVB28" s="381"/>
      <c r="IVC28" s="381"/>
      <c r="IVD28" s="381"/>
      <c r="IVE28" s="379"/>
      <c r="IVF28" s="380"/>
      <c r="IVG28" s="380"/>
      <c r="IVH28" s="380"/>
      <c r="IVI28" s="381"/>
      <c r="IVJ28" s="381"/>
      <c r="IVK28" s="381"/>
      <c r="IVL28" s="381"/>
      <c r="IVM28" s="381"/>
      <c r="IVN28" s="381"/>
      <c r="IVO28" s="381"/>
      <c r="IVP28" s="381"/>
      <c r="IVQ28" s="381"/>
      <c r="IVR28" s="381"/>
      <c r="IVS28" s="381"/>
      <c r="IVT28" s="381"/>
      <c r="IVU28" s="381"/>
      <c r="IVV28" s="381"/>
      <c r="IVW28" s="381"/>
      <c r="IVX28" s="381"/>
      <c r="IVY28" s="381"/>
      <c r="IVZ28" s="381"/>
      <c r="IWA28" s="381"/>
      <c r="IWB28" s="381"/>
      <c r="IWC28" s="381"/>
      <c r="IWD28" s="381"/>
      <c r="IWE28" s="381"/>
      <c r="IWF28" s="381"/>
      <c r="IWG28" s="381"/>
      <c r="IWH28" s="381"/>
      <c r="IWI28" s="379"/>
      <c r="IWJ28" s="380"/>
      <c r="IWK28" s="380"/>
      <c r="IWL28" s="380"/>
      <c r="IWM28" s="381"/>
      <c r="IWN28" s="381"/>
      <c r="IWO28" s="381"/>
      <c r="IWP28" s="381"/>
      <c r="IWQ28" s="381"/>
      <c r="IWR28" s="381"/>
      <c r="IWS28" s="381"/>
      <c r="IWT28" s="381"/>
      <c r="IWU28" s="381"/>
      <c r="IWV28" s="381"/>
      <c r="IWW28" s="381"/>
      <c r="IWX28" s="381"/>
      <c r="IWY28" s="381"/>
      <c r="IWZ28" s="381"/>
      <c r="IXA28" s="381"/>
      <c r="IXB28" s="381"/>
      <c r="IXC28" s="381"/>
      <c r="IXD28" s="381"/>
      <c r="IXE28" s="381"/>
      <c r="IXF28" s="381"/>
      <c r="IXG28" s="381"/>
      <c r="IXH28" s="381"/>
      <c r="IXI28" s="381"/>
      <c r="IXJ28" s="381"/>
      <c r="IXK28" s="381"/>
      <c r="IXL28" s="381"/>
      <c r="IXM28" s="379"/>
      <c r="IXN28" s="380"/>
      <c r="IXO28" s="380"/>
      <c r="IXP28" s="380"/>
      <c r="IXQ28" s="381"/>
      <c r="IXR28" s="381"/>
      <c r="IXS28" s="381"/>
      <c r="IXT28" s="381"/>
      <c r="IXU28" s="381"/>
      <c r="IXV28" s="381"/>
      <c r="IXW28" s="381"/>
      <c r="IXX28" s="381"/>
      <c r="IXY28" s="381"/>
      <c r="IXZ28" s="381"/>
      <c r="IYA28" s="381"/>
      <c r="IYB28" s="381"/>
      <c r="IYC28" s="381"/>
      <c r="IYD28" s="381"/>
      <c r="IYE28" s="381"/>
      <c r="IYF28" s="381"/>
      <c r="IYG28" s="381"/>
      <c r="IYH28" s="381"/>
      <c r="IYI28" s="381"/>
      <c r="IYJ28" s="381"/>
      <c r="IYK28" s="381"/>
      <c r="IYL28" s="381"/>
      <c r="IYM28" s="381"/>
      <c r="IYN28" s="381"/>
      <c r="IYO28" s="381"/>
      <c r="IYP28" s="381"/>
      <c r="IYQ28" s="379"/>
      <c r="IYR28" s="380"/>
      <c r="IYS28" s="380"/>
      <c r="IYT28" s="380"/>
      <c r="IYU28" s="381"/>
      <c r="IYV28" s="381"/>
      <c r="IYW28" s="381"/>
      <c r="IYX28" s="381"/>
      <c r="IYY28" s="381"/>
      <c r="IYZ28" s="381"/>
      <c r="IZA28" s="381"/>
      <c r="IZB28" s="381"/>
      <c r="IZC28" s="381"/>
      <c r="IZD28" s="381"/>
      <c r="IZE28" s="381"/>
      <c r="IZF28" s="381"/>
      <c r="IZG28" s="381"/>
      <c r="IZH28" s="381"/>
      <c r="IZI28" s="381"/>
      <c r="IZJ28" s="381"/>
      <c r="IZK28" s="381"/>
      <c r="IZL28" s="381"/>
      <c r="IZM28" s="381"/>
      <c r="IZN28" s="381"/>
      <c r="IZO28" s="381"/>
      <c r="IZP28" s="381"/>
      <c r="IZQ28" s="381"/>
      <c r="IZR28" s="381"/>
      <c r="IZS28" s="381"/>
      <c r="IZT28" s="381"/>
      <c r="IZU28" s="379"/>
      <c r="IZV28" s="380"/>
      <c r="IZW28" s="380"/>
      <c r="IZX28" s="380"/>
      <c r="IZY28" s="381"/>
      <c r="IZZ28" s="381"/>
      <c r="JAA28" s="381"/>
      <c r="JAB28" s="381"/>
      <c r="JAC28" s="381"/>
      <c r="JAD28" s="381"/>
      <c r="JAE28" s="381"/>
      <c r="JAF28" s="381"/>
      <c r="JAG28" s="381"/>
      <c r="JAH28" s="381"/>
      <c r="JAI28" s="381"/>
      <c r="JAJ28" s="381"/>
      <c r="JAK28" s="381"/>
      <c r="JAL28" s="381"/>
      <c r="JAM28" s="381"/>
      <c r="JAN28" s="381"/>
      <c r="JAO28" s="381"/>
      <c r="JAP28" s="381"/>
      <c r="JAQ28" s="381"/>
      <c r="JAR28" s="381"/>
      <c r="JAS28" s="381"/>
      <c r="JAT28" s="381"/>
      <c r="JAU28" s="381"/>
      <c r="JAV28" s="381"/>
      <c r="JAW28" s="381"/>
      <c r="JAX28" s="381"/>
      <c r="JAY28" s="379"/>
      <c r="JAZ28" s="380"/>
      <c r="JBA28" s="380"/>
      <c r="JBB28" s="380"/>
      <c r="JBC28" s="381"/>
      <c r="JBD28" s="381"/>
      <c r="JBE28" s="381"/>
      <c r="JBF28" s="381"/>
      <c r="JBG28" s="381"/>
      <c r="JBH28" s="381"/>
      <c r="JBI28" s="381"/>
      <c r="JBJ28" s="381"/>
      <c r="JBK28" s="381"/>
      <c r="JBL28" s="381"/>
      <c r="JBM28" s="381"/>
      <c r="JBN28" s="381"/>
      <c r="JBO28" s="381"/>
      <c r="JBP28" s="381"/>
      <c r="JBQ28" s="381"/>
      <c r="JBR28" s="381"/>
      <c r="JBS28" s="381"/>
      <c r="JBT28" s="381"/>
      <c r="JBU28" s="381"/>
      <c r="JBV28" s="381"/>
      <c r="JBW28" s="381"/>
      <c r="JBX28" s="381"/>
      <c r="JBY28" s="381"/>
      <c r="JBZ28" s="381"/>
      <c r="JCA28" s="381"/>
      <c r="JCB28" s="381"/>
      <c r="JCC28" s="379"/>
      <c r="JCD28" s="380"/>
      <c r="JCE28" s="380"/>
      <c r="JCF28" s="380"/>
      <c r="JCG28" s="381"/>
      <c r="JCH28" s="381"/>
      <c r="JCI28" s="381"/>
      <c r="JCJ28" s="381"/>
      <c r="JCK28" s="381"/>
      <c r="JCL28" s="381"/>
      <c r="JCM28" s="381"/>
      <c r="JCN28" s="381"/>
      <c r="JCO28" s="381"/>
      <c r="JCP28" s="381"/>
      <c r="JCQ28" s="381"/>
      <c r="JCR28" s="381"/>
      <c r="JCS28" s="381"/>
      <c r="JCT28" s="381"/>
      <c r="JCU28" s="381"/>
      <c r="JCV28" s="381"/>
      <c r="JCW28" s="381"/>
      <c r="JCX28" s="381"/>
      <c r="JCY28" s="381"/>
      <c r="JCZ28" s="381"/>
      <c r="JDA28" s="381"/>
      <c r="JDB28" s="381"/>
      <c r="JDC28" s="381"/>
      <c r="JDD28" s="381"/>
      <c r="JDE28" s="381"/>
      <c r="JDF28" s="381"/>
      <c r="JDG28" s="379"/>
      <c r="JDH28" s="380"/>
      <c r="JDI28" s="380"/>
      <c r="JDJ28" s="380"/>
      <c r="JDK28" s="381"/>
      <c r="JDL28" s="381"/>
      <c r="JDM28" s="381"/>
      <c r="JDN28" s="381"/>
      <c r="JDO28" s="381"/>
      <c r="JDP28" s="381"/>
      <c r="JDQ28" s="381"/>
      <c r="JDR28" s="381"/>
      <c r="JDS28" s="381"/>
      <c r="JDT28" s="381"/>
      <c r="JDU28" s="381"/>
      <c r="JDV28" s="381"/>
      <c r="JDW28" s="381"/>
      <c r="JDX28" s="381"/>
      <c r="JDY28" s="381"/>
      <c r="JDZ28" s="381"/>
      <c r="JEA28" s="381"/>
      <c r="JEB28" s="381"/>
      <c r="JEC28" s="381"/>
      <c r="JED28" s="381"/>
      <c r="JEE28" s="381"/>
      <c r="JEF28" s="381"/>
      <c r="JEG28" s="381"/>
      <c r="JEH28" s="381"/>
      <c r="JEI28" s="381"/>
      <c r="JEJ28" s="381"/>
      <c r="JEK28" s="379"/>
      <c r="JEL28" s="380"/>
      <c r="JEM28" s="380"/>
      <c r="JEN28" s="380"/>
      <c r="JEO28" s="381"/>
      <c r="JEP28" s="381"/>
      <c r="JEQ28" s="381"/>
      <c r="JER28" s="381"/>
      <c r="JES28" s="381"/>
      <c r="JET28" s="381"/>
      <c r="JEU28" s="381"/>
      <c r="JEV28" s="381"/>
      <c r="JEW28" s="381"/>
      <c r="JEX28" s="381"/>
      <c r="JEY28" s="381"/>
      <c r="JEZ28" s="381"/>
      <c r="JFA28" s="381"/>
      <c r="JFB28" s="381"/>
      <c r="JFC28" s="381"/>
      <c r="JFD28" s="381"/>
      <c r="JFE28" s="381"/>
      <c r="JFF28" s="381"/>
      <c r="JFG28" s="381"/>
      <c r="JFH28" s="381"/>
      <c r="JFI28" s="381"/>
      <c r="JFJ28" s="381"/>
      <c r="JFK28" s="381"/>
      <c r="JFL28" s="381"/>
      <c r="JFM28" s="381"/>
      <c r="JFN28" s="381"/>
      <c r="JFO28" s="379"/>
      <c r="JFP28" s="380"/>
      <c r="JFQ28" s="380"/>
      <c r="JFR28" s="380"/>
      <c r="JFS28" s="381"/>
      <c r="JFT28" s="381"/>
      <c r="JFU28" s="381"/>
      <c r="JFV28" s="381"/>
      <c r="JFW28" s="381"/>
      <c r="JFX28" s="381"/>
      <c r="JFY28" s="381"/>
      <c r="JFZ28" s="381"/>
      <c r="JGA28" s="381"/>
      <c r="JGB28" s="381"/>
      <c r="JGC28" s="381"/>
      <c r="JGD28" s="381"/>
      <c r="JGE28" s="381"/>
      <c r="JGF28" s="381"/>
      <c r="JGG28" s="381"/>
      <c r="JGH28" s="381"/>
      <c r="JGI28" s="381"/>
      <c r="JGJ28" s="381"/>
      <c r="JGK28" s="381"/>
      <c r="JGL28" s="381"/>
      <c r="JGM28" s="381"/>
      <c r="JGN28" s="381"/>
      <c r="JGO28" s="381"/>
      <c r="JGP28" s="381"/>
      <c r="JGQ28" s="381"/>
      <c r="JGR28" s="381"/>
      <c r="JGS28" s="379"/>
      <c r="JGT28" s="380"/>
      <c r="JGU28" s="380"/>
      <c r="JGV28" s="380"/>
      <c r="JGW28" s="381"/>
      <c r="JGX28" s="381"/>
      <c r="JGY28" s="381"/>
      <c r="JGZ28" s="381"/>
      <c r="JHA28" s="381"/>
      <c r="JHB28" s="381"/>
      <c r="JHC28" s="381"/>
      <c r="JHD28" s="381"/>
      <c r="JHE28" s="381"/>
      <c r="JHF28" s="381"/>
      <c r="JHG28" s="381"/>
      <c r="JHH28" s="381"/>
      <c r="JHI28" s="381"/>
      <c r="JHJ28" s="381"/>
      <c r="JHK28" s="381"/>
      <c r="JHL28" s="381"/>
      <c r="JHM28" s="381"/>
      <c r="JHN28" s="381"/>
      <c r="JHO28" s="381"/>
      <c r="JHP28" s="381"/>
      <c r="JHQ28" s="381"/>
      <c r="JHR28" s="381"/>
      <c r="JHS28" s="381"/>
      <c r="JHT28" s="381"/>
      <c r="JHU28" s="381"/>
      <c r="JHV28" s="381"/>
      <c r="JHW28" s="379"/>
      <c r="JHX28" s="380"/>
      <c r="JHY28" s="380"/>
      <c r="JHZ28" s="380"/>
      <c r="JIA28" s="381"/>
      <c r="JIB28" s="381"/>
      <c r="JIC28" s="381"/>
      <c r="JID28" s="381"/>
      <c r="JIE28" s="381"/>
      <c r="JIF28" s="381"/>
      <c r="JIG28" s="381"/>
      <c r="JIH28" s="381"/>
      <c r="JII28" s="381"/>
      <c r="JIJ28" s="381"/>
      <c r="JIK28" s="381"/>
      <c r="JIL28" s="381"/>
      <c r="JIM28" s="381"/>
      <c r="JIN28" s="381"/>
      <c r="JIO28" s="381"/>
      <c r="JIP28" s="381"/>
      <c r="JIQ28" s="381"/>
      <c r="JIR28" s="381"/>
      <c r="JIS28" s="381"/>
      <c r="JIT28" s="381"/>
      <c r="JIU28" s="381"/>
      <c r="JIV28" s="381"/>
      <c r="JIW28" s="381"/>
      <c r="JIX28" s="381"/>
      <c r="JIY28" s="381"/>
      <c r="JIZ28" s="381"/>
      <c r="JJA28" s="379"/>
      <c r="JJB28" s="380"/>
      <c r="JJC28" s="380"/>
      <c r="JJD28" s="380"/>
      <c r="JJE28" s="381"/>
      <c r="JJF28" s="381"/>
      <c r="JJG28" s="381"/>
      <c r="JJH28" s="381"/>
      <c r="JJI28" s="381"/>
      <c r="JJJ28" s="381"/>
      <c r="JJK28" s="381"/>
      <c r="JJL28" s="381"/>
      <c r="JJM28" s="381"/>
      <c r="JJN28" s="381"/>
      <c r="JJO28" s="381"/>
      <c r="JJP28" s="381"/>
      <c r="JJQ28" s="381"/>
      <c r="JJR28" s="381"/>
      <c r="JJS28" s="381"/>
      <c r="JJT28" s="381"/>
      <c r="JJU28" s="381"/>
      <c r="JJV28" s="381"/>
      <c r="JJW28" s="381"/>
      <c r="JJX28" s="381"/>
      <c r="JJY28" s="381"/>
      <c r="JJZ28" s="381"/>
      <c r="JKA28" s="381"/>
      <c r="JKB28" s="381"/>
      <c r="JKC28" s="381"/>
      <c r="JKD28" s="381"/>
      <c r="JKE28" s="379"/>
      <c r="JKF28" s="380"/>
      <c r="JKG28" s="380"/>
      <c r="JKH28" s="380"/>
      <c r="JKI28" s="381"/>
      <c r="JKJ28" s="381"/>
      <c r="JKK28" s="381"/>
      <c r="JKL28" s="381"/>
      <c r="JKM28" s="381"/>
      <c r="JKN28" s="381"/>
      <c r="JKO28" s="381"/>
      <c r="JKP28" s="381"/>
      <c r="JKQ28" s="381"/>
      <c r="JKR28" s="381"/>
      <c r="JKS28" s="381"/>
      <c r="JKT28" s="381"/>
      <c r="JKU28" s="381"/>
      <c r="JKV28" s="381"/>
      <c r="JKW28" s="381"/>
      <c r="JKX28" s="381"/>
      <c r="JKY28" s="381"/>
      <c r="JKZ28" s="381"/>
      <c r="JLA28" s="381"/>
      <c r="JLB28" s="381"/>
      <c r="JLC28" s="381"/>
      <c r="JLD28" s="381"/>
      <c r="JLE28" s="381"/>
      <c r="JLF28" s="381"/>
      <c r="JLG28" s="381"/>
      <c r="JLH28" s="381"/>
      <c r="JLI28" s="379"/>
      <c r="JLJ28" s="380"/>
      <c r="JLK28" s="380"/>
      <c r="JLL28" s="380"/>
      <c r="JLM28" s="381"/>
      <c r="JLN28" s="381"/>
      <c r="JLO28" s="381"/>
      <c r="JLP28" s="381"/>
      <c r="JLQ28" s="381"/>
      <c r="JLR28" s="381"/>
      <c r="JLS28" s="381"/>
      <c r="JLT28" s="381"/>
      <c r="JLU28" s="381"/>
      <c r="JLV28" s="381"/>
      <c r="JLW28" s="381"/>
      <c r="JLX28" s="381"/>
      <c r="JLY28" s="381"/>
      <c r="JLZ28" s="381"/>
      <c r="JMA28" s="381"/>
      <c r="JMB28" s="381"/>
      <c r="JMC28" s="381"/>
      <c r="JMD28" s="381"/>
      <c r="JME28" s="381"/>
      <c r="JMF28" s="381"/>
      <c r="JMG28" s="381"/>
      <c r="JMH28" s="381"/>
      <c r="JMI28" s="381"/>
      <c r="JMJ28" s="381"/>
      <c r="JMK28" s="381"/>
      <c r="JML28" s="381"/>
      <c r="JMM28" s="379"/>
      <c r="JMN28" s="380"/>
      <c r="JMO28" s="380"/>
      <c r="JMP28" s="380"/>
      <c r="JMQ28" s="381"/>
      <c r="JMR28" s="381"/>
      <c r="JMS28" s="381"/>
      <c r="JMT28" s="381"/>
      <c r="JMU28" s="381"/>
      <c r="JMV28" s="381"/>
      <c r="JMW28" s="381"/>
      <c r="JMX28" s="381"/>
      <c r="JMY28" s="381"/>
      <c r="JMZ28" s="381"/>
      <c r="JNA28" s="381"/>
      <c r="JNB28" s="381"/>
      <c r="JNC28" s="381"/>
      <c r="JND28" s="381"/>
      <c r="JNE28" s="381"/>
      <c r="JNF28" s="381"/>
      <c r="JNG28" s="381"/>
      <c r="JNH28" s="381"/>
      <c r="JNI28" s="381"/>
      <c r="JNJ28" s="381"/>
      <c r="JNK28" s="381"/>
      <c r="JNL28" s="381"/>
      <c r="JNM28" s="381"/>
      <c r="JNN28" s="381"/>
      <c r="JNO28" s="381"/>
      <c r="JNP28" s="381"/>
      <c r="JNQ28" s="379"/>
      <c r="JNR28" s="380"/>
      <c r="JNS28" s="380"/>
      <c r="JNT28" s="380"/>
      <c r="JNU28" s="381"/>
      <c r="JNV28" s="381"/>
      <c r="JNW28" s="381"/>
      <c r="JNX28" s="381"/>
      <c r="JNY28" s="381"/>
      <c r="JNZ28" s="381"/>
      <c r="JOA28" s="381"/>
      <c r="JOB28" s="381"/>
      <c r="JOC28" s="381"/>
      <c r="JOD28" s="381"/>
      <c r="JOE28" s="381"/>
      <c r="JOF28" s="381"/>
      <c r="JOG28" s="381"/>
      <c r="JOH28" s="381"/>
      <c r="JOI28" s="381"/>
      <c r="JOJ28" s="381"/>
      <c r="JOK28" s="381"/>
      <c r="JOL28" s="381"/>
      <c r="JOM28" s="381"/>
      <c r="JON28" s="381"/>
      <c r="JOO28" s="381"/>
      <c r="JOP28" s="381"/>
      <c r="JOQ28" s="381"/>
      <c r="JOR28" s="381"/>
      <c r="JOS28" s="381"/>
      <c r="JOT28" s="381"/>
      <c r="JOU28" s="379"/>
      <c r="JOV28" s="380"/>
      <c r="JOW28" s="380"/>
      <c r="JOX28" s="380"/>
      <c r="JOY28" s="381"/>
      <c r="JOZ28" s="381"/>
      <c r="JPA28" s="381"/>
      <c r="JPB28" s="381"/>
      <c r="JPC28" s="381"/>
      <c r="JPD28" s="381"/>
      <c r="JPE28" s="381"/>
      <c r="JPF28" s="381"/>
      <c r="JPG28" s="381"/>
      <c r="JPH28" s="381"/>
      <c r="JPI28" s="381"/>
      <c r="JPJ28" s="381"/>
      <c r="JPK28" s="381"/>
      <c r="JPL28" s="381"/>
      <c r="JPM28" s="381"/>
      <c r="JPN28" s="381"/>
      <c r="JPO28" s="381"/>
      <c r="JPP28" s="381"/>
      <c r="JPQ28" s="381"/>
      <c r="JPR28" s="381"/>
      <c r="JPS28" s="381"/>
      <c r="JPT28" s="381"/>
      <c r="JPU28" s="381"/>
      <c r="JPV28" s="381"/>
      <c r="JPW28" s="381"/>
      <c r="JPX28" s="381"/>
      <c r="JPY28" s="379"/>
      <c r="JPZ28" s="380"/>
      <c r="JQA28" s="380"/>
      <c r="JQB28" s="380"/>
      <c r="JQC28" s="381"/>
      <c r="JQD28" s="381"/>
      <c r="JQE28" s="381"/>
      <c r="JQF28" s="381"/>
      <c r="JQG28" s="381"/>
      <c r="JQH28" s="381"/>
      <c r="JQI28" s="381"/>
      <c r="JQJ28" s="381"/>
      <c r="JQK28" s="381"/>
      <c r="JQL28" s="381"/>
      <c r="JQM28" s="381"/>
      <c r="JQN28" s="381"/>
      <c r="JQO28" s="381"/>
      <c r="JQP28" s="381"/>
      <c r="JQQ28" s="381"/>
      <c r="JQR28" s="381"/>
      <c r="JQS28" s="381"/>
      <c r="JQT28" s="381"/>
      <c r="JQU28" s="381"/>
      <c r="JQV28" s="381"/>
      <c r="JQW28" s="381"/>
      <c r="JQX28" s="381"/>
      <c r="JQY28" s="381"/>
      <c r="JQZ28" s="381"/>
      <c r="JRA28" s="381"/>
      <c r="JRB28" s="381"/>
      <c r="JRC28" s="379"/>
      <c r="JRD28" s="380"/>
      <c r="JRE28" s="380"/>
      <c r="JRF28" s="380"/>
      <c r="JRG28" s="381"/>
      <c r="JRH28" s="381"/>
      <c r="JRI28" s="381"/>
      <c r="JRJ28" s="381"/>
      <c r="JRK28" s="381"/>
      <c r="JRL28" s="381"/>
      <c r="JRM28" s="381"/>
      <c r="JRN28" s="381"/>
      <c r="JRO28" s="381"/>
      <c r="JRP28" s="381"/>
      <c r="JRQ28" s="381"/>
      <c r="JRR28" s="381"/>
      <c r="JRS28" s="381"/>
      <c r="JRT28" s="381"/>
      <c r="JRU28" s="381"/>
      <c r="JRV28" s="381"/>
      <c r="JRW28" s="381"/>
      <c r="JRX28" s="381"/>
      <c r="JRY28" s="381"/>
      <c r="JRZ28" s="381"/>
      <c r="JSA28" s="381"/>
      <c r="JSB28" s="381"/>
      <c r="JSC28" s="381"/>
      <c r="JSD28" s="381"/>
      <c r="JSE28" s="381"/>
      <c r="JSF28" s="381"/>
      <c r="JSG28" s="379"/>
      <c r="JSH28" s="380"/>
      <c r="JSI28" s="380"/>
      <c r="JSJ28" s="380"/>
      <c r="JSK28" s="381"/>
      <c r="JSL28" s="381"/>
      <c r="JSM28" s="381"/>
      <c r="JSN28" s="381"/>
      <c r="JSO28" s="381"/>
      <c r="JSP28" s="381"/>
      <c r="JSQ28" s="381"/>
      <c r="JSR28" s="381"/>
      <c r="JSS28" s="381"/>
      <c r="JST28" s="381"/>
      <c r="JSU28" s="381"/>
      <c r="JSV28" s="381"/>
      <c r="JSW28" s="381"/>
      <c r="JSX28" s="381"/>
      <c r="JSY28" s="381"/>
      <c r="JSZ28" s="381"/>
      <c r="JTA28" s="381"/>
      <c r="JTB28" s="381"/>
      <c r="JTC28" s="381"/>
      <c r="JTD28" s="381"/>
      <c r="JTE28" s="381"/>
      <c r="JTF28" s="381"/>
      <c r="JTG28" s="381"/>
      <c r="JTH28" s="381"/>
      <c r="JTI28" s="381"/>
      <c r="JTJ28" s="381"/>
      <c r="JTK28" s="379"/>
      <c r="JTL28" s="380"/>
      <c r="JTM28" s="380"/>
      <c r="JTN28" s="380"/>
      <c r="JTO28" s="381"/>
      <c r="JTP28" s="381"/>
      <c r="JTQ28" s="381"/>
      <c r="JTR28" s="381"/>
      <c r="JTS28" s="381"/>
      <c r="JTT28" s="381"/>
      <c r="JTU28" s="381"/>
      <c r="JTV28" s="381"/>
      <c r="JTW28" s="381"/>
      <c r="JTX28" s="381"/>
      <c r="JTY28" s="381"/>
      <c r="JTZ28" s="381"/>
      <c r="JUA28" s="381"/>
      <c r="JUB28" s="381"/>
      <c r="JUC28" s="381"/>
      <c r="JUD28" s="381"/>
      <c r="JUE28" s="381"/>
      <c r="JUF28" s="381"/>
      <c r="JUG28" s="381"/>
      <c r="JUH28" s="381"/>
      <c r="JUI28" s="381"/>
      <c r="JUJ28" s="381"/>
      <c r="JUK28" s="381"/>
      <c r="JUL28" s="381"/>
      <c r="JUM28" s="381"/>
      <c r="JUN28" s="381"/>
      <c r="JUO28" s="379"/>
      <c r="JUP28" s="380"/>
      <c r="JUQ28" s="380"/>
      <c r="JUR28" s="380"/>
      <c r="JUS28" s="381"/>
      <c r="JUT28" s="381"/>
      <c r="JUU28" s="381"/>
      <c r="JUV28" s="381"/>
      <c r="JUW28" s="381"/>
      <c r="JUX28" s="381"/>
      <c r="JUY28" s="381"/>
      <c r="JUZ28" s="381"/>
      <c r="JVA28" s="381"/>
      <c r="JVB28" s="381"/>
      <c r="JVC28" s="381"/>
      <c r="JVD28" s="381"/>
      <c r="JVE28" s="381"/>
      <c r="JVF28" s="381"/>
      <c r="JVG28" s="381"/>
      <c r="JVH28" s="381"/>
      <c r="JVI28" s="381"/>
      <c r="JVJ28" s="381"/>
      <c r="JVK28" s="381"/>
      <c r="JVL28" s="381"/>
      <c r="JVM28" s="381"/>
      <c r="JVN28" s="381"/>
      <c r="JVO28" s="381"/>
      <c r="JVP28" s="381"/>
      <c r="JVQ28" s="381"/>
      <c r="JVR28" s="381"/>
      <c r="JVS28" s="379"/>
      <c r="JVT28" s="380"/>
      <c r="JVU28" s="380"/>
      <c r="JVV28" s="380"/>
      <c r="JVW28" s="381"/>
      <c r="JVX28" s="381"/>
      <c r="JVY28" s="381"/>
      <c r="JVZ28" s="381"/>
      <c r="JWA28" s="381"/>
      <c r="JWB28" s="381"/>
      <c r="JWC28" s="381"/>
      <c r="JWD28" s="381"/>
      <c r="JWE28" s="381"/>
      <c r="JWF28" s="381"/>
      <c r="JWG28" s="381"/>
      <c r="JWH28" s="381"/>
      <c r="JWI28" s="381"/>
      <c r="JWJ28" s="381"/>
      <c r="JWK28" s="381"/>
      <c r="JWL28" s="381"/>
      <c r="JWM28" s="381"/>
      <c r="JWN28" s="381"/>
      <c r="JWO28" s="381"/>
      <c r="JWP28" s="381"/>
      <c r="JWQ28" s="381"/>
      <c r="JWR28" s="381"/>
      <c r="JWS28" s="381"/>
      <c r="JWT28" s="381"/>
      <c r="JWU28" s="381"/>
      <c r="JWV28" s="381"/>
      <c r="JWW28" s="379"/>
      <c r="JWX28" s="380"/>
      <c r="JWY28" s="380"/>
      <c r="JWZ28" s="380"/>
      <c r="JXA28" s="381"/>
      <c r="JXB28" s="381"/>
      <c r="JXC28" s="381"/>
      <c r="JXD28" s="381"/>
      <c r="JXE28" s="381"/>
      <c r="JXF28" s="381"/>
      <c r="JXG28" s="381"/>
      <c r="JXH28" s="381"/>
      <c r="JXI28" s="381"/>
      <c r="JXJ28" s="381"/>
      <c r="JXK28" s="381"/>
      <c r="JXL28" s="381"/>
      <c r="JXM28" s="381"/>
      <c r="JXN28" s="381"/>
      <c r="JXO28" s="381"/>
      <c r="JXP28" s="381"/>
      <c r="JXQ28" s="381"/>
      <c r="JXR28" s="381"/>
      <c r="JXS28" s="381"/>
      <c r="JXT28" s="381"/>
      <c r="JXU28" s="381"/>
      <c r="JXV28" s="381"/>
      <c r="JXW28" s="381"/>
      <c r="JXX28" s="381"/>
      <c r="JXY28" s="381"/>
      <c r="JXZ28" s="381"/>
      <c r="JYA28" s="379"/>
      <c r="JYB28" s="380"/>
      <c r="JYC28" s="380"/>
      <c r="JYD28" s="380"/>
      <c r="JYE28" s="381"/>
      <c r="JYF28" s="381"/>
      <c r="JYG28" s="381"/>
      <c r="JYH28" s="381"/>
      <c r="JYI28" s="381"/>
      <c r="JYJ28" s="381"/>
      <c r="JYK28" s="381"/>
      <c r="JYL28" s="381"/>
      <c r="JYM28" s="381"/>
      <c r="JYN28" s="381"/>
      <c r="JYO28" s="381"/>
      <c r="JYP28" s="381"/>
      <c r="JYQ28" s="381"/>
      <c r="JYR28" s="381"/>
      <c r="JYS28" s="381"/>
      <c r="JYT28" s="381"/>
      <c r="JYU28" s="381"/>
      <c r="JYV28" s="381"/>
      <c r="JYW28" s="381"/>
      <c r="JYX28" s="381"/>
      <c r="JYY28" s="381"/>
      <c r="JYZ28" s="381"/>
      <c r="JZA28" s="381"/>
      <c r="JZB28" s="381"/>
      <c r="JZC28" s="381"/>
      <c r="JZD28" s="381"/>
      <c r="JZE28" s="379"/>
      <c r="JZF28" s="380"/>
      <c r="JZG28" s="380"/>
      <c r="JZH28" s="380"/>
      <c r="JZI28" s="381"/>
      <c r="JZJ28" s="381"/>
      <c r="JZK28" s="381"/>
      <c r="JZL28" s="381"/>
      <c r="JZM28" s="381"/>
      <c r="JZN28" s="381"/>
      <c r="JZO28" s="381"/>
      <c r="JZP28" s="381"/>
      <c r="JZQ28" s="381"/>
      <c r="JZR28" s="381"/>
      <c r="JZS28" s="381"/>
      <c r="JZT28" s="381"/>
      <c r="JZU28" s="381"/>
      <c r="JZV28" s="381"/>
      <c r="JZW28" s="381"/>
      <c r="JZX28" s="381"/>
      <c r="JZY28" s="381"/>
      <c r="JZZ28" s="381"/>
      <c r="KAA28" s="381"/>
      <c r="KAB28" s="381"/>
      <c r="KAC28" s="381"/>
      <c r="KAD28" s="381"/>
      <c r="KAE28" s="381"/>
      <c r="KAF28" s="381"/>
      <c r="KAG28" s="381"/>
      <c r="KAH28" s="381"/>
      <c r="KAI28" s="379"/>
      <c r="KAJ28" s="380"/>
      <c r="KAK28" s="380"/>
      <c r="KAL28" s="380"/>
      <c r="KAM28" s="381"/>
      <c r="KAN28" s="381"/>
      <c r="KAO28" s="381"/>
      <c r="KAP28" s="381"/>
      <c r="KAQ28" s="381"/>
      <c r="KAR28" s="381"/>
      <c r="KAS28" s="381"/>
      <c r="KAT28" s="381"/>
      <c r="KAU28" s="381"/>
      <c r="KAV28" s="381"/>
      <c r="KAW28" s="381"/>
      <c r="KAX28" s="381"/>
      <c r="KAY28" s="381"/>
      <c r="KAZ28" s="381"/>
      <c r="KBA28" s="381"/>
      <c r="KBB28" s="381"/>
      <c r="KBC28" s="381"/>
      <c r="KBD28" s="381"/>
      <c r="KBE28" s="381"/>
      <c r="KBF28" s="381"/>
      <c r="KBG28" s="381"/>
      <c r="KBH28" s="381"/>
      <c r="KBI28" s="381"/>
      <c r="KBJ28" s="381"/>
      <c r="KBK28" s="381"/>
      <c r="KBL28" s="381"/>
      <c r="KBM28" s="379"/>
      <c r="KBN28" s="380"/>
      <c r="KBO28" s="380"/>
      <c r="KBP28" s="380"/>
      <c r="KBQ28" s="381"/>
      <c r="KBR28" s="381"/>
      <c r="KBS28" s="381"/>
      <c r="KBT28" s="381"/>
      <c r="KBU28" s="381"/>
      <c r="KBV28" s="381"/>
      <c r="KBW28" s="381"/>
      <c r="KBX28" s="381"/>
      <c r="KBY28" s="381"/>
      <c r="KBZ28" s="381"/>
      <c r="KCA28" s="381"/>
      <c r="KCB28" s="381"/>
      <c r="KCC28" s="381"/>
      <c r="KCD28" s="381"/>
      <c r="KCE28" s="381"/>
      <c r="KCF28" s="381"/>
      <c r="KCG28" s="381"/>
      <c r="KCH28" s="381"/>
      <c r="KCI28" s="381"/>
      <c r="KCJ28" s="381"/>
      <c r="KCK28" s="381"/>
      <c r="KCL28" s="381"/>
      <c r="KCM28" s="381"/>
      <c r="KCN28" s="381"/>
      <c r="KCO28" s="381"/>
      <c r="KCP28" s="381"/>
      <c r="KCQ28" s="379"/>
      <c r="KCR28" s="380"/>
      <c r="KCS28" s="380"/>
      <c r="KCT28" s="380"/>
      <c r="KCU28" s="381"/>
      <c r="KCV28" s="381"/>
      <c r="KCW28" s="381"/>
      <c r="KCX28" s="381"/>
      <c r="KCY28" s="381"/>
      <c r="KCZ28" s="381"/>
      <c r="KDA28" s="381"/>
      <c r="KDB28" s="381"/>
      <c r="KDC28" s="381"/>
      <c r="KDD28" s="381"/>
      <c r="KDE28" s="381"/>
      <c r="KDF28" s="381"/>
      <c r="KDG28" s="381"/>
      <c r="KDH28" s="381"/>
      <c r="KDI28" s="381"/>
      <c r="KDJ28" s="381"/>
      <c r="KDK28" s="381"/>
      <c r="KDL28" s="381"/>
      <c r="KDM28" s="381"/>
      <c r="KDN28" s="381"/>
      <c r="KDO28" s="381"/>
      <c r="KDP28" s="381"/>
      <c r="KDQ28" s="381"/>
      <c r="KDR28" s="381"/>
      <c r="KDS28" s="381"/>
      <c r="KDT28" s="381"/>
      <c r="KDU28" s="379"/>
      <c r="KDV28" s="380"/>
      <c r="KDW28" s="380"/>
      <c r="KDX28" s="380"/>
      <c r="KDY28" s="381"/>
      <c r="KDZ28" s="381"/>
      <c r="KEA28" s="381"/>
      <c r="KEB28" s="381"/>
      <c r="KEC28" s="381"/>
      <c r="KED28" s="381"/>
      <c r="KEE28" s="381"/>
      <c r="KEF28" s="381"/>
      <c r="KEG28" s="381"/>
      <c r="KEH28" s="381"/>
      <c r="KEI28" s="381"/>
      <c r="KEJ28" s="381"/>
      <c r="KEK28" s="381"/>
      <c r="KEL28" s="381"/>
      <c r="KEM28" s="381"/>
      <c r="KEN28" s="381"/>
      <c r="KEO28" s="381"/>
      <c r="KEP28" s="381"/>
      <c r="KEQ28" s="381"/>
      <c r="KER28" s="381"/>
      <c r="KES28" s="381"/>
      <c r="KET28" s="381"/>
      <c r="KEU28" s="381"/>
      <c r="KEV28" s="381"/>
      <c r="KEW28" s="381"/>
      <c r="KEX28" s="381"/>
      <c r="KEY28" s="379"/>
      <c r="KEZ28" s="380"/>
      <c r="KFA28" s="380"/>
      <c r="KFB28" s="380"/>
      <c r="KFC28" s="381"/>
      <c r="KFD28" s="381"/>
      <c r="KFE28" s="381"/>
      <c r="KFF28" s="381"/>
      <c r="KFG28" s="381"/>
      <c r="KFH28" s="381"/>
      <c r="KFI28" s="381"/>
      <c r="KFJ28" s="381"/>
      <c r="KFK28" s="381"/>
      <c r="KFL28" s="381"/>
      <c r="KFM28" s="381"/>
      <c r="KFN28" s="381"/>
      <c r="KFO28" s="381"/>
      <c r="KFP28" s="381"/>
      <c r="KFQ28" s="381"/>
      <c r="KFR28" s="381"/>
      <c r="KFS28" s="381"/>
      <c r="KFT28" s="381"/>
      <c r="KFU28" s="381"/>
      <c r="KFV28" s="381"/>
      <c r="KFW28" s="381"/>
      <c r="KFX28" s="381"/>
      <c r="KFY28" s="381"/>
      <c r="KFZ28" s="381"/>
      <c r="KGA28" s="381"/>
      <c r="KGB28" s="381"/>
      <c r="KGC28" s="379"/>
      <c r="KGD28" s="380"/>
      <c r="KGE28" s="380"/>
      <c r="KGF28" s="380"/>
      <c r="KGG28" s="381"/>
      <c r="KGH28" s="381"/>
      <c r="KGI28" s="381"/>
      <c r="KGJ28" s="381"/>
      <c r="KGK28" s="381"/>
      <c r="KGL28" s="381"/>
      <c r="KGM28" s="381"/>
      <c r="KGN28" s="381"/>
      <c r="KGO28" s="381"/>
      <c r="KGP28" s="381"/>
      <c r="KGQ28" s="381"/>
      <c r="KGR28" s="381"/>
      <c r="KGS28" s="381"/>
      <c r="KGT28" s="381"/>
      <c r="KGU28" s="381"/>
      <c r="KGV28" s="381"/>
      <c r="KGW28" s="381"/>
      <c r="KGX28" s="381"/>
      <c r="KGY28" s="381"/>
      <c r="KGZ28" s="381"/>
      <c r="KHA28" s="381"/>
      <c r="KHB28" s="381"/>
      <c r="KHC28" s="381"/>
      <c r="KHD28" s="381"/>
      <c r="KHE28" s="381"/>
      <c r="KHF28" s="381"/>
      <c r="KHG28" s="379"/>
      <c r="KHH28" s="380"/>
      <c r="KHI28" s="380"/>
      <c r="KHJ28" s="380"/>
      <c r="KHK28" s="381"/>
      <c r="KHL28" s="381"/>
      <c r="KHM28" s="381"/>
      <c r="KHN28" s="381"/>
      <c r="KHO28" s="381"/>
      <c r="KHP28" s="381"/>
      <c r="KHQ28" s="381"/>
      <c r="KHR28" s="381"/>
      <c r="KHS28" s="381"/>
      <c r="KHT28" s="381"/>
      <c r="KHU28" s="381"/>
      <c r="KHV28" s="381"/>
      <c r="KHW28" s="381"/>
      <c r="KHX28" s="381"/>
      <c r="KHY28" s="381"/>
      <c r="KHZ28" s="381"/>
      <c r="KIA28" s="381"/>
      <c r="KIB28" s="381"/>
      <c r="KIC28" s="381"/>
      <c r="KID28" s="381"/>
      <c r="KIE28" s="381"/>
      <c r="KIF28" s="381"/>
      <c r="KIG28" s="381"/>
      <c r="KIH28" s="381"/>
      <c r="KII28" s="381"/>
      <c r="KIJ28" s="381"/>
      <c r="KIK28" s="379"/>
      <c r="KIL28" s="380"/>
      <c r="KIM28" s="380"/>
      <c r="KIN28" s="380"/>
      <c r="KIO28" s="381"/>
      <c r="KIP28" s="381"/>
      <c r="KIQ28" s="381"/>
      <c r="KIR28" s="381"/>
      <c r="KIS28" s="381"/>
      <c r="KIT28" s="381"/>
      <c r="KIU28" s="381"/>
      <c r="KIV28" s="381"/>
      <c r="KIW28" s="381"/>
      <c r="KIX28" s="381"/>
      <c r="KIY28" s="381"/>
      <c r="KIZ28" s="381"/>
      <c r="KJA28" s="381"/>
      <c r="KJB28" s="381"/>
      <c r="KJC28" s="381"/>
      <c r="KJD28" s="381"/>
      <c r="KJE28" s="381"/>
      <c r="KJF28" s="381"/>
      <c r="KJG28" s="381"/>
      <c r="KJH28" s="381"/>
      <c r="KJI28" s="381"/>
      <c r="KJJ28" s="381"/>
      <c r="KJK28" s="381"/>
      <c r="KJL28" s="381"/>
      <c r="KJM28" s="381"/>
      <c r="KJN28" s="381"/>
      <c r="KJO28" s="379"/>
      <c r="KJP28" s="380"/>
      <c r="KJQ28" s="380"/>
      <c r="KJR28" s="380"/>
      <c r="KJS28" s="381"/>
      <c r="KJT28" s="381"/>
      <c r="KJU28" s="381"/>
      <c r="KJV28" s="381"/>
      <c r="KJW28" s="381"/>
      <c r="KJX28" s="381"/>
      <c r="KJY28" s="381"/>
      <c r="KJZ28" s="381"/>
      <c r="KKA28" s="381"/>
      <c r="KKB28" s="381"/>
      <c r="KKC28" s="381"/>
      <c r="KKD28" s="381"/>
      <c r="KKE28" s="381"/>
      <c r="KKF28" s="381"/>
      <c r="KKG28" s="381"/>
      <c r="KKH28" s="381"/>
      <c r="KKI28" s="381"/>
      <c r="KKJ28" s="381"/>
      <c r="KKK28" s="381"/>
      <c r="KKL28" s="381"/>
      <c r="KKM28" s="381"/>
      <c r="KKN28" s="381"/>
      <c r="KKO28" s="381"/>
      <c r="KKP28" s="381"/>
      <c r="KKQ28" s="381"/>
      <c r="KKR28" s="381"/>
      <c r="KKS28" s="379"/>
      <c r="KKT28" s="380"/>
      <c r="KKU28" s="380"/>
      <c r="KKV28" s="380"/>
      <c r="KKW28" s="381"/>
      <c r="KKX28" s="381"/>
      <c r="KKY28" s="381"/>
      <c r="KKZ28" s="381"/>
      <c r="KLA28" s="381"/>
      <c r="KLB28" s="381"/>
      <c r="KLC28" s="381"/>
      <c r="KLD28" s="381"/>
      <c r="KLE28" s="381"/>
      <c r="KLF28" s="381"/>
      <c r="KLG28" s="381"/>
      <c r="KLH28" s="381"/>
      <c r="KLI28" s="381"/>
      <c r="KLJ28" s="381"/>
      <c r="KLK28" s="381"/>
      <c r="KLL28" s="381"/>
      <c r="KLM28" s="381"/>
      <c r="KLN28" s="381"/>
      <c r="KLO28" s="381"/>
      <c r="KLP28" s="381"/>
      <c r="KLQ28" s="381"/>
      <c r="KLR28" s="381"/>
      <c r="KLS28" s="381"/>
      <c r="KLT28" s="381"/>
      <c r="KLU28" s="381"/>
      <c r="KLV28" s="381"/>
      <c r="KLW28" s="379"/>
      <c r="KLX28" s="380"/>
      <c r="KLY28" s="380"/>
      <c r="KLZ28" s="380"/>
      <c r="KMA28" s="381"/>
      <c r="KMB28" s="381"/>
      <c r="KMC28" s="381"/>
      <c r="KMD28" s="381"/>
      <c r="KME28" s="381"/>
      <c r="KMF28" s="381"/>
      <c r="KMG28" s="381"/>
      <c r="KMH28" s="381"/>
      <c r="KMI28" s="381"/>
      <c r="KMJ28" s="381"/>
      <c r="KMK28" s="381"/>
      <c r="KML28" s="381"/>
      <c r="KMM28" s="381"/>
      <c r="KMN28" s="381"/>
      <c r="KMO28" s="381"/>
      <c r="KMP28" s="381"/>
      <c r="KMQ28" s="381"/>
      <c r="KMR28" s="381"/>
      <c r="KMS28" s="381"/>
      <c r="KMT28" s="381"/>
      <c r="KMU28" s="381"/>
      <c r="KMV28" s="381"/>
      <c r="KMW28" s="381"/>
      <c r="KMX28" s="381"/>
      <c r="KMY28" s="381"/>
      <c r="KMZ28" s="381"/>
      <c r="KNA28" s="379"/>
      <c r="KNB28" s="380"/>
      <c r="KNC28" s="380"/>
      <c r="KND28" s="380"/>
      <c r="KNE28" s="381"/>
      <c r="KNF28" s="381"/>
      <c r="KNG28" s="381"/>
      <c r="KNH28" s="381"/>
      <c r="KNI28" s="381"/>
      <c r="KNJ28" s="381"/>
      <c r="KNK28" s="381"/>
      <c r="KNL28" s="381"/>
      <c r="KNM28" s="381"/>
      <c r="KNN28" s="381"/>
      <c r="KNO28" s="381"/>
      <c r="KNP28" s="381"/>
      <c r="KNQ28" s="381"/>
      <c r="KNR28" s="381"/>
      <c r="KNS28" s="381"/>
      <c r="KNT28" s="381"/>
      <c r="KNU28" s="381"/>
      <c r="KNV28" s="381"/>
      <c r="KNW28" s="381"/>
      <c r="KNX28" s="381"/>
      <c r="KNY28" s="381"/>
      <c r="KNZ28" s="381"/>
      <c r="KOA28" s="381"/>
      <c r="KOB28" s="381"/>
      <c r="KOC28" s="381"/>
      <c r="KOD28" s="381"/>
      <c r="KOE28" s="379"/>
      <c r="KOF28" s="380"/>
      <c r="KOG28" s="380"/>
      <c r="KOH28" s="380"/>
      <c r="KOI28" s="381"/>
      <c r="KOJ28" s="381"/>
      <c r="KOK28" s="381"/>
      <c r="KOL28" s="381"/>
      <c r="KOM28" s="381"/>
      <c r="KON28" s="381"/>
      <c r="KOO28" s="381"/>
      <c r="KOP28" s="381"/>
      <c r="KOQ28" s="381"/>
      <c r="KOR28" s="381"/>
      <c r="KOS28" s="381"/>
      <c r="KOT28" s="381"/>
      <c r="KOU28" s="381"/>
      <c r="KOV28" s="381"/>
      <c r="KOW28" s="381"/>
      <c r="KOX28" s="381"/>
      <c r="KOY28" s="381"/>
      <c r="KOZ28" s="381"/>
      <c r="KPA28" s="381"/>
      <c r="KPB28" s="381"/>
      <c r="KPC28" s="381"/>
      <c r="KPD28" s="381"/>
      <c r="KPE28" s="381"/>
      <c r="KPF28" s="381"/>
      <c r="KPG28" s="381"/>
      <c r="KPH28" s="381"/>
      <c r="KPI28" s="379"/>
      <c r="KPJ28" s="380"/>
      <c r="KPK28" s="380"/>
      <c r="KPL28" s="380"/>
      <c r="KPM28" s="381"/>
      <c r="KPN28" s="381"/>
      <c r="KPO28" s="381"/>
      <c r="KPP28" s="381"/>
      <c r="KPQ28" s="381"/>
      <c r="KPR28" s="381"/>
      <c r="KPS28" s="381"/>
      <c r="KPT28" s="381"/>
      <c r="KPU28" s="381"/>
      <c r="KPV28" s="381"/>
      <c r="KPW28" s="381"/>
      <c r="KPX28" s="381"/>
      <c r="KPY28" s="381"/>
      <c r="KPZ28" s="381"/>
      <c r="KQA28" s="381"/>
      <c r="KQB28" s="381"/>
      <c r="KQC28" s="381"/>
      <c r="KQD28" s="381"/>
      <c r="KQE28" s="381"/>
      <c r="KQF28" s="381"/>
      <c r="KQG28" s="381"/>
      <c r="KQH28" s="381"/>
      <c r="KQI28" s="381"/>
      <c r="KQJ28" s="381"/>
      <c r="KQK28" s="381"/>
      <c r="KQL28" s="381"/>
      <c r="KQM28" s="379"/>
      <c r="KQN28" s="380"/>
      <c r="KQO28" s="380"/>
      <c r="KQP28" s="380"/>
      <c r="KQQ28" s="381"/>
      <c r="KQR28" s="381"/>
      <c r="KQS28" s="381"/>
      <c r="KQT28" s="381"/>
      <c r="KQU28" s="381"/>
      <c r="KQV28" s="381"/>
      <c r="KQW28" s="381"/>
      <c r="KQX28" s="381"/>
      <c r="KQY28" s="381"/>
      <c r="KQZ28" s="381"/>
      <c r="KRA28" s="381"/>
      <c r="KRB28" s="381"/>
      <c r="KRC28" s="381"/>
      <c r="KRD28" s="381"/>
      <c r="KRE28" s="381"/>
      <c r="KRF28" s="381"/>
      <c r="KRG28" s="381"/>
      <c r="KRH28" s="381"/>
      <c r="KRI28" s="381"/>
      <c r="KRJ28" s="381"/>
      <c r="KRK28" s="381"/>
      <c r="KRL28" s="381"/>
      <c r="KRM28" s="381"/>
      <c r="KRN28" s="381"/>
      <c r="KRO28" s="381"/>
      <c r="KRP28" s="381"/>
      <c r="KRQ28" s="379"/>
      <c r="KRR28" s="380"/>
      <c r="KRS28" s="380"/>
      <c r="KRT28" s="380"/>
      <c r="KRU28" s="381"/>
      <c r="KRV28" s="381"/>
      <c r="KRW28" s="381"/>
      <c r="KRX28" s="381"/>
      <c r="KRY28" s="381"/>
      <c r="KRZ28" s="381"/>
      <c r="KSA28" s="381"/>
      <c r="KSB28" s="381"/>
      <c r="KSC28" s="381"/>
      <c r="KSD28" s="381"/>
      <c r="KSE28" s="381"/>
      <c r="KSF28" s="381"/>
      <c r="KSG28" s="381"/>
      <c r="KSH28" s="381"/>
      <c r="KSI28" s="381"/>
      <c r="KSJ28" s="381"/>
      <c r="KSK28" s="381"/>
      <c r="KSL28" s="381"/>
      <c r="KSM28" s="381"/>
      <c r="KSN28" s="381"/>
      <c r="KSO28" s="381"/>
      <c r="KSP28" s="381"/>
      <c r="KSQ28" s="381"/>
      <c r="KSR28" s="381"/>
      <c r="KSS28" s="381"/>
      <c r="KST28" s="381"/>
      <c r="KSU28" s="379"/>
      <c r="KSV28" s="380"/>
      <c r="KSW28" s="380"/>
      <c r="KSX28" s="380"/>
      <c r="KSY28" s="381"/>
      <c r="KSZ28" s="381"/>
      <c r="KTA28" s="381"/>
      <c r="KTB28" s="381"/>
      <c r="KTC28" s="381"/>
      <c r="KTD28" s="381"/>
      <c r="KTE28" s="381"/>
      <c r="KTF28" s="381"/>
      <c r="KTG28" s="381"/>
      <c r="KTH28" s="381"/>
      <c r="KTI28" s="381"/>
      <c r="KTJ28" s="381"/>
      <c r="KTK28" s="381"/>
      <c r="KTL28" s="381"/>
      <c r="KTM28" s="381"/>
      <c r="KTN28" s="381"/>
      <c r="KTO28" s="381"/>
      <c r="KTP28" s="381"/>
      <c r="KTQ28" s="381"/>
      <c r="KTR28" s="381"/>
      <c r="KTS28" s="381"/>
      <c r="KTT28" s="381"/>
      <c r="KTU28" s="381"/>
      <c r="KTV28" s="381"/>
      <c r="KTW28" s="381"/>
      <c r="KTX28" s="381"/>
      <c r="KTY28" s="379"/>
      <c r="KTZ28" s="380"/>
      <c r="KUA28" s="380"/>
      <c r="KUB28" s="380"/>
      <c r="KUC28" s="381"/>
      <c r="KUD28" s="381"/>
      <c r="KUE28" s="381"/>
      <c r="KUF28" s="381"/>
      <c r="KUG28" s="381"/>
      <c r="KUH28" s="381"/>
      <c r="KUI28" s="381"/>
      <c r="KUJ28" s="381"/>
      <c r="KUK28" s="381"/>
      <c r="KUL28" s="381"/>
      <c r="KUM28" s="381"/>
      <c r="KUN28" s="381"/>
      <c r="KUO28" s="381"/>
      <c r="KUP28" s="381"/>
      <c r="KUQ28" s="381"/>
      <c r="KUR28" s="381"/>
      <c r="KUS28" s="381"/>
      <c r="KUT28" s="381"/>
      <c r="KUU28" s="381"/>
      <c r="KUV28" s="381"/>
      <c r="KUW28" s="381"/>
      <c r="KUX28" s="381"/>
      <c r="KUY28" s="381"/>
      <c r="KUZ28" s="381"/>
      <c r="KVA28" s="381"/>
      <c r="KVB28" s="381"/>
      <c r="KVC28" s="379"/>
      <c r="KVD28" s="380"/>
      <c r="KVE28" s="380"/>
      <c r="KVF28" s="380"/>
      <c r="KVG28" s="381"/>
      <c r="KVH28" s="381"/>
      <c r="KVI28" s="381"/>
      <c r="KVJ28" s="381"/>
      <c r="KVK28" s="381"/>
      <c r="KVL28" s="381"/>
      <c r="KVM28" s="381"/>
      <c r="KVN28" s="381"/>
      <c r="KVO28" s="381"/>
      <c r="KVP28" s="381"/>
      <c r="KVQ28" s="381"/>
      <c r="KVR28" s="381"/>
      <c r="KVS28" s="381"/>
      <c r="KVT28" s="381"/>
      <c r="KVU28" s="381"/>
      <c r="KVV28" s="381"/>
      <c r="KVW28" s="381"/>
      <c r="KVX28" s="381"/>
      <c r="KVY28" s="381"/>
      <c r="KVZ28" s="381"/>
      <c r="KWA28" s="381"/>
      <c r="KWB28" s="381"/>
      <c r="KWC28" s="381"/>
      <c r="KWD28" s="381"/>
      <c r="KWE28" s="381"/>
      <c r="KWF28" s="381"/>
      <c r="KWG28" s="379"/>
      <c r="KWH28" s="380"/>
      <c r="KWI28" s="380"/>
      <c r="KWJ28" s="380"/>
      <c r="KWK28" s="381"/>
      <c r="KWL28" s="381"/>
      <c r="KWM28" s="381"/>
      <c r="KWN28" s="381"/>
      <c r="KWO28" s="381"/>
      <c r="KWP28" s="381"/>
      <c r="KWQ28" s="381"/>
      <c r="KWR28" s="381"/>
      <c r="KWS28" s="381"/>
      <c r="KWT28" s="381"/>
      <c r="KWU28" s="381"/>
      <c r="KWV28" s="381"/>
      <c r="KWW28" s="381"/>
      <c r="KWX28" s="381"/>
      <c r="KWY28" s="381"/>
      <c r="KWZ28" s="381"/>
      <c r="KXA28" s="381"/>
      <c r="KXB28" s="381"/>
      <c r="KXC28" s="381"/>
      <c r="KXD28" s="381"/>
      <c r="KXE28" s="381"/>
      <c r="KXF28" s="381"/>
      <c r="KXG28" s="381"/>
      <c r="KXH28" s="381"/>
      <c r="KXI28" s="381"/>
      <c r="KXJ28" s="381"/>
      <c r="KXK28" s="379"/>
      <c r="KXL28" s="380"/>
      <c r="KXM28" s="380"/>
      <c r="KXN28" s="380"/>
      <c r="KXO28" s="381"/>
      <c r="KXP28" s="381"/>
      <c r="KXQ28" s="381"/>
      <c r="KXR28" s="381"/>
      <c r="KXS28" s="381"/>
      <c r="KXT28" s="381"/>
      <c r="KXU28" s="381"/>
      <c r="KXV28" s="381"/>
      <c r="KXW28" s="381"/>
      <c r="KXX28" s="381"/>
      <c r="KXY28" s="381"/>
      <c r="KXZ28" s="381"/>
      <c r="KYA28" s="381"/>
      <c r="KYB28" s="381"/>
      <c r="KYC28" s="381"/>
      <c r="KYD28" s="381"/>
      <c r="KYE28" s="381"/>
      <c r="KYF28" s="381"/>
      <c r="KYG28" s="381"/>
      <c r="KYH28" s="381"/>
      <c r="KYI28" s="381"/>
      <c r="KYJ28" s="381"/>
      <c r="KYK28" s="381"/>
      <c r="KYL28" s="381"/>
      <c r="KYM28" s="381"/>
      <c r="KYN28" s="381"/>
      <c r="KYO28" s="379"/>
      <c r="KYP28" s="380"/>
      <c r="KYQ28" s="380"/>
      <c r="KYR28" s="380"/>
      <c r="KYS28" s="381"/>
      <c r="KYT28" s="381"/>
      <c r="KYU28" s="381"/>
      <c r="KYV28" s="381"/>
      <c r="KYW28" s="381"/>
      <c r="KYX28" s="381"/>
      <c r="KYY28" s="381"/>
      <c r="KYZ28" s="381"/>
      <c r="KZA28" s="381"/>
      <c r="KZB28" s="381"/>
      <c r="KZC28" s="381"/>
      <c r="KZD28" s="381"/>
      <c r="KZE28" s="381"/>
      <c r="KZF28" s="381"/>
      <c r="KZG28" s="381"/>
      <c r="KZH28" s="381"/>
      <c r="KZI28" s="381"/>
      <c r="KZJ28" s="381"/>
      <c r="KZK28" s="381"/>
      <c r="KZL28" s="381"/>
      <c r="KZM28" s="381"/>
      <c r="KZN28" s="381"/>
      <c r="KZO28" s="381"/>
      <c r="KZP28" s="381"/>
      <c r="KZQ28" s="381"/>
      <c r="KZR28" s="381"/>
      <c r="KZS28" s="379"/>
      <c r="KZT28" s="380"/>
      <c r="KZU28" s="380"/>
      <c r="KZV28" s="380"/>
      <c r="KZW28" s="381"/>
      <c r="KZX28" s="381"/>
      <c r="KZY28" s="381"/>
      <c r="KZZ28" s="381"/>
      <c r="LAA28" s="381"/>
      <c r="LAB28" s="381"/>
      <c r="LAC28" s="381"/>
      <c r="LAD28" s="381"/>
      <c r="LAE28" s="381"/>
      <c r="LAF28" s="381"/>
      <c r="LAG28" s="381"/>
      <c r="LAH28" s="381"/>
      <c r="LAI28" s="381"/>
      <c r="LAJ28" s="381"/>
      <c r="LAK28" s="381"/>
      <c r="LAL28" s="381"/>
      <c r="LAM28" s="381"/>
      <c r="LAN28" s="381"/>
      <c r="LAO28" s="381"/>
      <c r="LAP28" s="381"/>
      <c r="LAQ28" s="381"/>
      <c r="LAR28" s="381"/>
      <c r="LAS28" s="381"/>
      <c r="LAT28" s="381"/>
      <c r="LAU28" s="381"/>
      <c r="LAV28" s="381"/>
      <c r="LAW28" s="379"/>
      <c r="LAX28" s="380"/>
      <c r="LAY28" s="380"/>
      <c r="LAZ28" s="380"/>
      <c r="LBA28" s="381"/>
      <c r="LBB28" s="381"/>
      <c r="LBC28" s="381"/>
      <c r="LBD28" s="381"/>
      <c r="LBE28" s="381"/>
      <c r="LBF28" s="381"/>
      <c r="LBG28" s="381"/>
      <c r="LBH28" s="381"/>
      <c r="LBI28" s="381"/>
      <c r="LBJ28" s="381"/>
      <c r="LBK28" s="381"/>
      <c r="LBL28" s="381"/>
      <c r="LBM28" s="381"/>
      <c r="LBN28" s="381"/>
      <c r="LBO28" s="381"/>
      <c r="LBP28" s="381"/>
      <c r="LBQ28" s="381"/>
      <c r="LBR28" s="381"/>
      <c r="LBS28" s="381"/>
      <c r="LBT28" s="381"/>
      <c r="LBU28" s="381"/>
      <c r="LBV28" s="381"/>
      <c r="LBW28" s="381"/>
      <c r="LBX28" s="381"/>
      <c r="LBY28" s="381"/>
      <c r="LBZ28" s="381"/>
      <c r="LCA28" s="379"/>
      <c r="LCB28" s="380"/>
      <c r="LCC28" s="380"/>
      <c r="LCD28" s="380"/>
      <c r="LCE28" s="381"/>
      <c r="LCF28" s="381"/>
      <c r="LCG28" s="381"/>
      <c r="LCH28" s="381"/>
      <c r="LCI28" s="381"/>
      <c r="LCJ28" s="381"/>
      <c r="LCK28" s="381"/>
      <c r="LCL28" s="381"/>
      <c r="LCM28" s="381"/>
      <c r="LCN28" s="381"/>
      <c r="LCO28" s="381"/>
      <c r="LCP28" s="381"/>
      <c r="LCQ28" s="381"/>
      <c r="LCR28" s="381"/>
      <c r="LCS28" s="381"/>
      <c r="LCT28" s="381"/>
      <c r="LCU28" s="381"/>
      <c r="LCV28" s="381"/>
      <c r="LCW28" s="381"/>
      <c r="LCX28" s="381"/>
      <c r="LCY28" s="381"/>
      <c r="LCZ28" s="381"/>
      <c r="LDA28" s="381"/>
      <c r="LDB28" s="381"/>
      <c r="LDC28" s="381"/>
      <c r="LDD28" s="381"/>
      <c r="LDE28" s="379"/>
      <c r="LDF28" s="380"/>
      <c r="LDG28" s="380"/>
      <c r="LDH28" s="380"/>
      <c r="LDI28" s="381"/>
      <c r="LDJ28" s="381"/>
      <c r="LDK28" s="381"/>
      <c r="LDL28" s="381"/>
      <c r="LDM28" s="381"/>
      <c r="LDN28" s="381"/>
      <c r="LDO28" s="381"/>
      <c r="LDP28" s="381"/>
      <c r="LDQ28" s="381"/>
      <c r="LDR28" s="381"/>
      <c r="LDS28" s="381"/>
      <c r="LDT28" s="381"/>
      <c r="LDU28" s="381"/>
      <c r="LDV28" s="381"/>
      <c r="LDW28" s="381"/>
      <c r="LDX28" s="381"/>
      <c r="LDY28" s="381"/>
      <c r="LDZ28" s="381"/>
      <c r="LEA28" s="381"/>
      <c r="LEB28" s="381"/>
      <c r="LEC28" s="381"/>
      <c r="LED28" s="381"/>
      <c r="LEE28" s="381"/>
      <c r="LEF28" s="381"/>
      <c r="LEG28" s="381"/>
      <c r="LEH28" s="381"/>
      <c r="LEI28" s="379"/>
      <c r="LEJ28" s="380"/>
      <c r="LEK28" s="380"/>
      <c r="LEL28" s="380"/>
      <c r="LEM28" s="381"/>
      <c r="LEN28" s="381"/>
      <c r="LEO28" s="381"/>
      <c r="LEP28" s="381"/>
      <c r="LEQ28" s="381"/>
      <c r="LER28" s="381"/>
      <c r="LES28" s="381"/>
      <c r="LET28" s="381"/>
      <c r="LEU28" s="381"/>
      <c r="LEV28" s="381"/>
      <c r="LEW28" s="381"/>
      <c r="LEX28" s="381"/>
      <c r="LEY28" s="381"/>
      <c r="LEZ28" s="381"/>
      <c r="LFA28" s="381"/>
      <c r="LFB28" s="381"/>
      <c r="LFC28" s="381"/>
      <c r="LFD28" s="381"/>
      <c r="LFE28" s="381"/>
      <c r="LFF28" s="381"/>
      <c r="LFG28" s="381"/>
      <c r="LFH28" s="381"/>
      <c r="LFI28" s="381"/>
      <c r="LFJ28" s="381"/>
      <c r="LFK28" s="381"/>
      <c r="LFL28" s="381"/>
      <c r="LFM28" s="379"/>
      <c r="LFN28" s="380"/>
      <c r="LFO28" s="380"/>
      <c r="LFP28" s="380"/>
      <c r="LFQ28" s="381"/>
      <c r="LFR28" s="381"/>
      <c r="LFS28" s="381"/>
      <c r="LFT28" s="381"/>
      <c r="LFU28" s="381"/>
      <c r="LFV28" s="381"/>
      <c r="LFW28" s="381"/>
      <c r="LFX28" s="381"/>
      <c r="LFY28" s="381"/>
      <c r="LFZ28" s="381"/>
      <c r="LGA28" s="381"/>
      <c r="LGB28" s="381"/>
      <c r="LGC28" s="381"/>
      <c r="LGD28" s="381"/>
      <c r="LGE28" s="381"/>
      <c r="LGF28" s="381"/>
      <c r="LGG28" s="381"/>
      <c r="LGH28" s="381"/>
      <c r="LGI28" s="381"/>
      <c r="LGJ28" s="381"/>
      <c r="LGK28" s="381"/>
      <c r="LGL28" s="381"/>
      <c r="LGM28" s="381"/>
      <c r="LGN28" s="381"/>
      <c r="LGO28" s="381"/>
      <c r="LGP28" s="381"/>
      <c r="LGQ28" s="379"/>
      <c r="LGR28" s="380"/>
      <c r="LGS28" s="380"/>
      <c r="LGT28" s="380"/>
      <c r="LGU28" s="381"/>
      <c r="LGV28" s="381"/>
      <c r="LGW28" s="381"/>
      <c r="LGX28" s="381"/>
      <c r="LGY28" s="381"/>
      <c r="LGZ28" s="381"/>
      <c r="LHA28" s="381"/>
      <c r="LHB28" s="381"/>
      <c r="LHC28" s="381"/>
      <c r="LHD28" s="381"/>
      <c r="LHE28" s="381"/>
      <c r="LHF28" s="381"/>
      <c r="LHG28" s="381"/>
      <c r="LHH28" s="381"/>
      <c r="LHI28" s="381"/>
      <c r="LHJ28" s="381"/>
      <c r="LHK28" s="381"/>
      <c r="LHL28" s="381"/>
      <c r="LHM28" s="381"/>
      <c r="LHN28" s="381"/>
      <c r="LHO28" s="381"/>
      <c r="LHP28" s="381"/>
      <c r="LHQ28" s="381"/>
      <c r="LHR28" s="381"/>
      <c r="LHS28" s="381"/>
      <c r="LHT28" s="381"/>
      <c r="LHU28" s="379"/>
      <c r="LHV28" s="380"/>
      <c r="LHW28" s="380"/>
      <c r="LHX28" s="380"/>
      <c r="LHY28" s="381"/>
      <c r="LHZ28" s="381"/>
      <c r="LIA28" s="381"/>
      <c r="LIB28" s="381"/>
      <c r="LIC28" s="381"/>
      <c r="LID28" s="381"/>
      <c r="LIE28" s="381"/>
      <c r="LIF28" s="381"/>
      <c r="LIG28" s="381"/>
      <c r="LIH28" s="381"/>
      <c r="LII28" s="381"/>
      <c r="LIJ28" s="381"/>
      <c r="LIK28" s="381"/>
      <c r="LIL28" s="381"/>
      <c r="LIM28" s="381"/>
      <c r="LIN28" s="381"/>
      <c r="LIO28" s="381"/>
      <c r="LIP28" s="381"/>
      <c r="LIQ28" s="381"/>
      <c r="LIR28" s="381"/>
      <c r="LIS28" s="381"/>
      <c r="LIT28" s="381"/>
      <c r="LIU28" s="381"/>
      <c r="LIV28" s="381"/>
      <c r="LIW28" s="381"/>
      <c r="LIX28" s="381"/>
      <c r="LIY28" s="379"/>
      <c r="LIZ28" s="380"/>
      <c r="LJA28" s="380"/>
      <c r="LJB28" s="380"/>
      <c r="LJC28" s="381"/>
      <c r="LJD28" s="381"/>
      <c r="LJE28" s="381"/>
      <c r="LJF28" s="381"/>
      <c r="LJG28" s="381"/>
      <c r="LJH28" s="381"/>
      <c r="LJI28" s="381"/>
      <c r="LJJ28" s="381"/>
      <c r="LJK28" s="381"/>
      <c r="LJL28" s="381"/>
      <c r="LJM28" s="381"/>
      <c r="LJN28" s="381"/>
      <c r="LJO28" s="381"/>
      <c r="LJP28" s="381"/>
      <c r="LJQ28" s="381"/>
      <c r="LJR28" s="381"/>
      <c r="LJS28" s="381"/>
      <c r="LJT28" s="381"/>
      <c r="LJU28" s="381"/>
      <c r="LJV28" s="381"/>
      <c r="LJW28" s="381"/>
      <c r="LJX28" s="381"/>
      <c r="LJY28" s="381"/>
      <c r="LJZ28" s="381"/>
      <c r="LKA28" s="381"/>
      <c r="LKB28" s="381"/>
      <c r="LKC28" s="379"/>
      <c r="LKD28" s="380"/>
      <c r="LKE28" s="380"/>
      <c r="LKF28" s="380"/>
      <c r="LKG28" s="381"/>
      <c r="LKH28" s="381"/>
      <c r="LKI28" s="381"/>
      <c r="LKJ28" s="381"/>
      <c r="LKK28" s="381"/>
      <c r="LKL28" s="381"/>
      <c r="LKM28" s="381"/>
      <c r="LKN28" s="381"/>
      <c r="LKO28" s="381"/>
      <c r="LKP28" s="381"/>
      <c r="LKQ28" s="381"/>
      <c r="LKR28" s="381"/>
      <c r="LKS28" s="381"/>
      <c r="LKT28" s="381"/>
      <c r="LKU28" s="381"/>
      <c r="LKV28" s="381"/>
      <c r="LKW28" s="381"/>
      <c r="LKX28" s="381"/>
      <c r="LKY28" s="381"/>
      <c r="LKZ28" s="381"/>
      <c r="LLA28" s="381"/>
      <c r="LLB28" s="381"/>
      <c r="LLC28" s="381"/>
      <c r="LLD28" s="381"/>
      <c r="LLE28" s="381"/>
      <c r="LLF28" s="381"/>
      <c r="LLG28" s="379"/>
      <c r="LLH28" s="380"/>
      <c r="LLI28" s="380"/>
      <c r="LLJ28" s="380"/>
      <c r="LLK28" s="381"/>
      <c r="LLL28" s="381"/>
      <c r="LLM28" s="381"/>
      <c r="LLN28" s="381"/>
      <c r="LLO28" s="381"/>
      <c r="LLP28" s="381"/>
      <c r="LLQ28" s="381"/>
      <c r="LLR28" s="381"/>
      <c r="LLS28" s="381"/>
      <c r="LLT28" s="381"/>
      <c r="LLU28" s="381"/>
      <c r="LLV28" s="381"/>
      <c r="LLW28" s="381"/>
      <c r="LLX28" s="381"/>
      <c r="LLY28" s="381"/>
      <c r="LLZ28" s="381"/>
      <c r="LMA28" s="381"/>
      <c r="LMB28" s="381"/>
      <c r="LMC28" s="381"/>
      <c r="LMD28" s="381"/>
      <c r="LME28" s="381"/>
      <c r="LMF28" s="381"/>
      <c r="LMG28" s="381"/>
      <c r="LMH28" s="381"/>
      <c r="LMI28" s="381"/>
      <c r="LMJ28" s="381"/>
      <c r="LMK28" s="379"/>
      <c r="LML28" s="380"/>
      <c r="LMM28" s="380"/>
      <c r="LMN28" s="380"/>
      <c r="LMO28" s="381"/>
      <c r="LMP28" s="381"/>
      <c r="LMQ28" s="381"/>
      <c r="LMR28" s="381"/>
      <c r="LMS28" s="381"/>
      <c r="LMT28" s="381"/>
      <c r="LMU28" s="381"/>
      <c r="LMV28" s="381"/>
      <c r="LMW28" s="381"/>
      <c r="LMX28" s="381"/>
      <c r="LMY28" s="381"/>
      <c r="LMZ28" s="381"/>
      <c r="LNA28" s="381"/>
      <c r="LNB28" s="381"/>
      <c r="LNC28" s="381"/>
      <c r="LND28" s="381"/>
      <c r="LNE28" s="381"/>
      <c r="LNF28" s="381"/>
      <c r="LNG28" s="381"/>
      <c r="LNH28" s="381"/>
      <c r="LNI28" s="381"/>
      <c r="LNJ28" s="381"/>
      <c r="LNK28" s="381"/>
      <c r="LNL28" s="381"/>
      <c r="LNM28" s="381"/>
      <c r="LNN28" s="381"/>
      <c r="LNO28" s="379"/>
      <c r="LNP28" s="380"/>
      <c r="LNQ28" s="380"/>
      <c r="LNR28" s="380"/>
      <c r="LNS28" s="381"/>
      <c r="LNT28" s="381"/>
      <c r="LNU28" s="381"/>
      <c r="LNV28" s="381"/>
      <c r="LNW28" s="381"/>
      <c r="LNX28" s="381"/>
      <c r="LNY28" s="381"/>
      <c r="LNZ28" s="381"/>
      <c r="LOA28" s="381"/>
      <c r="LOB28" s="381"/>
      <c r="LOC28" s="381"/>
      <c r="LOD28" s="381"/>
      <c r="LOE28" s="381"/>
      <c r="LOF28" s="381"/>
      <c r="LOG28" s="381"/>
      <c r="LOH28" s="381"/>
      <c r="LOI28" s="381"/>
      <c r="LOJ28" s="381"/>
      <c r="LOK28" s="381"/>
      <c r="LOL28" s="381"/>
      <c r="LOM28" s="381"/>
      <c r="LON28" s="381"/>
      <c r="LOO28" s="381"/>
      <c r="LOP28" s="381"/>
      <c r="LOQ28" s="381"/>
      <c r="LOR28" s="381"/>
      <c r="LOS28" s="379"/>
      <c r="LOT28" s="380"/>
      <c r="LOU28" s="380"/>
      <c r="LOV28" s="380"/>
      <c r="LOW28" s="381"/>
      <c r="LOX28" s="381"/>
      <c r="LOY28" s="381"/>
      <c r="LOZ28" s="381"/>
      <c r="LPA28" s="381"/>
      <c r="LPB28" s="381"/>
      <c r="LPC28" s="381"/>
      <c r="LPD28" s="381"/>
      <c r="LPE28" s="381"/>
      <c r="LPF28" s="381"/>
      <c r="LPG28" s="381"/>
      <c r="LPH28" s="381"/>
      <c r="LPI28" s="381"/>
      <c r="LPJ28" s="381"/>
      <c r="LPK28" s="381"/>
      <c r="LPL28" s="381"/>
      <c r="LPM28" s="381"/>
      <c r="LPN28" s="381"/>
      <c r="LPO28" s="381"/>
      <c r="LPP28" s="381"/>
      <c r="LPQ28" s="381"/>
      <c r="LPR28" s="381"/>
      <c r="LPS28" s="381"/>
      <c r="LPT28" s="381"/>
      <c r="LPU28" s="381"/>
      <c r="LPV28" s="381"/>
      <c r="LPW28" s="379"/>
      <c r="LPX28" s="380"/>
      <c r="LPY28" s="380"/>
      <c r="LPZ28" s="380"/>
      <c r="LQA28" s="381"/>
      <c r="LQB28" s="381"/>
      <c r="LQC28" s="381"/>
      <c r="LQD28" s="381"/>
      <c r="LQE28" s="381"/>
      <c r="LQF28" s="381"/>
      <c r="LQG28" s="381"/>
      <c r="LQH28" s="381"/>
      <c r="LQI28" s="381"/>
      <c r="LQJ28" s="381"/>
      <c r="LQK28" s="381"/>
      <c r="LQL28" s="381"/>
      <c r="LQM28" s="381"/>
      <c r="LQN28" s="381"/>
      <c r="LQO28" s="381"/>
      <c r="LQP28" s="381"/>
      <c r="LQQ28" s="381"/>
      <c r="LQR28" s="381"/>
      <c r="LQS28" s="381"/>
      <c r="LQT28" s="381"/>
      <c r="LQU28" s="381"/>
      <c r="LQV28" s="381"/>
      <c r="LQW28" s="381"/>
      <c r="LQX28" s="381"/>
      <c r="LQY28" s="381"/>
      <c r="LQZ28" s="381"/>
      <c r="LRA28" s="379"/>
      <c r="LRB28" s="380"/>
      <c r="LRC28" s="380"/>
      <c r="LRD28" s="380"/>
      <c r="LRE28" s="381"/>
      <c r="LRF28" s="381"/>
      <c r="LRG28" s="381"/>
      <c r="LRH28" s="381"/>
      <c r="LRI28" s="381"/>
      <c r="LRJ28" s="381"/>
      <c r="LRK28" s="381"/>
      <c r="LRL28" s="381"/>
      <c r="LRM28" s="381"/>
      <c r="LRN28" s="381"/>
      <c r="LRO28" s="381"/>
      <c r="LRP28" s="381"/>
      <c r="LRQ28" s="381"/>
      <c r="LRR28" s="381"/>
      <c r="LRS28" s="381"/>
      <c r="LRT28" s="381"/>
      <c r="LRU28" s="381"/>
      <c r="LRV28" s="381"/>
      <c r="LRW28" s="381"/>
      <c r="LRX28" s="381"/>
      <c r="LRY28" s="381"/>
      <c r="LRZ28" s="381"/>
      <c r="LSA28" s="381"/>
      <c r="LSB28" s="381"/>
      <c r="LSC28" s="381"/>
      <c r="LSD28" s="381"/>
      <c r="LSE28" s="379"/>
      <c r="LSF28" s="380"/>
      <c r="LSG28" s="380"/>
      <c r="LSH28" s="380"/>
      <c r="LSI28" s="381"/>
      <c r="LSJ28" s="381"/>
      <c r="LSK28" s="381"/>
      <c r="LSL28" s="381"/>
      <c r="LSM28" s="381"/>
      <c r="LSN28" s="381"/>
      <c r="LSO28" s="381"/>
      <c r="LSP28" s="381"/>
      <c r="LSQ28" s="381"/>
      <c r="LSR28" s="381"/>
      <c r="LSS28" s="381"/>
      <c r="LST28" s="381"/>
      <c r="LSU28" s="381"/>
      <c r="LSV28" s="381"/>
      <c r="LSW28" s="381"/>
      <c r="LSX28" s="381"/>
      <c r="LSY28" s="381"/>
      <c r="LSZ28" s="381"/>
      <c r="LTA28" s="381"/>
      <c r="LTB28" s="381"/>
      <c r="LTC28" s="381"/>
      <c r="LTD28" s="381"/>
      <c r="LTE28" s="381"/>
      <c r="LTF28" s="381"/>
      <c r="LTG28" s="381"/>
      <c r="LTH28" s="381"/>
      <c r="LTI28" s="379"/>
      <c r="LTJ28" s="380"/>
      <c r="LTK28" s="380"/>
      <c r="LTL28" s="380"/>
      <c r="LTM28" s="381"/>
      <c r="LTN28" s="381"/>
      <c r="LTO28" s="381"/>
      <c r="LTP28" s="381"/>
      <c r="LTQ28" s="381"/>
      <c r="LTR28" s="381"/>
      <c r="LTS28" s="381"/>
      <c r="LTT28" s="381"/>
      <c r="LTU28" s="381"/>
      <c r="LTV28" s="381"/>
      <c r="LTW28" s="381"/>
      <c r="LTX28" s="381"/>
      <c r="LTY28" s="381"/>
      <c r="LTZ28" s="381"/>
      <c r="LUA28" s="381"/>
      <c r="LUB28" s="381"/>
      <c r="LUC28" s="381"/>
      <c r="LUD28" s="381"/>
      <c r="LUE28" s="381"/>
      <c r="LUF28" s="381"/>
      <c r="LUG28" s="381"/>
      <c r="LUH28" s="381"/>
      <c r="LUI28" s="381"/>
      <c r="LUJ28" s="381"/>
      <c r="LUK28" s="381"/>
      <c r="LUL28" s="381"/>
      <c r="LUM28" s="379"/>
      <c r="LUN28" s="380"/>
      <c r="LUO28" s="380"/>
      <c r="LUP28" s="380"/>
      <c r="LUQ28" s="381"/>
      <c r="LUR28" s="381"/>
      <c r="LUS28" s="381"/>
      <c r="LUT28" s="381"/>
      <c r="LUU28" s="381"/>
      <c r="LUV28" s="381"/>
      <c r="LUW28" s="381"/>
      <c r="LUX28" s="381"/>
      <c r="LUY28" s="381"/>
      <c r="LUZ28" s="381"/>
      <c r="LVA28" s="381"/>
      <c r="LVB28" s="381"/>
      <c r="LVC28" s="381"/>
      <c r="LVD28" s="381"/>
      <c r="LVE28" s="381"/>
      <c r="LVF28" s="381"/>
      <c r="LVG28" s="381"/>
      <c r="LVH28" s="381"/>
      <c r="LVI28" s="381"/>
      <c r="LVJ28" s="381"/>
      <c r="LVK28" s="381"/>
      <c r="LVL28" s="381"/>
      <c r="LVM28" s="381"/>
      <c r="LVN28" s="381"/>
      <c r="LVO28" s="381"/>
      <c r="LVP28" s="381"/>
      <c r="LVQ28" s="379"/>
      <c r="LVR28" s="380"/>
      <c r="LVS28" s="380"/>
      <c r="LVT28" s="380"/>
      <c r="LVU28" s="381"/>
      <c r="LVV28" s="381"/>
      <c r="LVW28" s="381"/>
      <c r="LVX28" s="381"/>
      <c r="LVY28" s="381"/>
      <c r="LVZ28" s="381"/>
      <c r="LWA28" s="381"/>
      <c r="LWB28" s="381"/>
      <c r="LWC28" s="381"/>
      <c r="LWD28" s="381"/>
      <c r="LWE28" s="381"/>
      <c r="LWF28" s="381"/>
      <c r="LWG28" s="381"/>
      <c r="LWH28" s="381"/>
      <c r="LWI28" s="381"/>
      <c r="LWJ28" s="381"/>
      <c r="LWK28" s="381"/>
      <c r="LWL28" s="381"/>
      <c r="LWM28" s="381"/>
      <c r="LWN28" s="381"/>
      <c r="LWO28" s="381"/>
      <c r="LWP28" s="381"/>
      <c r="LWQ28" s="381"/>
      <c r="LWR28" s="381"/>
      <c r="LWS28" s="381"/>
      <c r="LWT28" s="381"/>
      <c r="LWU28" s="379"/>
      <c r="LWV28" s="380"/>
      <c r="LWW28" s="380"/>
      <c r="LWX28" s="380"/>
      <c r="LWY28" s="381"/>
      <c r="LWZ28" s="381"/>
      <c r="LXA28" s="381"/>
      <c r="LXB28" s="381"/>
      <c r="LXC28" s="381"/>
      <c r="LXD28" s="381"/>
      <c r="LXE28" s="381"/>
      <c r="LXF28" s="381"/>
      <c r="LXG28" s="381"/>
      <c r="LXH28" s="381"/>
      <c r="LXI28" s="381"/>
      <c r="LXJ28" s="381"/>
      <c r="LXK28" s="381"/>
      <c r="LXL28" s="381"/>
      <c r="LXM28" s="381"/>
      <c r="LXN28" s="381"/>
      <c r="LXO28" s="381"/>
      <c r="LXP28" s="381"/>
      <c r="LXQ28" s="381"/>
      <c r="LXR28" s="381"/>
      <c r="LXS28" s="381"/>
      <c r="LXT28" s="381"/>
      <c r="LXU28" s="381"/>
      <c r="LXV28" s="381"/>
      <c r="LXW28" s="381"/>
      <c r="LXX28" s="381"/>
      <c r="LXY28" s="379"/>
      <c r="LXZ28" s="380"/>
      <c r="LYA28" s="380"/>
      <c r="LYB28" s="380"/>
      <c r="LYC28" s="381"/>
      <c r="LYD28" s="381"/>
      <c r="LYE28" s="381"/>
      <c r="LYF28" s="381"/>
      <c r="LYG28" s="381"/>
      <c r="LYH28" s="381"/>
      <c r="LYI28" s="381"/>
      <c r="LYJ28" s="381"/>
      <c r="LYK28" s="381"/>
      <c r="LYL28" s="381"/>
      <c r="LYM28" s="381"/>
      <c r="LYN28" s="381"/>
      <c r="LYO28" s="381"/>
      <c r="LYP28" s="381"/>
      <c r="LYQ28" s="381"/>
      <c r="LYR28" s="381"/>
      <c r="LYS28" s="381"/>
      <c r="LYT28" s="381"/>
      <c r="LYU28" s="381"/>
      <c r="LYV28" s="381"/>
      <c r="LYW28" s="381"/>
      <c r="LYX28" s="381"/>
      <c r="LYY28" s="381"/>
      <c r="LYZ28" s="381"/>
      <c r="LZA28" s="381"/>
      <c r="LZB28" s="381"/>
      <c r="LZC28" s="379"/>
      <c r="LZD28" s="380"/>
      <c r="LZE28" s="380"/>
      <c r="LZF28" s="380"/>
      <c r="LZG28" s="381"/>
      <c r="LZH28" s="381"/>
      <c r="LZI28" s="381"/>
      <c r="LZJ28" s="381"/>
      <c r="LZK28" s="381"/>
      <c r="LZL28" s="381"/>
      <c r="LZM28" s="381"/>
      <c r="LZN28" s="381"/>
      <c r="LZO28" s="381"/>
      <c r="LZP28" s="381"/>
      <c r="LZQ28" s="381"/>
      <c r="LZR28" s="381"/>
      <c r="LZS28" s="381"/>
      <c r="LZT28" s="381"/>
      <c r="LZU28" s="381"/>
      <c r="LZV28" s="381"/>
      <c r="LZW28" s="381"/>
      <c r="LZX28" s="381"/>
      <c r="LZY28" s="381"/>
      <c r="LZZ28" s="381"/>
      <c r="MAA28" s="381"/>
      <c r="MAB28" s="381"/>
      <c r="MAC28" s="381"/>
      <c r="MAD28" s="381"/>
      <c r="MAE28" s="381"/>
      <c r="MAF28" s="381"/>
      <c r="MAG28" s="379"/>
      <c r="MAH28" s="380"/>
      <c r="MAI28" s="380"/>
      <c r="MAJ28" s="380"/>
      <c r="MAK28" s="381"/>
      <c r="MAL28" s="381"/>
      <c r="MAM28" s="381"/>
      <c r="MAN28" s="381"/>
      <c r="MAO28" s="381"/>
      <c r="MAP28" s="381"/>
      <c r="MAQ28" s="381"/>
      <c r="MAR28" s="381"/>
      <c r="MAS28" s="381"/>
      <c r="MAT28" s="381"/>
      <c r="MAU28" s="381"/>
      <c r="MAV28" s="381"/>
      <c r="MAW28" s="381"/>
      <c r="MAX28" s="381"/>
      <c r="MAY28" s="381"/>
      <c r="MAZ28" s="381"/>
      <c r="MBA28" s="381"/>
      <c r="MBB28" s="381"/>
      <c r="MBC28" s="381"/>
      <c r="MBD28" s="381"/>
      <c r="MBE28" s="381"/>
      <c r="MBF28" s="381"/>
      <c r="MBG28" s="381"/>
      <c r="MBH28" s="381"/>
      <c r="MBI28" s="381"/>
      <c r="MBJ28" s="381"/>
      <c r="MBK28" s="379"/>
      <c r="MBL28" s="380"/>
      <c r="MBM28" s="380"/>
      <c r="MBN28" s="380"/>
      <c r="MBO28" s="381"/>
      <c r="MBP28" s="381"/>
      <c r="MBQ28" s="381"/>
      <c r="MBR28" s="381"/>
      <c r="MBS28" s="381"/>
      <c r="MBT28" s="381"/>
      <c r="MBU28" s="381"/>
      <c r="MBV28" s="381"/>
      <c r="MBW28" s="381"/>
      <c r="MBX28" s="381"/>
      <c r="MBY28" s="381"/>
      <c r="MBZ28" s="381"/>
      <c r="MCA28" s="381"/>
      <c r="MCB28" s="381"/>
      <c r="MCC28" s="381"/>
      <c r="MCD28" s="381"/>
      <c r="MCE28" s="381"/>
      <c r="MCF28" s="381"/>
      <c r="MCG28" s="381"/>
      <c r="MCH28" s="381"/>
      <c r="MCI28" s="381"/>
      <c r="MCJ28" s="381"/>
      <c r="MCK28" s="381"/>
      <c r="MCL28" s="381"/>
      <c r="MCM28" s="381"/>
      <c r="MCN28" s="381"/>
      <c r="MCO28" s="379"/>
      <c r="MCP28" s="380"/>
      <c r="MCQ28" s="380"/>
      <c r="MCR28" s="380"/>
      <c r="MCS28" s="381"/>
      <c r="MCT28" s="381"/>
      <c r="MCU28" s="381"/>
      <c r="MCV28" s="381"/>
      <c r="MCW28" s="381"/>
      <c r="MCX28" s="381"/>
      <c r="MCY28" s="381"/>
      <c r="MCZ28" s="381"/>
      <c r="MDA28" s="381"/>
      <c r="MDB28" s="381"/>
      <c r="MDC28" s="381"/>
      <c r="MDD28" s="381"/>
      <c r="MDE28" s="381"/>
      <c r="MDF28" s="381"/>
      <c r="MDG28" s="381"/>
      <c r="MDH28" s="381"/>
      <c r="MDI28" s="381"/>
      <c r="MDJ28" s="381"/>
      <c r="MDK28" s="381"/>
      <c r="MDL28" s="381"/>
      <c r="MDM28" s="381"/>
      <c r="MDN28" s="381"/>
      <c r="MDO28" s="381"/>
      <c r="MDP28" s="381"/>
      <c r="MDQ28" s="381"/>
      <c r="MDR28" s="381"/>
      <c r="MDS28" s="379"/>
      <c r="MDT28" s="380"/>
      <c r="MDU28" s="380"/>
      <c r="MDV28" s="380"/>
      <c r="MDW28" s="381"/>
      <c r="MDX28" s="381"/>
      <c r="MDY28" s="381"/>
      <c r="MDZ28" s="381"/>
      <c r="MEA28" s="381"/>
      <c r="MEB28" s="381"/>
      <c r="MEC28" s="381"/>
      <c r="MED28" s="381"/>
      <c r="MEE28" s="381"/>
      <c r="MEF28" s="381"/>
      <c r="MEG28" s="381"/>
      <c r="MEH28" s="381"/>
      <c r="MEI28" s="381"/>
      <c r="MEJ28" s="381"/>
      <c r="MEK28" s="381"/>
      <c r="MEL28" s="381"/>
      <c r="MEM28" s="381"/>
      <c r="MEN28" s="381"/>
      <c r="MEO28" s="381"/>
      <c r="MEP28" s="381"/>
      <c r="MEQ28" s="381"/>
      <c r="MER28" s="381"/>
      <c r="MES28" s="381"/>
      <c r="MET28" s="381"/>
      <c r="MEU28" s="381"/>
      <c r="MEV28" s="381"/>
      <c r="MEW28" s="379"/>
      <c r="MEX28" s="380"/>
      <c r="MEY28" s="380"/>
      <c r="MEZ28" s="380"/>
      <c r="MFA28" s="381"/>
      <c r="MFB28" s="381"/>
      <c r="MFC28" s="381"/>
      <c r="MFD28" s="381"/>
      <c r="MFE28" s="381"/>
      <c r="MFF28" s="381"/>
      <c r="MFG28" s="381"/>
      <c r="MFH28" s="381"/>
      <c r="MFI28" s="381"/>
      <c r="MFJ28" s="381"/>
      <c r="MFK28" s="381"/>
      <c r="MFL28" s="381"/>
      <c r="MFM28" s="381"/>
      <c r="MFN28" s="381"/>
      <c r="MFO28" s="381"/>
      <c r="MFP28" s="381"/>
      <c r="MFQ28" s="381"/>
      <c r="MFR28" s="381"/>
      <c r="MFS28" s="381"/>
      <c r="MFT28" s="381"/>
      <c r="MFU28" s="381"/>
      <c r="MFV28" s="381"/>
      <c r="MFW28" s="381"/>
      <c r="MFX28" s="381"/>
      <c r="MFY28" s="381"/>
      <c r="MFZ28" s="381"/>
      <c r="MGA28" s="379"/>
      <c r="MGB28" s="380"/>
      <c r="MGC28" s="380"/>
      <c r="MGD28" s="380"/>
      <c r="MGE28" s="381"/>
      <c r="MGF28" s="381"/>
      <c r="MGG28" s="381"/>
      <c r="MGH28" s="381"/>
      <c r="MGI28" s="381"/>
      <c r="MGJ28" s="381"/>
      <c r="MGK28" s="381"/>
      <c r="MGL28" s="381"/>
      <c r="MGM28" s="381"/>
      <c r="MGN28" s="381"/>
      <c r="MGO28" s="381"/>
      <c r="MGP28" s="381"/>
      <c r="MGQ28" s="381"/>
      <c r="MGR28" s="381"/>
      <c r="MGS28" s="381"/>
      <c r="MGT28" s="381"/>
      <c r="MGU28" s="381"/>
      <c r="MGV28" s="381"/>
      <c r="MGW28" s="381"/>
      <c r="MGX28" s="381"/>
      <c r="MGY28" s="381"/>
      <c r="MGZ28" s="381"/>
      <c r="MHA28" s="381"/>
      <c r="MHB28" s="381"/>
      <c r="MHC28" s="381"/>
      <c r="MHD28" s="381"/>
      <c r="MHE28" s="379"/>
      <c r="MHF28" s="380"/>
      <c r="MHG28" s="380"/>
      <c r="MHH28" s="380"/>
      <c r="MHI28" s="381"/>
      <c r="MHJ28" s="381"/>
      <c r="MHK28" s="381"/>
      <c r="MHL28" s="381"/>
      <c r="MHM28" s="381"/>
      <c r="MHN28" s="381"/>
      <c r="MHO28" s="381"/>
      <c r="MHP28" s="381"/>
      <c r="MHQ28" s="381"/>
      <c r="MHR28" s="381"/>
      <c r="MHS28" s="381"/>
      <c r="MHT28" s="381"/>
      <c r="MHU28" s="381"/>
      <c r="MHV28" s="381"/>
      <c r="MHW28" s="381"/>
      <c r="MHX28" s="381"/>
      <c r="MHY28" s="381"/>
      <c r="MHZ28" s="381"/>
      <c r="MIA28" s="381"/>
      <c r="MIB28" s="381"/>
      <c r="MIC28" s="381"/>
      <c r="MID28" s="381"/>
      <c r="MIE28" s="381"/>
      <c r="MIF28" s="381"/>
      <c r="MIG28" s="381"/>
      <c r="MIH28" s="381"/>
      <c r="MII28" s="379"/>
      <c r="MIJ28" s="380"/>
      <c r="MIK28" s="380"/>
      <c r="MIL28" s="380"/>
      <c r="MIM28" s="381"/>
      <c r="MIN28" s="381"/>
      <c r="MIO28" s="381"/>
      <c r="MIP28" s="381"/>
      <c r="MIQ28" s="381"/>
      <c r="MIR28" s="381"/>
      <c r="MIS28" s="381"/>
      <c r="MIT28" s="381"/>
      <c r="MIU28" s="381"/>
      <c r="MIV28" s="381"/>
      <c r="MIW28" s="381"/>
      <c r="MIX28" s="381"/>
      <c r="MIY28" s="381"/>
      <c r="MIZ28" s="381"/>
      <c r="MJA28" s="381"/>
      <c r="MJB28" s="381"/>
      <c r="MJC28" s="381"/>
      <c r="MJD28" s="381"/>
      <c r="MJE28" s="381"/>
      <c r="MJF28" s="381"/>
      <c r="MJG28" s="381"/>
      <c r="MJH28" s="381"/>
      <c r="MJI28" s="381"/>
      <c r="MJJ28" s="381"/>
      <c r="MJK28" s="381"/>
      <c r="MJL28" s="381"/>
      <c r="MJM28" s="379"/>
      <c r="MJN28" s="380"/>
      <c r="MJO28" s="380"/>
      <c r="MJP28" s="380"/>
      <c r="MJQ28" s="381"/>
      <c r="MJR28" s="381"/>
      <c r="MJS28" s="381"/>
      <c r="MJT28" s="381"/>
      <c r="MJU28" s="381"/>
      <c r="MJV28" s="381"/>
      <c r="MJW28" s="381"/>
      <c r="MJX28" s="381"/>
      <c r="MJY28" s="381"/>
      <c r="MJZ28" s="381"/>
      <c r="MKA28" s="381"/>
      <c r="MKB28" s="381"/>
      <c r="MKC28" s="381"/>
      <c r="MKD28" s="381"/>
      <c r="MKE28" s="381"/>
      <c r="MKF28" s="381"/>
      <c r="MKG28" s="381"/>
      <c r="MKH28" s="381"/>
      <c r="MKI28" s="381"/>
      <c r="MKJ28" s="381"/>
      <c r="MKK28" s="381"/>
      <c r="MKL28" s="381"/>
      <c r="MKM28" s="381"/>
      <c r="MKN28" s="381"/>
      <c r="MKO28" s="381"/>
      <c r="MKP28" s="381"/>
      <c r="MKQ28" s="379"/>
      <c r="MKR28" s="380"/>
      <c r="MKS28" s="380"/>
      <c r="MKT28" s="380"/>
      <c r="MKU28" s="381"/>
      <c r="MKV28" s="381"/>
      <c r="MKW28" s="381"/>
      <c r="MKX28" s="381"/>
      <c r="MKY28" s="381"/>
      <c r="MKZ28" s="381"/>
      <c r="MLA28" s="381"/>
      <c r="MLB28" s="381"/>
      <c r="MLC28" s="381"/>
      <c r="MLD28" s="381"/>
      <c r="MLE28" s="381"/>
      <c r="MLF28" s="381"/>
      <c r="MLG28" s="381"/>
      <c r="MLH28" s="381"/>
      <c r="MLI28" s="381"/>
      <c r="MLJ28" s="381"/>
      <c r="MLK28" s="381"/>
      <c r="MLL28" s="381"/>
      <c r="MLM28" s="381"/>
      <c r="MLN28" s="381"/>
      <c r="MLO28" s="381"/>
      <c r="MLP28" s="381"/>
      <c r="MLQ28" s="381"/>
      <c r="MLR28" s="381"/>
      <c r="MLS28" s="381"/>
      <c r="MLT28" s="381"/>
      <c r="MLU28" s="379"/>
      <c r="MLV28" s="380"/>
      <c r="MLW28" s="380"/>
      <c r="MLX28" s="380"/>
      <c r="MLY28" s="381"/>
      <c r="MLZ28" s="381"/>
      <c r="MMA28" s="381"/>
      <c r="MMB28" s="381"/>
      <c r="MMC28" s="381"/>
      <c r="MMD28" s="381"/>
      <c r="MME28" s="381"/>
      <c r="MMF28" s="381"/>
      <c r="MMG28" s="381"/>
      <c r="MMH28" s="381"/>
      <c r="MMI28" s="381"/>
      <c r="MMJ28" s="381"/>
      <c r="MMK28" s="381"/>
      <c r="MML28" s="381"/>
      <c r="MMM28" s="381"/>
      <c r="MMN28" s="381"/>
      <c r="MMO28" s="381"/>
      <c r="MMP28" s="381"/>
      <c r="MMQ28" s="381"/>
      <c r="MMR28" s="381"/>
      <c r="MMS28" s="381"/>
      <c r="MMT28" s="381"/>
      <c r="MMU28" s="381"/>
      <c r="MMV28" s="381"/>
      <c r="MMW28" s="381"/>
      <c r="MMX28" s="381"/>
      <c r="MMY28" s="379"/>
      <c r="MMZ28" s="380"/>
      <c r="MNA28" s="380"/>
      <c r="MNB28" s="380"/>
      <c r="MNC28" s="381"/>
      <c r="MND28" s="381"/>
      <c r="MNE28" s="381"/>
      <c r="MNF28" s="381"/>
      <c r="MNG28" s="381"/>
      <c r="MNH28" s="381"/>
      <c r="MNI28" s="381"/>
      <c r="MNJ28" s="381"/>
      <c r="MNK28" s="381"/>
      <c r="MNL28" s="381"/>
      <c r="MNM28" s="381"/>
      <c r="MNN28" s="381"/>
      <c r="MNO28" s="381"/>
      <c r="MNP28" s="381"/>
      <c r="MNQ28" s="381"/>
      <c r="MNR28" s="381"/>
      <c r="MNS28" s="381"/>
      <c r="MNT28" s="381"/>
      <c r="MNU28" s="381"/>
      <c r="MNV28" s="381"/>
      <c r="MNW28" s="381"/>
      <c r="MNX28" s="381"/>
      <c r="MNY28" s="381"/>
      <c r="MNZ28" s="381"/>
      <c r="MOA28" s="381"/>
      <c r="MOB28" s="381"/>
      <c r="MOC28" s="379"/>
      <c r="MOD28" s="380"/>
      <c r="MOE28" s="380"/>
      <c r="MOF28" s="380"/>
      <c r="MOG28" s="381"/>
      <c r="MOH28" s="381"/>
      <c r="MOI28" s="381"/>
      <c r="MOJ28" s="381"/>
      <c r="MOK28" s="381"/>
      <c r="MOL28" s="381"/>
      <c r="MOM28" s="381"/>
      <c r="MON28" s="381"/>
      <c r="MOO28" s="381"/>
      <c r="MOP28" s="381"/>
      <c r="MOQ28" s="381"/>
      <c r="MOR28" s="381"/>
      <c r="MOS28" s="381"/>
      <c r="MOT28" s="381"/>
      <c r="MOU28" s="381"/>
      <c r="MOV28" s="381"/>
      <c r="MOW28" s="381"/>
      <c r="MOX28" s="381"/>
      <c r="MOY28" s="381"/>
      <c r="MOZ28" s="381"/>
      <c r="MPA28" s="381"/>
      <c r="MPB28" s="381"/>
      <c r="MPC28" s="381"/>
      <c r="MPD28" s="381"/>
      <c r="MPE28" s="381"/>
      <c r="MPF28" s="381"/>
      <c r="MPG28" s="379"/>
      <c r="MPH28" s="380"/>
      <c r="MPI28" s="380"/>
      <c r="MPJ28" s="380"/>
      <c r="MPK28" s="381"/>
      <c r="MPL28" s="381"/>
      <c r="MPM28" s="381"/>
      <c r="MPN28" s="381"/>
      <c r="MPO28" s="381"/>
      <c r="MPP28" s="381"/>
      <c r="MPQ28" s="381"/>
      <c r="MPR28" s="381"/>
      <c r="MPS28" s="381"/>
      <c r="MPT28" s="381"/>
      <c r="MPU28" s="381"/>
      <c r="MPV28" s="381"/>
      <c r="MPW28" s="381"/>
      <c r="MPX28" s="381"/>
      <c r="MPY28" s="381"/>
      <c r="MPZ28" s="381"/>
      <c r="MQA28" s="381"/>
      <c r="MQB28" s="381"/>
      <c r="MQC28" s="381"/>
      <c r="MQD28" s="381"/>
      <c r="MQE28" s="381"/>
      <c r="MQF28" s="381"/>
      <c r="MQG28" s="381"/>
      <c r="MQH28" s="381"/>
      <c r="MQI28" s="381"/>
      <c r="MQJ28" s="381"/>
      <c r="MQK28" s="379"/>
      <c r="MQL28" s="380"/>
      <c r="MQM28" s="380"/>
      <c r="MQN28" s="380"/>
      <c r="MQO28" s="381"/>
      <c r="MQP28" s="381"/>
      <c r="MQQ28" s="381"/>
      <c r="MQR28" s="381"/>
      <c r="MQS28" s="381"/>
      <c r="MQT28" s="381"/>
      <c r="MQU28" s="381"/>
      <c r="MQV28" s="381"/>
      <c r="MQW28" s="381"/>
      <c r="MQX28" s="381"/>
      <c r="MQY28" s="381"/>
      <c r="MQZ28" s="381"/>
      <c r="MRA28" s="381"/>
      <c r="MRB28" s="381"/>
      <c r="MRC28" s="381"/>
      <c r="MRD28" s="381"/>
      <c r="MRE28" s="381"/>
      <c r="MRF28" s="381"/>
      <c r="MRG28" s="381"/>
      <c r="MRH28" s="381"/>
      <c r="MRI28" s="381"/>
      <c r="MRJ28" s="381"/>
      <c r="MRK28" s="381"/>
      <c r="MRL28" s="381"/>
      <c r="MRM28" s="381"/>
      <c r="MRN28" s="381"/>
      <c r="MRO28" s="379"/>
      <c r="MRP28" s="380"/>
      <c r="MRQ28" s="380"/>
      <c r="MRR28" s="380"/>
      <c r="MRS28" s="381"/>
      <c r="MRT28" s="381"/>
      <c r="MRU28" s="381"/>
      <c r="MRV28" s="381"/>
      <c r="MRW28" s="381"/>
      <c r="MRX28" s="381"/>
      <c r="MRY28" s="381"/>
      <c r="MRZ28" s="381"/>
      <c r="MSA28" s="381"/>
      <c r="MSB28" s="381"/>
      <c r="MSC28" s="381"/>
      <c r="MSD28" s="381"/>
      <c r="MSE28" s="381"/>
      <c r="MSF28" s="381"/>
      <c r="MSG28" s="381"/>
      <c r="MSH28" s="381"/>
      <c r="MSI28" s="381"/>
      <c r="MSJ28" s="381"/>
      <c r="MSK28" s="381"/>
      <c r="MSL28" s="381"/>
      <c r="MSM28" s="381"/>
      <c r="MSN28" s="381"/>
      <c r="MSO28" s="381"/>
      <c r="MSP28" s="381"/>
      <c r="MSQ28" s="381"/>
      <c r="MSR28" s="381"/>
      <c r="MSS28" s="379"/>
      <c r="MST28" s="380"/>
      <c r="MSU28" s="380"/>
      <c r="MSV28" s="380"/>
      <c r="MSW28" s="381"/>
      <c r="MSX28" s="381"/>
      <c r="MSY28" s="381"/>
      <c r="MSZ28" s="381"/>
      <c r="MTA28" s="381"/>
      <c r="MTB28" s="381"/>
      <c r="MTC28" s="381"/>
      <c r="MTD28" s="381"/>
      <c r="MTE28" s="381"/>
      <c r="MTF28" s="381"/>
      <c r="MTG28" s="381"/>
      <c r="MTH28" s="381"/>
      <c r="MTI28" s="381"/>
      <c r="MTJ28" s="381"/>
      <c r="MTK28" s="381"/>
      <c r="MTL28" s="381"/>
      <c r="MTM28" s="381"/>
      <c r="MTN28" s="381"/>
      <c r="MTO28" s="381"/>
      <c r="MTP28" s="381"/>
      <c r="MTQ28" s="381"/>
      <c r="MTR28" s="381"/>
      <c r="MTS28" s="381"/>
      <c r="MTT28" s="381"/>
      <c r="MTU28" s="381"/>
      <c r="MTV28" s="381"/>
      <c r="MTW28" s="379"/>
      <c r="MTX28" s="380"/>
      <c r="MTY28" s="380"/>
      <c r="MTZ28" s="380"/>
      <c r="MUA28" s="381"/>
      <c r="MUB28" s="381"/>
      <c r="MUC28" s="381"/>
      <c r="MUD28" s="381"/>
      <c r="MUE28" s="381"/>
      <c r="MUF28" s="381"/>
      <c r="MUG28" s="381"/>
      <c r="MUH28" s="381"/>
      <c r="MUI28" s="381"/>
      <c r="MUJ28" s="381"/>
      <c r="MUK28" s="381"/>
      <c r="MUL28" s="381"/>
      <c r="MUM28" s="381"/>
      <c r="MUN28" s="381"/>
      <c r="MUO28" s="381"/>
      <c r="MUP28" s="381"/>
      <c r="MUQ28" s="381"/>
      <c r="MUR28" s="381"/>
      <c r="MUS28" s="381"/>
      <c r="MUT28" s="381"/>
      <c r="MUU28" s="381"/>
      <c r="MUV28" s="381"/>
      <c r="MUW28" s="381"/>
      <c r="MUX28" s="381"/>
      <c r="MUY28" s="381"/>
      <c r="MUZ28" s="381"/>
      <c r="MVA28" s="379"/>
      <c r="MVB28" s="380"/>
      <c r="MVC28" s="380"/>
      <c r="MVD28" s="380"/>
      <c r="MVE28" s="381"/>
      <c r="MVF28" s="381"/>
      <c r="MVG28" s="381"/>
      <c r="MVH28" s="381"/>
      <c r="MVI28" s="381"/>
      <c r="MVJ28" s="381"/>
      <c r="MVK28" s="381"/>
      <c r="MVL28" s="381"/>
      <c r="MVM28" s="381"/>
      <c r="MVN28" s="381"/>
      <c r="MVO28" s="381"/>
      <c r="MVP28" s="381"/>
      <c r="MVQ28" s="381"/>
      <c r="MVR28" s="381"/>
      <c r="MVS28" s="381"/>
      <c r="MVT28" s="381"/>
      <c r="MVU28" s="381"/>
      <c r="MVV28" s="381"/>
      <c r="MVW28" s="381"/>
      <c r="MVX28" s="381"/>
      <c r="MVY28" s="381"/>
      <c r="MVZ28" s="381"/>
      <c r="MWA28" s="381"/>
      <c r="MWB28" s="381"/>
      <c r="MWC28" s="381"/>
      <c r="MWD28" s="381"/>
      <c r="MWE28" s="379"/>
      <c r="MWF28" s="380"/>
      <c r="MWG28" s="380"/>
      <c r="MWH28" s="380"/>
      <c r="MWI28" s="381"/>
      <c r="MWJ28" s="381"/>
      <c r="MWK28" s="381"/>
      <c r="MWL28" s="381"/>
      <c r="MWM28" s="381"/>
      <c r="MWN28" s="381"/>
      <c r="MWO28" s="381"/>
      <c r="MWP28" s="381"/>
      <c r="MWQ28" s="381"/>
      <c r="MWR28" s="381"/>
      <c r="MWS28" s="381"/>
      <c r="MWT28" s="381"/>
      <c r="MWU28" s="381"/>
      <c r="MWV28" s="381"/>
      <c r="MWW28" s="381"/>
      <c r="MWX28" s="381"/>
      <c r="MWY28" s="381"/>
      <c r="MWZ28" s="381"/>
      <c r="MXA28" s="381"/>
      <c r="MXB28" s="381"/>
      <c r="MXC28" s="381"/>
      <c r="MXD28" s="381"/>
      <c r="MXE28" s="381"/>
      <c r="MXF28" s="381"/>
      <c r="MXG28" s="381"/>
      <c r="MXH28" s="381"/>
      <c r="MXI28" s="379"/>
      <c r="MXJ28" s="380"/>
      <c r="MXK28" s="380"/>
      <c r="MXL28" s="380"/>
      <c r="MXM28" s="381"/>
      <c r="MXN28" s="381"/>
      <c r="MXO28" s="381"/>
      <c r="MXP28" s="381"/>
      <c r="MXQ28" s="381"/>
      <c r="MXR28" s="381"/>
      <c r="MXS28" s="381"/>
      <c r="MXT28" s="381"/>
      <c r="MXU28" s="381"/>
      <c r="MXV28" s="381"/>
      <c r="MXW28" s="381"/>
      <c r="MXX28" s="381"/>
      <c r="MXY28" s="381"/>
      <c r="MXZ28" s="381"/>
      <c r="MYA28" s="381"/>
      <c r="MYB28" s="381"/>
      <c r="MYC28" s="381"/>
      <c r="MYD28" s="381"/>
      <c r="MYE28" s="381"/>
      <c r="MYF28" s="381"/>
      <c r="MYG28" s="381"/>
      <c r="MYH28" s="381"/>
      <c r="MYI28" s="381"/>
      <c r="MYJ28" s="381"/>
      <c r="MYK28" s="381"/>
      <c r="MYL28" s="381"/>
      <c r="MYM28" s="379"/>
      <c r="MYN28" s="380"/>
      <c r="MYO28" s="380"/>
      <c r="MYP28" s="380"/>
      <c r="MYQ28" s="381"/>
      <c r="MYR28" s="381"/>
      <c r="MYS28" s="381"/>
      <c r="MYT28" s="381"/>
      <c r="MYU28" s="381"/>
      <c r="MYV28" s="381"/>
      <c r="MYW28" s="381"/>
      <c r="MYX28" s="381"/>
      <c r="MYY28" s="381"/>
      <c r="MYZ28" s="381"/>
      <c r="MZA28" s="381"/>
      <c r="MZB28" s="381"/>
      <c r="MZC28" s="381"/>
      <c r="MZD28" s="381"/>
      <c r="MZE28" s="381"/>
      <c r="MZF28" s="381"/>
      <c r="MZG28" s="381"/>
      <c r="MZH28" s="381"/>
      <c r="MZI28" s="381"/>
      <c r="MZJ28" s="381"/>
      <c r="MZK28" s="381"/>
      <c r="MZL28" s="381"/>
      <c r="MZM28" s="381"/>
      <c r="MZN28" s="381"/>
      <c r="MZO28" s="381"/>
      <c r="MZP28" s="381"/>
      <c r="MZQ28" s="379"/>
      <c r="MZR28" s="380"/>
      <c r="MZS28" s="380"/>
      <c r="MZT28" s="380"/>
      <c r="MZU28" s="381"/>
      <c r="MZV28" s="381"/>
      <c r="MZW28" s="381"/>
      <c r="MZX28" s="381"/>
      <c r="MZY28" s="381"/>
      <c r="MZZ28" s="381"/>
      <c r="NAA28" s="381"/>
      <c r="NAB28" s="381"/>
      <c r="NAC28" s="381"/>
      <c r="NAD28" s="381"/>
      <c r="NAE28" s="381"/>
      <c r="NAF28" s="381"/>
      <c r="NAG28" s="381"/>
      <c r="NAH28" s="381"/>
      <c r="NAI28" s="381"/>
      <c r="NAJ28" s="381"/>
      <c r="NAK28" s="381"/>
      <c r="NAL28" s="381"/>
      <c r="NAM28" s="381"/>
      <c r="NAN28" s="381"/>
      <c r="NAO28" s="381"/>
      <c r="NAP28" s="381"/>
      <c r="NAQ28" s="381"/>
      <c r="NAR28" s="381"/>
      <c r="NAS28" s="381"/>
      <c r="NAT28" s="381"/>
      <c r="NAU28" s="379"/>
      <c r="NAV28" s="380"/>
      <c r="NAW28" s="380"/>
      <c r="NAX28" s="380"/>
      <c r="NAY28" s="381"/>
      <c r="NAZ28" s="381"/>
      <c r="NBA28" s="381"/>
      <c r="NBB28" s="381"/>
      <c r="NBC28" s="381"/>
      <c r="NBD28" s="381"/>
      <c r="NBE28" s="381"/>
      <c r="NBF28" s="381"/>
      <c r="NBG28" s="381"/>
      <c r="NBH28" s="381"/>
      <c r="NBI28" s="381"/>
      <c r="NBJ28" s="381"/>
      <c r="NBK28" s="381"/>
      <c r="NBL28" s="381"/>
      <c r="NBM28" s="381"/>
      <c r="NBN28" s="381"/>
      <c r="NBO28" s="381"/>
      <c r="NBP28" s="381"/>
      <c r="NBQ28" s="381"/>
      <c r="NBR28" s="381"/>
      <c r="NBS28" s="381"/>
      <c r="NBT28" s="381"/>
      <c r="NBU28" s="381"/>
      <c r="NBV28" s="381"/>
      <c r="NBW28" s="381"/>
      <c r="NBX28" s="381"/>
      <c r="NBY28" s="379"/>
      <c r="NBZ28" s="380"/>
      <c r="NCA28" s="380"/>
      <c r="NCB28" s="380"/>
      <c r="NCC28" s="381"/>
      <c r="NCD28" s="381"/>
      <c r="NCE28" s="381"/>
      <c r="NCF28" s="381"/>
      <c r="NCG28" s="381"/>
      <c r="NCH28" s="381"/>
      <c r="NCI28" s="381"/>
      <c r="NCJ28" s="381"/>
      <c r="NCK28" s="381"/>
      <c r="NCL28" s="381"/>
      <c r="NCM28" s="381"/>
      <c r="NCN28" s="381"/>
      <c r="NCO28" s="381"/>
      <c r="NCP28" s="381"/>
      <c r="NCQ28" s="381"/>
      <c r="NCR28" s="381"/>
      <c r="NCS28" s="381"/>
      <c r="NCT28" s="381"/>
      <c r="NCU28" s="381"/>
      <c r="NCV28" s="381"/>
      <c r="NCW28" s="381"/>
      <c r="NCX28" s="381"/>
      <c r="NCY28" s="381"/>
      <c r="NCZ28" s="381"/>
      <c r="NDA28" s="381"/>
      <c r="NDB28" s="381"/>
      <c r="NDC28" s="379"/>
      <c r="NDD28" s="380"/>
      <c r="NDE28" s="380"/>
      <c r="NDF28" s="380"/>
      <c r="NDG28" s="381"/>
      <c r="NDH28" s="381"/>
      <c r="NDI28" s="381"/>
      <c r="NDJ28" s="381"/>
      <c r="NDK28" s="381"/>
      <c r="NDL28" s="381"/>
      <c r="NDM28" s="381"/>
      <c r="NDN28" s="381"/>
      <c r="NDO28" s="381"/>
      <c r="NDP28" s="381"/>
      <c r="NDQ28" s="381"/>
      <c r="NDR28" s="381"/>
      <c r="NDS28" s="381"/>
      <c r="NDT28" s="381"/>
      <c r="NDU28" s="381"/>
      <c r="NDV28" s="381"/>
      <c r="NDW28" s="381"/>
      <c r="NDX28" s="381"/>
      <c r="NDY28" s="381"/>
      <c r="NDZ28" s="381"/>
      <c r="NEA28" s="381"/>
      <c r="NEB28" s="381"/>
      <c r="NEC28" s="381"/>
      <c r="NED28" s="381"/>
      <c r="NEE28" s="381"/>
      <c r="NEF28" s="381"/>
      <c r="NEG28" s="379"/>
      <c r="NEH28" s="380"/>
      <c r="NEI28" s="380"/>
      <c r="NEJ28" s="380"/>
      <c r="NEK28" s="381"/>
      <c r="NEL28" s="381"/>
      <c r="NEM28" s="381"/>
      <c r="NEN28" s="381"/>
      <c r="NEO28" s="381"/>
      <c r="NEP28" s="381"/>
      <c r="NEQ28" s="381"/>
      <c r="NER28" s="381"/>
      <c r="NES28" s="381"/>
      <c r="NET28" s="381"/>
      <c r="NEU28" s="381"/>
      <c r="NEV28" s="381"/>
      <c r="NEW28" s="381"/>
      <c r="NEX28" s="381"/>
      <c r="NEY28" s="381"/>
      <c r="NEZ28" s="381"/>
      <c r="NFA28" s="381"/>
      <c r="NFB28" s="381"/>
      <c r="NFC28" s="381"/>
      <c r="NFD28" s="381"/>
      <c r="NFE28" s="381"/>
      <c r="NFF28" s="381"/>
      <c r="NFG28" s="381"/>
      <c r="NFH28" s="381"/>
      <c r="NFI28" s="381"/>
      <c r="NFJ28" s="381"/>
      <c r="NFK28" s="379"/>
      <c r="NFL28" s="380"/>
      <c r="NFM28" s="380"/>
      <c r="NFN28" s="380"/>
      <c r="NFO28" s="381"/>
      <c r="NFP28" s="381"/>
      <c r="NFQ28" s="381"/>
      <c r="NFR28" s="381"/>
      <c r="NFS28" s="381"/>
      <c r="NFT28" s="381"/>
      <c r="NFU28" s="381"/>
      <c r="NFV28" s="381"/>
      <c r="NFW28" s="381"/>
      <c r="NFX28" s="381"/>
      <c r="NFY28" s="381"/>
      <c r="NFZ28" s="381"/>
      <c r="NGA28" s="381"/>
      <c r="NGB28" s="381"/>
      <c r="NGC28" s="381"/>
      <c r="NGD28" s="381"/>
      <c r="NGE28" s="381"/>
      <c r="NGF28" s="381"/>
      <c r="NGG28" s="381"/>
      <c r="NGH28" s="381"/>
      <c r="NGI28" s="381"/>
      <c r="NGJ28" s="381"/>
      <c r="NGK28" s="381"/>
      <c r="NGL28" s="381"/>
      <c r="NGM28" s="381"/>
      <c r="NGN28" s="381"/>
      <c r="NGO28" s="379"/>
      <c r="NGP28" s="380"/>
      <c r="NGQ28" s="380"/>
      <c r="NGR28" s="380"/>
      <c r="NGS28" s="381"/>
      <c r="NGT28" s="381"/>
      <c r="NGU28" s="381"/>
      <c r="NGV28" s="381"/>
      <c r="NGW28" s="381"/>
      <c r="NGX28" s="381"/>
      <c r="NGY28" s="381"/>
      <c r="NGZ28" s="381"/>
      <c r="NHA28" s="381"/>
      <c r="NHB28" s="381"/>
      <c r="NHC28" s="381"/>
      <c r="NHD28" s="381"/>
      <c r="NHE28" s="381"/>
      <c r="NHF28" s="381"/>
      <c r="NHG28" s="381"/>
      <c r="NHH28" s="381"/>
      <c r="NHI28" s="381"/>
      <c r="NHJ28" s="381"/>
      <c r="NHK28" s="381"/>
      <c r="NHL28" s="381"/>
      <c r="NHM28" s="381"/>
      <c r="NHN28" s="381"/>
      <c r="NHO28" s="381"/>
      <c r="NHP28" s="381"/>
      <c r="NHQ28" s="381"/>
      <c r="NHR28" s="381"/>
      <c r="NHS28" s="379"/>
      <c r="NHT28" s="380"/>
      <c r="NHU28" s="380"/>
      <c r="NHV28" s="380"/>
      <c r="NHW28" s="381"/>
      <c r="NHX28" s="381"/>
      <c r="NHY28" s="381"/>
      <c r="NHZ28" s="381"/>
      <c r="NIA28" s="381"/>
      <c r="NIB28" s="381"/>
      <c r="NIC28" s="381"/>
      <c r="NID28" s="381"/>
      <c r="NIE28" s="381"/>
      <c r="NIF28" s="381"/>
      <c r="NIG28" s="381"/>
      <c r="NIH28" s="381"/>
      <c r="NII28" s="381"/>
      <c r="NIJ28" s="381"/>
      <c r="NIK28" s="381"/>
      <c r="NIL28" s="381"/>
      <c r="NIM28" s="381"/>
      <c r="NIN28" s="381"/>
      <c r="NIO28" s="381"/>
      <c r="NIP28" s="381"/>
      <c r="NIQ28" s="381"/>
      <c r="NIR28" s="381"/>
      <c r="NIS28" s="381"/>
      <c r="NIT28" s="381"/>
      <c r="NIU28" s="381"/>
      <c r="NIV28" s="381"/>
      <c r="NIW28" s="379"/>
      <c r="NIX28" s="380"/>
      <c r="NIY28" s="380"/>
      <c r="NIZ28" s="380"/>
      <c r="NJA28" s="381"/>
      <c r="NJB28" s="381"/>
      <c r="NJC28" s="381"/>
      <c r="NJD28" s="381"/>
      <c r="NJE28" s="381"/>
      <c r="NJF28" s="381"/>
      <c r="NJG28" s="381"/>
      <c r="NJH28" s="381"/>
      <c r="NJI28" s="381"/>
      <c r="NJJ28" s="381"/>
      <c r="NJK28" s="381"/>
      <c r="NJL28" s="381"/>
      <c r="NJM28" s="381"/>
      <c r="NJN28" s="381"/>
      <c r="NJO28" s="381"/>
      <c r="NJP28" s="381"/>
      <c r="NJQ28" s="381"/>
      <c r="NJR28" s="381"/>
      <c r="NJS28" s="381"/>
      <c r="NJT28" s="381"/>
      <c r="NJU28" s="381"/>
      <c r="NJV28" s="381"/>
      <c r="NJW28" s="381"/>
      <c r="NJX28" s="381"/>
      <c r="NJY28" s="381"/>
      <c r="NJZ28" s="381"/>
      <c r="NKA28" s="379"/>
      <c r="NKB28" s="380"/>
      <c r="NKC28" s="380"/>
      <c r="NKD28" s="380"/>
      <c r="NKE28" s="381"/>
      <c r="NKF28" s="381"/>
      <c r="NKG28" s="381"/>
      <c r="NKH28" s="381"/>
      <c r="NKI28" s="381"/>
      <c r="NKJ28" s="381"/>
      <c r="NKK28" s="381"/>
      <c r="NKL28" s="381"/>
      <c r="NKM28" s="381"/>
      <c r="NKN28" s="381"/>
      <c r="NKO28" s="381"/>
      <c r="NKP28" s="381"/>
      <c r="NKQ28" s="381"/>
      <c r="NKR28" s="381"/>
      <c r="NKS28" s="381"/>
      <c r="NKT28" s="381"/>
      <c r="NKU28" s="381"/>
      <c r="NKV28" s="381"/>
      <c r="NKW28" s="381"/>
      <c r="NKX28" s="381"/>
      <c r="NKY28" s="381"/>
      <c r="NKZ28" s="381"/>
      <c r="NLA28" s="381"/>
      <c r="NLB28" s="381"/>
      <c r="NLC28" s="381"/>
      <c r="NLD28" s="381"/>
      <c r="NLE28" s="379"/>
      <c r="NLF28" s="380"/>
      <c r="NLG28" s="380"/>
      <c r="NLH28" s="380"/>
      <c r="NLI28" s="381"/>
      <c r="NLJ28" s="381"/>
      <c r="NLK28" s="381"/>
      <c r="NLL28" s="381"/>
      <c r="NLM28" s="381"/>
      <c r="NLN28" s="381"/>
      <c r="NLO28" s="381"/>
      <c r="NLP28" s="381"/>
      <c r="NLQ28" s="381"/>
      <c r="NLR28" s="381"/>
      <c r="NLS28" s="381"/>
      <c r="NLT28" s="381"/>
      <c r="NLU28" s="381"/>
      <c r="NLV28" s="381"/>
      <c r="NLW28" s="381"/>
      <c r="NLX28" s="381"/>
      <c r="NLY28" s="381"/>
      <c r="NLZ28" s="381"/>
      <c r="NMA28" s="381"/>
      <c r="NMB28" s="381"/>
      <c r="NMC28" s="381"/>
      <c r="NMD28" s="381"/>
      <c r="NME28" s="381"/>
      <c r="NMF28" s="381"/>
      <c r="NMG28" s="381"/>
      <c r="NMH28" s="381"/>
      <c r="NMI28" s="379"/>
      <c r="NMJ28" s="380"/>
      <c r="NMK28" s="380"/>
      <c r="NML28" s="380"/>
      <c r="NMM28" s="381"/>
      <c r="NMN28" s="381"/>
      <c r="NMO28" s="381"/>
      <c r="NMP28" s="381"/>
      <c r="NMQ28" s="381"/>
      <c r="NMR28" s="381"/>
      <c r="NMS28" s="381"/>
      <c r="NMT28" s="381"/>
      <c r="NMU28" s="381"/>
      <c r="NMV28" s="381"/>
      <c r="NMW28" s="381"/>
      <c r="NMX28" s="381"/>
      <c r="NMY28" s="381"/>
      <c r="NMZ28" s="381"/>
      <c r="NNA28" s="381"/>
      <c r="NNB28" s="381"/>
      <c r="NNC28" s="381"/>
      <c r="NND28" s="381"/>
      <c r="NNE28" s="381"/>
      <c r="NNF28" s="381"/>
      <c r="NNG28" s="381"/>
      <c r="NNH28" s="381"/>
      <c r="NNI28" s="381"/>
      <c r="NNJ28" s="381"/>
      <c r="NNK28" s="381"/>
      <c r="NNL28" s="381"/>
      <c r="NNM28" s="379"/>
      <c r="NNN28" s="380"/>
      <c r="NNO28" s="380"/>
      <c r="NNP28" s="380"/>
      <c r="NNQ28" s="381"/>
      <c r="NNR28" s="381"/>
      <c r="NNS28" s="381"/>
      <c r="NNT28" s="381"/>
      <c r="NNU28" s="381"/>
      <c r="NNV28" s="381"/>
      <c r="NNW28" s="381"/>
      <c r="NNX28" s="381"/>
      <c r="NNY28" s="381"/>
      <c r="NNZ28" s="381"/>
      <c r="NOA28" s="381"/>
      <c r="NOB28" s="381"/>
      <c r="NOC28" s="381"/>
      <c r="NOD28" s="381"/>
      <c r="NOE28" s="381"/>
      <c r="NOF28" s="381"/>
      <c r="NOG28" s="381"/>
      <c r="NOH28" s="381"/>
      <c r="NOI28" s="381"/>
      <c r="NOJ28" s="381"/>
      <c r="NOK28" s="381"/>
      <c r="NOL28" s="381"/>
      <c r="NOM28" s="381"/>
      <c r="NON28" s="381"/>
      <c r="NOO28" s="381"/>
      <c r="NOP28" s="381"/>
      <c r="NOQ28" s="379"/>
      <c r="NOR28" s="380"/>
      <c r="NOS28" s="380"/>
      <c r="NOT28" s="380"/>
      <c r="NOU28" s="381"/>
      <c r="NOV28" s="381"/>
      <c r="NOW28" s="381"/>
      <c r="NOX28" s="381"/>
      <c r="NOY28" s="381"/>
      <c r="NOZ28" s="381"/>
      <c r="NPA28" s="381"/>
      <c r="NPB28" s="381"/>
      <c r="NPC28" s="381"/>
      <c r="NPD28" s="381"/>
      <c r="NPE28" s="381"/>
      <c r="NPF28" s="381"/>
      <c r="NPG28" s="381"/>
      <c r="NPH28" s="381"/>
      <c r="NPI28" s="381"/>
      <c r="NPJ28" s="381"/>
      <c r="NPK28" s="381"/>
      <c r="NPL28" s="381"/>
      <c r="NPM28" s="381"/>
      <c r="NPN28" s="381"/>
      <c r="NPO28" s="381"/>
      <c r="NPP28" s="381"/>
      <c r="NPQ28" s="381"/>
      <c r="NPR28" s="381"/>
      <c r="NPS28" s="381"/>
      <c r="NPT28" s="381"/>
      <c r="NPU28" s="379"/>
      <c r="NPV28" s="380"/>
      <c r="NPW28" s="380"/>
      <c r="NPX28" s="380"/>
      <c r="NPY28" s="381"/>
      <c r="NPZ28" s="381"/>
      <c r="NQA28" s="381"/>
      <c r="NQB28" s="381"/>
      <c r="NQC28" s="381"/>
      <c r="NQD28" s="381"/>
      <c r="NQE28" s="381"/>
      <c r="NQF28" s="381"/>
      <c r="NQG28" s="381"/>
      <c r="NQH28" s="381"/>
      <c r="NQI28" s="381"/>
      <c r="NQJ28" s="381"/>
      <c r="NQK28" s="381"/>
      <c r="NQL28" s="381"/>
      <c r="NQM28" s="381"/>
      <c r="NQN28" s="381"/>
      <c r="NQO28" s="381"/>
      <c r="NQP28" s="381"/>
      <c r="NQQ28" s="381"/>
      <c r="NQR28" s="381"/>
      <c r="NQS28" s="381"/>
      <c r="NQT28" s="381"/>
      <c r="NQU28" s="381"/>
      <c r="NQV28" s="381"/>
      <c r="NQW28" s="381"/>
      <c r="NQX28" s="381"/>
      <c r="NQY28" s="379"/>
      <c r="NQZ28" s="380"/>
      <c r="NRA28" s="380"/>
      <c r="NRB28" s="380"/>
      <c r="NRC28" s="381"/>
      <c r="NRD28" s="381"/>
      <c r="NRE28" s="381"/>
      <c r="NRF28" s="381"/>
      <c r="NRG28" s="381"/>
      <c r="NRH28" s="381"/>
      <c r="NRI28" s="381"/>
      <c r="NRJ28" s="381"/>
      <c r="NRK28" s="381"/>
      <c r="NRL28" s="381"/>
      <c r="NRM28" s="381"/>
      <c r="NRN28" s="381"/>
      <c r="NRO28" s="381"/>
      <c r="NRP28" s="381"/>
      <c r="NRQ28" s="381"/>
      <c r="NRR28" s="381"/>
      <c r="NRS28" s="381"/>
      <c r="NRT28" s="381"/>
      <c r="NRU28" s="381"/>
      <c r="NRV28" s="381"/>
      <c r="NRW28" s="381"/>
      <c r="NRX28" s="381"/>
      <c r="NRY28" s="381"/>
      <c r="NRZ28" s="381"/>
      <c r="NSA28" s="381"/>
      <c r="NSB28" s="381"/>
      <c r="NSC28" s="379"/>
      <c r="NSD28" s="380"/>
      <c r="NSE28" s="380"/>
      <c r="NSF28" s="380"/>
      <c r="NSG28" s="381"/>
      <c r="NSH28" s="381"/>
      <c r="NSI28" s="381"/>
      <c r="NSJ28" s="381"/>
      <c r="NSK28" s="381"/>
      <c r="NSL28" s="381"/>
      <c r="NSM28" s="381"/>
      <c r="NSN28" s="381"/>
      <c r="NSO28" s="381"/>
      <c r="NSP28" s="381"/>
      <c r="NSQ28" s="381"/>
      <c r="NSR28" s="381"/>
      <c r="NSS28" s="381"/>
      <c r="NST28" s="381"/>
      <c r="NSU28" s="381"/>
      <c r="NSV28" s="381"/>
      <c r="NSW28" s="381"/>
      <c r="NSX28" s="381"/>
      <c r="NSY28" s="381"/>
      <c r="NSZ28" s="381"/>
      <c r="NTA28" s="381"/>
      <c r="NTB28" s="381"/>
      <c r="NTC28" s="381"/>
      <c r="NTD28" s="381"/>
      <c r="NTE28" s="381"/>
      <c r="NTF28" s="381"/>
      <c r="NTG28" s="379"/>
      <c r="NTH28" s="380"/>
      <c r="NTI28" s="380"/>
      <c r="NTJ28" s="380"/>
      <c r="NTK28" s="381"/>
      <c r="NTL28" s="381"/>
      <c r="NTM28" s="381"/>
      <c r="NTN28" s="381"/>
      <c r="NTO28" s="381"/>
      <c r="NTP28" s="381"/>
      <c r="NTQ28" s="381"/>
      <c r="NTR28" s="381"/>
      <c r="NTS28" s="381"/>
      <c r="NTT28" s="381"/>
      <c r="NTU28" s="381"/>
      <c r="NTV28" s="381"/>
      <c r="NTW28" s="381"/>
      <c r="NTX28" s="381"/>
      <c r="NTY28" s="381"/>
      <c r="NTZ28" s="381"/>
      <c r="NUA28" s="381"/>
      <c r="NUB28" s="381"/>
      <c r="NUC28" s="381"/>
      <c r="NUD28" s="381"/>
      <c r="NUE28" s="381"/>
      <c r="NUF28" s="381"/>
      <c r="NUG28" s="381"/>
      <c r="NUH28" s="381"/>
      <c r="NUI28" s="381"/>
      <c r="NUJ28" s="381"/>
      <c r="NUK28" s="379"/>
      <c r="NUL28" s="380"/>
      <c r="NUM28" s="380"/>
      <c r="NUN28" s="380"/>
      <c r="NUO28" s="381"/>
      <c r="NUP28" s="381"/>
      <c r="NUQ28" s="381"/>
      <c r="NUR28" s="381"/>
      <c r="NUS28" s="381"/>
      <c r="NUT28" s="381"/>
      <c r="NUU28" s="381"/>
      <c r="NUV28" s="381"/>
      <c r="NUW28" s="381"/>
      <c r="NUX28" s="381"/>
      <c r="NUY28" s="381"/>
      <c r="NUZ28" s="381"/>
      <c r="NVA28" s="381"/>
      <c r="NVB28" s="381"/>
      <c r="NVC28" s="381"/>
      <c r="NVD28" s="381"/>
      <c r="NVE28" s="381"/>
      <c r="NVF28" s="381"/>
      <c r="NVG28" s="381"/>
      <c r="NVH28" s="381"/>
      <c r="NVI28" s="381"/>
      <c r="NVJ28" s="381"/>
      <c r="NVK28" s="381"/>
      <c r="NVL28" s="381"/>
      <c r="NVM28" s="381"/>
      <c r="NVN28" s="381"/>
      <c r="NVO28" s="379"/>
      <c r="NVP28" s="380"/>
      <c r="NVQ28" s="380"/>
      <c r="NVR28" s="380"/>
      <c r="NVS28" s="381"/>
      <c r="NVT28" s="381"/>
      <c r="NVU28" s="381"/>
      <c r="NVV28" s="381"/>
      <c r="NVW28" s="381"/>
      <c r="NVX28" s="381"/>
      <c r="NVY28" s="381"/>
      <c r="NVZ28" s="381"/>
      <c r="NWA28" s="381"/>
      <c r="NWB28" s="381"/>
      <c r="NWC28" s="381"/>
      <c r="NWD28" s="381"/>
      <c r="NWE28" s="381"/>
      <c r="NWF28" s="381"/>
      <c r="NWG28" s="381"/>
      <c r="NWH28" s="381"/>
      <c r="NWI28" s="381"/>
      <c r="NWJ28" s="381"/>
      <c r="NWK28" s="381"/>
      <c r="NWL28" s="381"/>
      <c r="NWM28" s="381"/>
      <c r="NWN28" s="381"/>
      <c r="NWO28" s="381"/>
      <c r="NWP28" s="381"/>
      <c r="NWQ28" s="381"/>
      <c r="NWR28" s="381"/>
      <c r="NWS28" s="379"/>
      <c r="NWT28" s="380"/>
      <c r="NWU28" s="380"/>
      <c r="NWV28" s="380"/>
      <c r="NWW28" s="381"/>
      <c r="NWX28" s="381"/>
      <c r="NWY28" s="381"/>
      <c r="NWZ28" s="381"/>
      <c r="NXA28" s="381"/>
      <c r="NXB28" s="381"/>
      <c r="NXC28" s="381"/>
      <c r="NXD28" s="381"/>
      <c r="NXE28" s="381"/>
      <c r="NXF28" s="381"/>
      <c r="NXG28" s="381"/>
      <c r="NXH28" s="381"/>
      <c r="NXI28" s="381"/>
      <c r="NXJ28" s="381"/>
      <c r="NXK28" s="381"/>
      <c r="NXL28" s="381"/>
      <c r="NXM28" s="381"/>
      <c r="NXN28" s="381"/>
      <c r="NXO28" s="381"/>
      <c r="NXP28" s="381"/>
      <c r="NXQ28" s="381"/>
      <c r="NXR28" s="381"/>
      <c r="NXS28" s="381"/>
      <c r="NXT28" s="381"/>
      <c r="NXU28" s="381"/>
      <c r="NXV28" s="381"/>
      <c r="NXW28" s="379"/>
      <c r="NXX28" s="380"/>
      <c r="NXY28" s="380"/>
      <c r="NXZ28" s="380"/>
      <c r="NYA28" s="381"/>
      <c r="NYB28" s="381"/>
      <c r="NYC28" s="381"/>
      <c r="NYD28" s="381"/>
      <c r="NYE28" s="381"/>
      <c r="NYF28" s="381"/>
      <c r="NYG28" s="381"/>
      <c r="NYH28" s="381"/>
      <c r="NYI28" s="381"/>
      <c r="NYJ28" s="381"/>
      <c r="NYK28" s="381"/>
      <c r="NYL28" s="381"/>
      <c r="NYM28" s="381"/>
      <c r="NYN28" s="381"/>
      <c r="NYO28" s="381"/>
      <c r="NYP28" s="381"/>
      <c r="NYQ28" s="381"/>
      <c r="NYR28" s="381"/>
      <c r="NYS28" s="381"/>
      <c r="NYT28" s="381"/>
      <c r="NYU28" s="381"/>
      <c r="NYV28" s="381"/>
      <c r="NYW28" s="381"/>
      <c r="NYX28" s="381"/>
      <c r="NYY28" s="381"/>
      <c r="NYZ28" s="381"/>
      <c r="NZA28" s="379"/>
      <c r="NZB28" s="380"/>
      <c r="NZC28" s="380"/>
      <c r="NZD28" s="380"/>
      <c r="NZE28" s="381"/>
      <c r="NZF28" s="381"/>
      <c r="NZG28" s="381"/>
      <c r="NZH28" s="381"/>
      <c r="NZI28" s="381"/>
      <c r="NZJ28" s="381"/>
      <c r="NZK28" s="381"/>
      <c r="NZL28" s="381"/>
      <c r="NZM28" s="381"/>
      <c r="NZN28" s="381"/>
      <c r="NZO28" s="381"/>
      <c r="NZP28" s="381"/>
      <c r="NZQ28" s="381"/>
      <c r="NZR28" s="381"/>
      <c r="NZS28" s="381"/>
      <c r="NZT28" s="381"/>
      <c r="NZU28" s="381"/>
      <c r="NZV28" s="381"/>
      <c r="NZW28" s="381"/>
      <c r="NZX28" s="381"/>
      <c r="NZY28" s="381"/>
      <c r="NZZ28" s="381"/>
      <c r="OAA28" s="381"/>
      <c r="OAB28" s="381"/>
      <c r="OAC28" s="381"/>
      <c r="OAD28" s="381"/>
      <c r="OAE28" s="379"/>
      <c r="OAF28" s="380"/>
      <c r="OAG28" s="380"/>
      <c r="OAH28" s="380"/>
      <c r="OAI28" s="381"/>
      <c r="OAJ28" s="381"/>
      <c r="OAK28" s="381"/>
      <c r="OAL28" s="381"/>
      <c r="OAM28" s="381"/>
      <c r="OAN28" s="381"/>
      <c r="OAO28" s="381"/>
      <c r="OAP28" s="381"/>
      <c r="OAQ28" s="381"/>
      <c r="OAR28" s="381"/>
      <c r="OAS28" s="381"/>
      <c r="OAT28" s="381"/>
      <c r="OAU28" s="381"/>
      <c r="OAV28" s="381"/>
      <c r="OAW28" s="381"/>
      <c r="OAX28" s="381"/>
      <c r="OAY28" s="381"/>
      <c r="OAZ28" s="381"/>
      <c r="OBA28" s="381"/>
      <c r="OBB28" s="381"/>
      <c r="OBC28" s="381"/>
      <c r="OBD28" s="381"/>
      <c r="OBE28" s="381"/>
      <c r="OBF28" s="381"/>
      <c r="OBG28" s="381"/>
      <c r="OBH28" s="381"/>
      <c r="OBI28" s="379"/>
      <c r="OBJ28" s="380"/>
      <c r="OBK28" s="380"/>
      <c r="OBL28" s="380"/>
      <c r="OBM28" s="381"/>
      <c r="OBN28" s="381"/>
      <c r="OBO28" s="381"/>
      <c r="OBP28" s="381"/>
      <c r="OBQ28" s="381"/>
      <c r="OBR28" s="381"/>
      <c r="OBS28" s="381"/>
      <c r="OBT28" s="381"/>
      <c r="OBU28" s="381"/>
      <c r="OBV28" s="381"/>
      <c r="OBW28" s="381"/>
      <c r="OBX28" s="381"/>
      <c r="OBY28" s="381"/>
      <c r="OBZ28" s="381"/>
      <c r="OCA28" s="381"/>
      <c r="OCB28" s="381"/>
      <c r="OCC28" s="381"/>
      <c r="OCD28" s="381"/>
      <c r="OCE28" s="381"/>
      <c r="OCF28" s="381"/>
      <c r="OCG28" s="381"/>
      <c r="OCH28" s="381"/>
      <c r="OCI28" s="381"/>
      <c r="OCJ28" s="381"/>
      <c r="OCK28" s="381"/>
      <c r="OCL28" s="381"/>
      <c r="OCM28" s="379"/>
      <c r="OCN28" s="380"/>
      <c r="OCO28" s="380"/>
      <c r="OCP28" s="380"/>
      <c r="OCQ28" s="381"/>
      <c r="OCR28" s="381"/>
      <c r="OCS28" s="381"/>
      <c r="OCT28" s="381"/>
      <c r="OCU28" s="381"/>
      <c r="OCV28" s="381"/>
      <c r="OCW28" s="381"/>
      <c r="OCX28" s="381"/>
      <c r="OCY28" s="381"/>
      <c r="OCZ28" s="381"/>
      <c r="ODA28" s="381"/>
      <c r="ODB28" s="381"/>
      <c r="ODC28" s="381"/>
      <c r="ODD28" s="381"/>
      <c r="ODE28" s="381"/>
      <c r="ODF28" s="381"/>
      <c r="ODG28" s="381"/>
      <c r="ODH28" s="381"/>
      <c r="ODI28" s="381"/>
      <c r="ODJ28" s="381"/>
      <c r="ODK28" s="381"/>
      <c r="ODL28" s="381"/>
      <c r="ODM28" s="381"/>
      <c r="ODN28" s="381"/>
      <c r="ODO28" s="381"/>
      <c r="ODP28" s="381"/>
      <c r="ODQ28" s="379"/>
      <c r="ODR28" s="380"/>
      <c r="ODS28" s="380"/>
      <c r="ODT28" s="380"/>
      <c r="ODU28" s="381"/>
      <c r="ODV28" s="381"/>
      <c r="ODW28" s="381"/>
      <c r="ODX28" s="381"/>
      <c r="ODY28" s="381"/>
      <c r="ODZ28" s="381"/>
      <c r="OEA28" s="381"/>
      <c r="OEB28" s="381"/>
      <c r="OEC28" s="381"/>
      <c r="OED28" s="381"/>
      <c r="OEE28" s="381"/>
      <c r="OEF28" s="381"/>
      <c r="OEG28" s="381"/>
      <c r="OEH28" s="381"/>
      <c r="OEI28" s="381"/>
      <c r="OEJ28" s="381"/>
      <c r="OEK28" s="381"/>
      <c r="OEL28" s="381"/>
      <c r="OEM28" s="381"/>
      <c r="OEN28" s="381"/>
      <c r="OEO28" s="381"/>
      <c r="OEP28" s="381"/>
      <c r="OEQ28" s="381"/>
      <c r="OER28" s="381"/>
      <c r="OES28" s="381"/>
      <c r="OET28" s="381"/>
      <c r="OEU28" s="379"/>
      <c r="OEV28" s="380"/>
      <c r="OEW28" s="380"/>
      <c r="OEX28" s="380"/>
      <c r="OEY28" s="381"/>
      <c r="OEZ28" s="381"/>
      <c r="OFA28" s="381"/>
      <c r="OFB28" s="381"/>
      <c r="OFC28" s="381"/>
      <c r="OFD28" s="381"/>
      <c r="OFE28" s="381"/>
      <c r="OFF28" s="381"/>
      <c r="OFG28" s="381"/>
      <c r="OFH28" s="381"/>
      <c r="OFI28" s="381"/>
      <c r="OFJ28" s="381"/>
      <c r="OFK28" s="381"/>
      <c r="OFL28" s="381"/>
      <c r="OFM28" s="381"/>
      <c r="OFN28" s="381"/>
      <c r="OFO28" s="381"/>
      <c r="OFP28" s="381"/>
      <c r="OFQ28" s="381"/>
      <c r="OFR28" s="381"/>
      <c r="OFS28" s="381"/>
      <c r="OFT28" s="381"/>
      <c r="OFU28" s="381"/>
      <c r="OFV28" s="381"/>
      <c r="OFW28" s="381"/>
      <c r="OFX28" s="381"/>
      <c r="OFY28" s="379"/>
      <c r="OFZ28" s="380"/>
      <c r="OGA28" s="380"/>
      <c r="OGB28" s="380"/>
      <c r="OGC28" s="381"/>
      <c r="OGD28" s="381"/>
      <c r="OGE28" s="381"/>
      <c r="OGF28" s="381"/>
      <c r="OGG28" s="381"/>
      <c r="OGH28" s="381"/>
      <c r="OGI28" s="381"/>
      <c r="OGJ28" s="381"/>
      <c r="OGK28" s="381"/>
      <c r="OGL28" s="381"/>
      <c r="OGM28" s="381"/>
      <c r="OGN28" s="381"/>
      <c r="OGO28" s="381"/>
      <c r="OGP28" s="381"/>
      <c r="OGQ28" s="381"/>
      <c r="OGR28" s="381"/>
      <c r="OGS28" s="381"/>
      <c r="OGT28" s="381"/>
      <c r="OGU28" s="381"/>
      <c r="OGV28" s="381"/>
      <c r="OGW28" s="381"/>
      <c r="OGX28" s="381"/>
      <c r="OGY28" s="381"/>
      <c r="OGZ28" s="381"/>
      <c r="OHA28" s="381"/>
      <c r="OHB28" s="381"/>
      <c r="OHC28" s="379"/>
      <c r="OHD28" s="380"/>
      <c r="OHE28" s="380"/>
      <c r="OHF28" s="380"/>
      <c r="OHG28" s="381"/>
      <c r="OHH28" s="381"/>
      <c r="OHI28" s="381"/>
      <c r="OHJ28" s="381"/>
      <c r="OHK28" s="381"/>
      <c r="OHL28" s="381"/>
      <c r="OHM28" s="381"/>
      <c r="OHN28" s="381"/>
      <c r="OHO28" s="381"/>
      <c r="OHP28" s="381"/>
      <c r="OHQ28" s="381"/>
      <c r="OHR28" s="381"/>
      <c r="OHS28" s="381"/>
      <c r="OHT28" s="381"/>
      <c r="OHU28" s="381"/>
      <c r="OHV28" s="381"/>
      <c r="OHW28" s="381"/>
      <c r="OHX28" s="381"/>
      <c r="OHY28" s="381"/>
      <c r="OHZ28" s="381"/>
      <c r="OIA28" s="381"/>
      <c r="OIB28" s="381"/>
      <c r="OIC28" s="381"/>
      <c r="OID28" s="381"/>
      <c r="OIE28" s="381"/>
      <c r="OIF28" s="381"/>
      <c r="OIG28" s="379"/>
      <c r="OIH28" s="380"/>
      <c r="OII28" s="380"/>
      <c r="OIJ28" s="380"/>
      <c r="OIK28" s="381"/>
      <c r="OIL28" s="381"/>
      <c r="OIM28" s="381"/>
      <c r="OIN28" s="381"/>
      <c r="OIO28" s="381"/>
      <c r="OIP28" s="381"/>
      <c r="OIQ28" s="381"/>
      <c r="OIR28" s="381"/>
      <c r="OIS28" s="381"/>
      <c r="OIT28" s="381"/>
      <c r="OIU28" s="381"/>
      <c r="OIV28" s="381"/>
      <c r="OIW28" s="381"/>
      <c r="OIX28" s="381"/>
      <c r="OIY28" s="381"/>
      <c r="OIZ28" s="381"/>
      <c r="OJA28" s="381"/>
      <c r="OJB28" s="381"/>
      <c r="OJC28" s="381"/>
      <c r="OJD28" s="381"/>
      <c r="OJE28" s="381"/>
      <c r="OJF28" s="381"/>
      <c r="OJG28" s="381"/>
      <c r="OJH28" s="381"/>
      <c r="OJI28" s="381"/>
      <c r="OJJ28" s="381"/>
      <c r="OJK28" s="379"/>
      <c r="OJL28" s="380"/>
      <c r="OJM28" s="380"/>
      <c r="OJN28" s="380"/>
      <c r="OJO28" s="381"/>
      <c r="OJP28" s="381"/>
      <c r="OJQ28" s="381"/>
      <c r="OJR28" s="381"/>
      <c r="OJS28" s="381"/>
      <c r="OJT28" s="381"/>
      <c r="OJU28" s="381"/>
      <c r="OJV28" s="381"/>
      <c r="OJW28" s="381"/>
      <c r="OJX28" s="381"/>
      <c r="OJY28" s="381"/>
      <c r="OJZ28" s="381"/>
      <c r="OKA28" s="381"/>
      <c r="OKB28" s="381"/>
      <c r="OKC28" s="381"/>
      <c r="OKD28" s="381"/>
      <c r="OKE28" s="381"/>
      <c r="OKF28" s="381"/>
      <c r="OKG28" s="381"/>
      <c r="OKH28" s="381"/>
      <c r="OKI28" s="381"/>
      <c r="OKJ28" s="381"/>
      <c r="OKK28" s="381"/>
      <c r="OKL28" s="381"/>
      <c r="OKM28" s="381"/>
      <c r="OKN28" s="381"/>
      <c r="OKO28" s="379"/>
      <c r="OKP28" s="380"/>
      <c r="OKQ28" s="380"/>
      <c r="OKR28" s="380"/>
      <c r="OKS28" s="381"/>
      <c r="OKT28" s="381"/>
      <c r="OKU28" s="381"/>
      <c r="OKV28" s="381"/>
      <c r="OKW28" s="381"/>
      <c r="OKX28" s="381"/>
      <c r="OKY28" s="381"/>
      <c r="OKZ28" s="381"/>
      <c r="OLA28" s="381"/>
      <c r="OLB28" s="381"/>
      <c r="OLC28" s="381"/>
      <c r="OLD28" s="381"/>
      <c r="OLE28" s="381"/>
      <c r="OLF28" s="381"/>
      <c r="OLG28" s="381"/>
      <c r="OLH28" s="381"/>
      <c r="OLI28" s="381"/>
      <c r="OLJ28" s="381"/>
      <c r="OLK28" s="381"/>
      <c r="OLL28" s="381"/>
      <c r="OLM28" s="381"/>
      <c r="OLN28" s="381"/>
      <c r="OLO28" s="381"/>
      <c r="OLP28" s="381"/>
      <c r="OLQ28" s="381"/>
      <c r="OLR28" s="381"/>
      <c r="OLS28" s="379"/>
      <c r="OLT28" s="380"/>
      <c r="OLU28" s="380"/>
      <c r="OLV28" s="380"/>
      <c r="OLW28" s="381"/>
      <c r="OLX28" s="381"/>
      <c r="OLY28" s="381"/>
      <c r="OLZ28" s="381"/>
      <c r="OMA28" s="381"/>
      <c r="OMB28" s="381"/>
      <c r="OMC28" s="381"/>
      <c r="OMD28" s="381"/>
      <c r="OME28" s="381"/>
      <c r="OMF28" s="381"/>
      <c r="OMG28" s="381"/>
      <c r="OMH28" s="381"/>
      <c r="OMI28" s="381"/>
      <c r="OMJ28" s="381"/>
      <c r="OMK28" s="381"/>
      <c r="OML28" s="381"/>
      <c r="OMM28" s="381"/>
      <c r="OMN28" s="381"/>
      <c r="OMO28" s="381"/>
      <c r="OMP28" s="381"/>
      <c r="OMQ28" s="381"/>
      <c r="OMR28" s="381"/>
      <c r="OMS28" s="381"/>
      <c r="OMT28" s="381"/>
      <c r="OMU28" s="381"/>
      <c r="OMV28" s="381"/>
      <c r="OMW28" s="379"/>
      <c r="OMX28" s="380"/>
      <c r="OMY28" s="380"/>
      <c r="OMZ28" s="380"/>
      <c r="ONA28" s="381"/>
      <c r="ONB28" s="381"/>
      <c r="ONC28" s="381"/>
      <c r="OND28" s="381"/>
      <c r="ONE28" s="381"/>
      <c r="ONF28" s="381"/>
      <c r="ONG28" s="381"/>
      <c r="ONH28" s="381"/>
      <c r="ONI28" s="381"/>
      <c r="ONJ28" s="381"/>
      <c r="ONK28" s="381"/>
      <c r="ONL28" s="381"/>
      <c r="ONM28" s="381"/>
      <c r="ONN28" s="381"/>
      <c r="ONO28" s="381"/>
      <c r="ONP28" s="381"/>
      <c r="ONQ28" s="381"/>
      <c r="ONR28" s="381"/>
      <c r="ONS28" s="381"/>
      <c r="ONT28" s="381"/>
      <c r="ONU28" s="381"/>
      <c r="ONV28" s="381"/>
      <c r="ONW28" s="381"/>
      <c r="ONX28" s="381"/>
      <c r="ONY28" s="381"/>
      <c r="ONZ28" s="381"/>
      <c r="OOA28" s="379"/>
      <c r="OOB28" s="380"/>
      <c r="OOC28" s="380"/>
      <c r="OOD28" s="380"/>
      <c r="OOE28" s="381"/>
      <c r="OOF28" s="381"/>
      <c r="OOG28" s="381"/>
      <c r="OOH28" s="381"/>
      <c r="OOI28" s="381"/>
      <c r="OOJ28" s="381"/>
      <c r="OOK28" s="381"/>
      <c r="OOL28" s="381"/>
      <c r="OOM28" s="381"/>
      <c r="OON28" s="381"/>
      <c r="OOO28" s="381"/>
      <c r="OOP28" s="381"/>
      <c r="OOQ28" s="381"/>
      <c r="OOR28" s="381"/>
      <c r="OOS28" s="381"/>
      <c r="OOT28" s="381"/>
      <c r="OOU28" s="381"/>
      <c r="OOV28" s="381"/>
      <c r="OOW28" s="381"/>
      <c r="OOX28" s="381"/>
      <c r="OOY28" s="381"/>
      <c r="OOZ28" s="381"/>
      <c r="OPA28" s="381"/>
      <c r="OPB28" s="381"/>
      <c r="OPC28" s="381"/>
      <c r="OPD28" s="381"/>
      <c r="OPE28" s="379"/>
      <c r="OPF28" s="380"/>
      <c r="OPG28" s="380"/>
      <c r="OPH28" s="380"/>
      <c r="OPI28" s="381"/>
      <c r="OPJ28" s="381"/>
      <c r="OPK28" s="381"/>
      <c r="OPL28" s="381"/>
      <c r="OPM28" s="381"/>
      <c r="OPN28" s="381"/>
      <c r="OPO28" s="381"/>
      <c r="OPP28" s="381"/>
      <c r="OPQ28" s="381"/>
      <c r="OPR28" s="381"/>
      <c r="OPS28" s="381"/>
      <c r="OPT28" s="381"/>
      <c r="OPU28" s="381"/>
      <c r="OPV28" s="381"/>
      <c r="OPW28" s="381"/>
      <c r="OPX28" s="381"/>
      <c r="OPY28" s="381"/>
      <c r="OPZ28" s="381"/>
      <c r="OQA28" s="381"/>
      <c r="OQB28" s="381"/>
      <c r="OQC28" s="381"/>
      <c r="OQD28" s="381"/>
      <c r="OQE28" s="381"/>
      <c r="OQF28" s="381"/>
      <c r="OQG28" s="381"/>
      <c r="OQH28" s="381"/>
      <c r="OQI28" s="379"/>
      <c r="OQJ28" s="380"/>
      <c r="OQK28" s="380"/>
      <c r="OQL28" s="380"/>
      <c r="OQM28" s="381"/>
      <c r="OQN28" s="381"/>
      <c r="OQO28" s="381"/>
      <c r="OQP28" s="381"/>
      <c r="OQQ28" s="381"/>
      <c r="OQR28" s="381"/>
      <c r="OQS28" s="381"/>
      <c r="OQT28" s="381"/>
      <c r="OQU28" s="381"/>
      <c r="OQV28" s="381"/>
      <c r="OQW28" s="381"/>
      <c r="OQX28" s="381"/>
      <c r="OQY28" s="381"/>
      <c r="OQZ28" s="381"/>
      <c r="ORA28" s="381"/>
      <c r="ORB28" s="381"/>
      <c r="ORC28" s="381"/>
      <c r="ORD28" s="381"/>
      <c r="ORE28" s="381"/>
      <c r="ORF28" s="381"/>
      <c r="ORG28" s="381"/>
      <c r="ORH28" s="381"/>
      <c r="ORI28" s="381"/>
      <c r="ORJ28" s="381"/>
      <c r="ORK28" s="381"/>
      <c r="ORL28" s="381"/>
      <c r="ORM28" s="379"/>
      <c r="ORN28" s="380"/>
      <c r="ORO28" s="380"/>
      <c r="ORP28" s="380"/>
      <c r="ORQ28" s="381"/>
      <c r="ORR28" s="381"/>
      <c r="ORS28" s="381"/>
      <c r="ORT28" s="381"/>
      <c r="ORU28" s="381"/>
      <c r="ORV28" s="381"/>
      <c r="ORW28" s="381"/>
      <c r="ORX28" s="381"/>
      <c r="ORY28" s="381"/>
      <c r="ORZ28" s="381"/>
      <c r="OSA28" s="381"/>
      <c r="OSB28" s="381"/>
      <c r="OSC28" s="381"/>
      <c r="OSD28" s="381"/>
      <c r="OSE28" s="381"/>
      <c r="OSF28" s="381"/>
      <c r="OSG28" s="381"/>
      <c r="OSH28" s="381"/>
      <c r="OSI28" s="381"/>
      <c r="OSJ28" s="381"/>
      <c r="OSK28" s="381"/>
      <c r="OSL28" s="381"/>
      <c r="OSM28" s="381"/>
      <c r="OSN28" s="381"/>
      <c r="OSO28" s="381"/>
      <c r="OSP28" s="381"/>
      <c r="OSQ28" s="379"/>
      <c r="OSR28" s="380"/>
      <c r="OSS28" s="380"/>
      <c r="OST28" s="380"/>
      <c r="OSU28" s="381"/>
      <c r="OSV28" s="381"/>
      <c r="OSW28" s="381"/>
      <c r="OSX28" s="381"/>
      <c r="OSY28" s="381"/>
      <c r="OSZ28" s="381"/>
      <c r="OTA28" s="381"/>
      <c r="OTB28" s="381"/>
      <c r="OTC28" s="381"/>
      <c r="OTD28" s="381"/>
      <c r="OTE28" s="381"/>
      <c r="OTF28" s="381"/>
      <c r="OTG28" s="381"/>
      <c r="OTH28" s="381"/>
      <c r="OTI28" s="381"/>
      <c r="OTJ28" s="381"/>
      <c r="OTK28" s="381"/>
      <c r="OTL28" s="381"/>
      <c r="OTM28" s="381"/>
      <c r="OTN28" s="381"/>
      <c r="OTO28" s="381"/>
      <c r="OTP28" s="381"/>
      <c r="OTQ28" s="381"/>
      <c r="OTR28" s="381"/>
      <c r="OTS28" s="381"/>
      <c r="OTT28" s="381"/>
      <c r="OTU28" s="379"/>
      <c r="OTV28" s="380"/>
      <c r="OTW28" s="380"/>
      <c r="OTX28" s="380"/>
      <c r="OTY28" s="381"/>
      <c r="OTZ28" s="381"/>
      <c r="OUA28" s="381"/>
      <c r="OUB28" s="381"/>
      <c r="OUC28" s="381"/>
      <c r="OUD28" s="381"/>
      <c r="OUE28" s="381"/>
      <c r="OUF28" s="381"/>
      <c r="OUG28" s="381"/>
      <c r="OUH28" s="381"/>
      <c r="OUI28" s="381"/>
      <c r="OUJ28" s="381"/>
      <c r="OUK28" s="381"/>
      <c r="OUL28" s="381"/>
      <c r="OUM28" s="381"/>
      <c r="OUN28" s="381"/>
      <c r="OUO28" s="381"/>
      <c r="OUP28" s="381"/>
      <c r="OUQ28" s="381"/>
      <c r="OUR28" s="381"/>
      <c r="OUS28" s="381"/>
      <c r="OUT28" s="381"/>
      <c r="OUU28" s="381"/>
      <c r="OUV28" s="381"/>
      <c r="OUW28" s="381"/>
      <c r="OUX28" s="381"/>
      <c r="OUY28" s="379"/>
      <c r="OUZ28" s="380"/>
      <c r="OVA28" s="380"/>
      <c r="OVB28" s="380"/>
      <c r="OVC28" s="381"/>
      <c r="OVD28" s="381"/>
      <c r="OVE28" s="381"/>
      <c r="OVF28" s="381"/>
      <c r="OVG28" s="381"/>
      <c r="OVH28" s="381"/>
      <c r="OVI28" s="381"/>
      <c r="OVJ28" s="381"/>
      <c r="OVK28" s="381"/>
      <c r="OVL28" s="381"/>
      <c r="OVM28" s="381"/>
      <c r="OVN28" s="381"/>
      <c r="OVO28" s="381"/>
      <c r="OVP28" s="381"/>
      <c r="OVQ28" s="381"/>
      <c r="OVR28" s="381"/>
      <c r="OVS28" s="381"/>
      <c r="OVT28" s="381"/>
      <c r="OVU28" s="381"/>
      <c r="OVV28" s="381"/>
      <c r="OVW28" s="381"/>
      <c r="OVX28" s="381"/>
      <c r="OVY28" s="381"/>
      <c r="OVZ28" s="381"/>
      <c r="OWA28" s="381"/>
      <c r="OWB28" s="381"/>
      <c r="OWC28" s="379"/>
      <c r="OWD28" s="380"/>
      <c r="OWE28" s="380"/>
      <c r="OWF28" s="380"/>
      <c r="OWG28" s="381"/>
      <c r="OWH28" s="381"/>
      <c r="OWI28" s="381"/>
      <c r="OWJ28" s="381"/>
      <c r="OWK28" s="381"/>
      <c r="OWL28" s="381"/>
      <c r="OWM28" s="381"/>
      <c r="OWN28" s="381"/>
      <c r="OWO28" s="381"/>
      <c r="OWP28" s="381"/>
      <c r="OWQ28" s="381"/>
      <c r="OWR28" s="381"/>
      <c r="OWS28" s="381"/>
      <c r="OWT28" s="381"/>
      <c r="OWU28" s="381"/>
      <c r="OWV28" s="381"/>
      <c r="OWW28" s="381"/>
      <c r="OWX28" s="381"/>
      <c r="OWY28" s="381"/>
      <c r="OWZ28" s="381"/>
      <c r="OXA28" s="381"/>
      <c r="OXB28" s="381"/>
      <c r="OXC28" s="381"/>
      <c r="OXD28" s="381"/>
      <c r="OXE28" s="381"/>
      <c r="OXF28" s="381"/>
      <c r="OXG28" s="379"/>
      <c r="OXH28" s="380"/>
      <c r="OXI28" s="380"/>
      <c r="OXJ28" s="380"/>
      <c r="OXK28" s="381"/>
      <c r="OXL28" s="381"/>
      <c r="OXM28" s="381"/>
      <c r="OXN28" s="381"/>
      <c r="OXO28" s="381"/>
      <c r="OXP28" s="381"/>
      <c r="OXQ28" s="381"/>
      <c r="OXR28" s="381"/>
      <c r="OXS28" s="381"/>
      <c r="OXT28" s="381"/>
      <c r="OXU28" s="381"/>
      <c r="OXV28" s="381"/>
      <c r="OXW28" s="381"/>
      <c r="OXX28" s="381"/>
      <c r="OXY28" s="381"/>
      <c r="OXZ28" s="381"/>
      <c r="OYA28" s="381"/>
      <c r="OYB28" s="381"/>
      <c r="OYC28" s="381"/>
      <c r="OYD28" s="381"/>
      <c r="OYE28" s="381"/>
      <c r="OYF28" s="381"/>
      <c r="OYG28" s="381"/>
      <c r="OYH28" s="381"/>
      <c r="OYI28" s="381"/>
      <c r="OYJ28" s="381"/>
      <c r="OYK28" s="379"/>
      <c r="OYL28" s="380"/>
      <c r="OYM28" s="380"/>
      <c r="OYN28" s="380"/>
      <c r="OYO28" s="381"/>
      <c r="OYP28" s="381"/>
      <c r="OYQ28" s="381"/>
      <c r="OYR28" s="381"/>
      <c r="OYS28" s="381"/>
      <c r="OYT28" s="381"/>
      <c r="OYU28" s="381"/>
      <c r="OYV28" s="381"/>
      <c r="OYW28" s="381"/>
      <c r="OYX28" s="381"/>
      <c r="OYY28" s="381"/>
      <c r="OYZ28" s="381"/>
      <c r="OZA28" s="381"/>
      <c r="OZB28" s="381"/>
      <c r="OZC28" s="381"/>
      <c r="OZD28" s="381"/>
      <c r="OZE28" s="381"/>
      <c r="OZF28" s="381"/>
      <c r="OZG28" s="381"/>
      <c r="OZH28" s="381"/>
      <c r="OZI28" s="381"/>
      <c r="OZJ28" s="381"/>
      <c r="OZK28" s="381"/>
      <c r="OZL28" s="381"/>
      <c r="OZM28" s="381"/>
      <c r="OZN28" s="381"/>
      <c r="OZO28" s="379"/>
      <c r="OZP28" s="380"/>
      <c r="OZQ28" s="380"/>
      <c r="OZR28" s="380"/>
      <c r="OZS28" s="381"/>
      <c r="OZT28" s="381"/>
      <c r="OZU28" s="381"/>
      <c r="OZV28" s="381"/>
      <c r="OZW28" s="381"/>
      <c r="OZX28" s="381"/>
      <c r="OZY28" s="381"/>
      <c r="OZZ28" s="381"/>
      <c r="PAA28" s="381"/>
      <c r="PAB28" s="381"/>
      <c r="PAC28" s="381"/>
      <c r="PAD28" s="381"/>
      <c r="PAE28" s="381"/>
      <c r="PAF28" s="381"/>
      <c r="PAG28" s="381"/>
      <c r="PAH28" s="381"/>
      <c r="PAI28" s="381"/>
      <c r="PAJ28" s="381"/>
      <c r="PAK28" s="381"/>
      <c r="PAL28" s="381"/>
      <c r="PAM28" s="381"/>
      <c r="PAN28" s="381"/>
      <c r="PAO28" s="381"/>
      <c r="PAP28" s="381"/>
      <c r="PAQ28" s="381"/>
      <c r="PAR28" s="381"/>
      <c r="PAS28" s="379"/>
      <c r="PAT28" s="380"/>
      <c r="PAU28" s="380"/>
      <c r="PAV28" s="380"/>
      <c r="PAW28" s="381"/>
      <c r="PAX28" s="381"/>
      <c r="PAY28" s="381"/>
      <c r="PAZ28" s="381"/>
      <c r="PBA28" s="381"/>
      <c r="PBB28" s="381"/>
      <c r="PBC28" s="381"/>
      <c r="PBD28" s="381"/>
      <c r="PBE28" s="381"/>
      <c r="PBF28" s="381"/>
      <c r="PBG28" s="381"/>
      <c r="PBH28" s="381"/>
      <c r="PBI28" s="381"/>
      <c r="PBJ28" s="381"/>
      <c r="PBK28" s="381"/>
      <c r="PBL28" s="381"/>
      <c r="PBM28" s="381"/>
      <c r="PBN28" s="381"/>
      <c r="PBO28" s="381"/>
      <c r="PBP28" s="381"/>
      <c r="PBQ28" s="381"/>
      <c r="PBR28" s="381"/>
      <c r="PBS28" s="381"/>
      <c r="PBT28" s="381"/>
      <c r="PBU28" s="381"/>
      <c r="PBV28" s="381"/>
      <c r="PBW28" s="379"/>
      <c r="PBX28" s="380"/>
      <c r="PBY28" s="380"/>
      <c r="PBZ28" s="380"/>
      <c r="PCA28" s="381"/>
      <c r="PCB28" s="381"/>
      <c r="PCC28" s="381"/>
      <c r="PCD28" s="381"/>
      <c r="PCE28" s="381"/>
      <c r="PCF28" s="381"/>
      <c r="PCG28" s="381"/>
      <c r="PCH28" s="381"/>
      <c r="PCI28" s="381"/>
      <c r="PCJ28" s="381"/>
      <c r="PCK28" s="381"/>
      <c r="PCL28" s="381"/>
      <c r="PCM28" s="381"/>
      <c r="PCN28" s="381"/>
      <c r="PCO28" s="381"/>
      <c r="PCP28" s="381"/>
      <c r="PCQ28" s="381"/>
      <c r="PCR28" s="381"/>
      <c r="PCS28" s="381"/>
      <c r="PCT28" s="381"/>
      <c r="PCU28" s="381"/>
      <c r="PCV28" s="381"/>
      <c r="PCW28" s="381"/>
      <c r="PCX28" s="381"/>
      <c r="PCY28" s="381"/>
      <c r="PCZ28" s="381"/>
      <c r="PDA28" s="379"/>
      <c r="PDB28" s="380"/>
      <c r="PDC28" s="380"/>
      <c r="PDD28" s="380"/>
      <c r="PDE28" s="381"/>
      <c r="PDF28" s="381"/>
      <c r="PDG28" s="381"/>
      <c r="PDH28" s="381"/>
      <c r="PDI28" s="381"/>
      <c r="PDJ28" s="381"/>
      <c r="PDK28" s="381"/>
      <c r="PDL28" s="381"/>
      <c r="PDM28" s="381"/>
      <c r="PDN28" s="381"/>
      <c r="PDO28" s="381"/>
      <c r="PDP28" s="381"/>
      <c r="PDQ28" s="381"/>
      <c r="PDR28" s="381"/>
      <c r="PDS28" s="381"/>
      <c r="PDT28" s="381"/>
      <c r="PDU28" s="381"/>
      <c r="PDV28" s="381"/>
      <c r="PDW28" s="381"/>
      <c r="PDX28" s="381"/>
      <c r="PDY28" s="381"/>
      <c r="PDZ28" s="381"/>
      <c r="PEA28" s="381"/>
      <c r="PEB28" s="381"/>
      <c r="PEC28" s="381"/>
      <c r="PED28" s="381"/>
      <c r="PEE28" s="379"/>
      <c r="PEF28" s="380"/>
      <c r="PEG28" s="380"/>
      <c r="PEH28" s="380"/>
      <c r="PEI28" s="381"/>
      <c r="PEJ28" s="381"/>
      <c r="PEK28" s="381"/>
      <c r="PEL28" s="381"/>
      <c r="PEM28" s="381"/>
      <c r="PEN28" s="381"/>
      <c r="PEO28" s="381"/>
      <c r="PEP28" s="381"/>
      <c r="PEQ28" s="381"/>
      <c r="PER28" s="381"/>
      <c r="PES28" s="381"/>
      <c r="PET28" s="381"/>
      <c r="PEU28" s="381"/>
      <c r="PEV28" s="381"/>
      <c r="PEW28" s="381"/>
      <c r="PEX28" s="381"/>
      <c r="PEY28" s="381"/>
      <c r="PEZ28" s="381"/>
      <c r="PFA28" s="381"/>
      <c r="PFB28" s="381"/>
      <c r="PFC28" s="381"/>
      <c r="PFD28" s="381"/>
      <c r="PFE28" s="381"/>
      <c r="PFF28" s="381"/>
      <c r="PFG28" s="381"/>
      <c r="PFH28" s="381"/>
      <c r="PFI28" s="379"/>
      <c r="PFJ28" s="380"/>
      <c r="PFK28" s="380"/>
      <c r="PFL28" s="380"/>
      <c r="PFM28" s="381"/>
      <c r="PFN28" s="381"/>
      <c r="PFO28" s="381"/>
      <c r="PFP28" s="381"/>
      <c r="PFQ28" s="381"/>
      <c r="PFR28" s="381"/>
      <c r="PFS28" s="381"/>
      <c r="PFT28" s="381"/>
      <c r="PFU28" s="381"/>
      <c r="PFV28" s="381"/>
      <c r="PFW28" s="381"/>
      <c r="PFX28" s="381"/>
      <c r="PFY28" s="381"/>
      <c r="PFZ28" s="381"/>
      <c r="PGA28" s="381"/>
      <c r="PGB28" s="381"/>
      <c r="PGC28" s="381"/>
      <c r="PGD28" s="381"/>
      <c r="PGE28" s="381"/>
      <c r="PGF28" s="381"/>
      <c r="PGG28" s="381"/>
      <c r="PGH28" s="381"/>
      <c r="PGI28" s="381"/>
      <c r="PGJ28" s="381"/>
      <c r="PGK28" s="381"/>
      <c r="PGL28" s="381"/>
      <c r="PGM28" s="379"/>
      <c r="PGN28" s="380"/>
      <c r="PGO28" s="380"/>
      <c r="PGP28" s="380"/>
      <c r="PGQ28" s="381"/>
      <c r="PGR28" s="381"/>
      <c r="PGS28" s="381"/>
      <c r="PGT28" s="381"/>
      <c r="PGU28" s="381"/>
      <c r="PGV28" s="381"/>
      <c r="PGW28" s="381"/>
      <c r="PGX28" s="381"/>
      <c r="PGY28" s="381"/>
      <c r="PGZ28" s="381"/>
      <c r="PHA28" s="381"/>
      <c r="PHB28" s="381"/>
      <c r="PHC28" s="381"/>
      <c r="PHD28" s="381"/>
      <c r="PHE28" s="381"/>
      <c r="PHF28" s="381"/>
      <c r="PHG28" s="381"/>
      <c r="PHH28" s="381"/>
      <c r="PHI28" s="381"/>
      <c r="PHJ28" s="381"/>
      <c r="PHK28" s="381"/>
      <c r="PHL28" s="381"/>
      <c r="PHM28" s="381"/>
      <c r="PHN28" s="381"/>
      <c r="PHO28" s="381"/>
      <c r="PHP28" s="381"/>
      <c r="PHQ28" s="379"/>
      <c r="PHR28" s="380"/>
      <c r="PHS28" s="380"/>
      <c r="PHT28" s="380"/>
      <c r="PHU28" s="381"/>
      <c r="PHV28" s="381"/>
      <c r="PHW28" s="381"/>
      <c r="PHX28" s="381"/>
      <c r="PHY28" s="381"/>
      <c r="PHZ28" s="381"/>
      <c r="PIA28" s="381"/>
      <c r="PIB28" s="381"/>
      <c r="PIC28" s="381"/>
      <c r="PID28" s="381"/>
      <c r="PIE28" s="381"/>
      <c r="PIF28" s="381"/>
      <c r="PIG28" s="381"/>
      <c r="PIH28" s="381"/>
      <c r="PII28" s="381"/>
      <c r="PIJ28" s="381"/>
      <c r="PIK28" s="381"/>
      <c r="PIL28" s="381"/>
      <c r="PIM28" s="381"/>
      <c r="PIN28" s="381"/>
      <c r="PIO28" s="381"/>
      <c r="PIP28" s="381"/>
      <c r="PIQ28" s="381"/>
      <c r="PIR28" s="381"/>
      <c r="PIS28" s="381"/>
      <c r="PIT28" s="381"/>
      <c r="PIU28" s="379"/>
      <c r="PIV28" s="380"/>
      <c r="PIW28" s="380"/>
      <c r="PIX28" s="380"/>
      <c r="PIY28" s="381"/>
      <c r="PIZ28" s="381"/>
      <c r="PJA28" s="381"/>
      <c r="PJB28" s="381"/>
      <c r="PJC28" s="381"/>
      <c r="PJD28" s="381"/>
      <c r="PJE28" s="381"/>
      <c r="PJF28" s="381"/>
      <c r="PJG28" s="381"/>
      <c r="PJH28" s="381"/>
      <c r="PJI28" s="381"/>
      <c r="PJJ28" s="381"/>
      <c r="PJK28" s="381"/>
      <c r="PJL28" s="381"/>
      <c r="PJM28" s="381"/>
      <c r="PJN28" s="381"/>
      <c r="PJO28" s="381"/>
      <c r="PJP28" s="381"/>
      <c r="PJQ28" s="381"/>
      <c r="PJR28" s="381"/>
      <c r="PJS28" s="381"/>
      <c r="PJT28" s="381"/>
      <c r="PJU28" s="381"/>
      <c r="PJV28" s="381"/>
      <c r="PJW28" s="381"/>
      <c r="PJX28" s="381"/>
      <c r="PJY28" s="379"/>
      <c r="PJZ28" s="380"/>
      <c r="PKA28" s="380"/>
      <c r="PKB28" s="380"/>
      <c r="PKC28" s="381"/>
      <c r="PKD28" s="381"/>
      <c r="PKE28" s="381"/>
      <c r="PKF28" s="381"/>
      <c r="PKG28" s="381"/>
      <c r="PKH28" s="381"/>
      <c r="PKI28" s="381"/>
      <c r="PKJ28" s="381"/>
      <c r="PKK28" s="381"/>
      <c r="PKL28" s="381"/>
      <c r="PKM28" s="381"/>
      <c r="PKN28" s="381"/>
      <c r="PKO28" s="381"/>
      <c r="PKP28" s="381"/>
      <c r="PKQ28" s="381"/>
      <c r="PKR28" s="381"/>
      <c r="PKS28" s="381"/>
      <c r="PKT28" s="381"/>
      <c r="PKU28" s="381"/>
      <c r="PKV28" s="381"/>
      <c r="PKW28" s="381"/>
      <c r="PKX28" s="381"/>
      <c r="PKY28" s="381"/>
      <c r="PKZ28" s="381"/>
      <c r="PLA28" s="381"/>
      <c r="PLB28" s="381"/>
      <c r="PLC28" s="379"/>
      <c r="PLD28" s="380"/>
      <c r="PLE28" s="380"/>
      <c r="PLF28" s="380"/>
      <c r="PLG28" s="381"/>
      <c r="PLH28" s="381"/>
      <c r="PLI28" s="381"/>
      <c r="PLJ28" s="381"/>
      <c r="PLK28" s="381"/>
      <c r="PLL28" s="381"/>
      <c r="PLM28" s="381"/>
      <c r="PLN28" s="381"/>
      <c r="PLO28" s="381"/>
      <c r="PLP28" s="381"/>
      <c r="PLQ28" s="381"/>
      <c r="PLR28" s="381"/>
      <c r="PLS28" s="381"/>
      <c r="PLT28" s="381"/>
      <c r="PLU28" s="381"/>
      <c r="PLV28" s="381"/>
      <c r="PLW28" s="381"/>
      <c r="PLX28" s="381"/>
      <c r="PLY28" s="381"/>
      <c r="PLZ28" s="381"/>
      <c r="PMA28" s="381"/>
      <c r="PMB28" s="381"/>
      <c r="PMC28" s="381"/>
      <c r="PMD28" s="381"/>
      <c r="PME28" s="381"/>
      <c r="PMF28" s="381"/>
      <c r="PMG28" s="379"/>
      <c r="PMH28" s="380"/>
      <c r="PMI28" s="380"/>
      <c r="PMJ28" s="380"/>
      <c r="PMK28" s="381"/>
      <c r="PML28" s="381"/>
      <c r="PMM28" s="381"/>
      <c r="PMN28" s="381"/>
      <c r="PMO28" s="381"/>
      <c r="PMP28" s="381"/>
      <c r="PMQ28" s="381"/>
      <c r="PMR28" s="381"/>
      <c r="PMS28" s="381"/>
      <c r="PMT28" s="381"/>
      <c r="PMU28" s="381"/>
      <c r="PMV28" s="381"/>
      <c r="PMW28" s="381"/>
      <c r="PMX28" s="381"/>
      <c r="PMY28" s="381"/>
      <c r="PMZ28" s="381"/>
      <c r="PNA28" s="381"/>
      <c r="PNB28" s="381"/>
      <c r="PNC28" s="381"/>
      <c r="PND28" s="381"/>
      <c r="PNE28" s="381"/>
      <c r="PNF28" s="381"/>
      <c r="PNG28" s="381"/>
      <c r="PNH28" s="381"/>
      <c r="PNI28" s="381"/>
      <c r="PNJ28" s="381"/>
      <c r="PNK28" s="379"/>
      <c r="PNL28" s="380"/>
      <c r="PNM28" s="380"/>
      <c r="PNN28" s="380"/>
      <c r="PNO28" s="381"/>
      <c r="PNP28" s="381"/>
      <c r="PNQ28" s="381"/>
      <c r="PNR28" s="381"/>
      <c r="PNS28" s="381"/>
      <c r="PNT28" s="381"/>
      <c r="PNU28" s="381"/>
      <c r="PNV28" s="381"/>
      <c r="PNW28" s="381"/>
      <c r="PNX28" s="381"/>
      <c r="PNY28" s="381"/>
      <c r="PNZ28" s="381"/>
      <c r="POA28" s="381"/>
      <c r="POB28" s="381"/>
      <c r="POC28" s="381"/>
      <c r="POD28" s="381"/>
      <c r="POE28" s="381"/>
      <c r="POF28" s="381"/>
      <c r="POG28" s="381"/>
      <c r="POH28" s="381"/>
      <c r="POI28" s="381"/>
      <c r="POJ28" s="381"/>
      <c r="POK28" s="381"/>
      <c r="POL28" s="381"/>
      <c r="POM28" s="381"/>
      <c r="PON28" s="381"/>
      <c r="POO28" s="379"/>
      <c r="POP28" s="380"/>
      <c r="POQ28" s="380"/>
      <c r="POR28" s="380"/>
      <c r="POS28" s="381"/>
      <c r="POT28" s="381"/>
      <c r="POU28" s="381"/>
      <c r="POV28" s="381"/>
      <c r="POW28" s="381"/>
      <c r="POX28" s="381"/>
      <c r="POY28" s="381"/>
      <c r="POZ28" s="381"/>
      <c r="PPA28" s="381"/>
      <c r="PPB28" s="381"/>
      <c r="PPC28" s="381"/>
      <c r="PPD28" s="381"/>
      <c r="PPE28" s="381"/>
      <c r="PPF28" s="381"/>
      <c r="PPG28" s="381"/>
      <c r="PPH28" s="381"/>
      <c r="PPI28" s="381"/>
      <c r="PPJ28" s="381"/>
      <c r="PPK28" s="381"/>
      <c r="PPL28" s="381"/>
      <c r="PPM28" s="381"/>
      <c r="PPN28" s="381"/>
      <c r="PPO28" s="381"/>
      <c r="PPP28" s="381"/>
      <c r="PPQ28" s="381"/>
      <c r="PPR28" s="381"/>
      <c r="PPS28" s="379"/>
      <c r="PPT28" s="380"/>
      <c r="PPU28" s="380"/>
      <c r="PPV28" s="380"/>
      <c r="PPW28" s="381"/>
      <c r="PPX28" s="381"/>
      <c r="PPY28" s="381"/>
      <c r="PPZ28" s="381"/>
      <c r="PQA28" s="381"/>
      <c r="PQB28" s="381"/>
      <c r="PQC28" s="381"/>
      <c r="PQD28" s="381"/>
      <c r="PQE28" s="381"/>
      <c r="PQF28" s="381"/>
      <c r="PQG28" s="381"/>
      <c r="PQH28" s="381"/>
      <c r="PQI28" s="381"/>
      <c r="PQJ28" s="381"/>
      <c r="PQK28" s="381"/>
      <c r="PQL28" s="381"/>
      <c r="PQM28" s="381"/>
      <c r="PQN28" s="381"/>
      <c r="PQO28" s="381"/>
      <c r="PQP28" s="381"/>
      <c r="PQQ28" s="381"/>
      <c r="PQR28" s="381"/>
      <c r="PQS28" s="381"/>
      <c r="PQT28" s="381"/>
      <c r="PQU28" s="381"/>
      <c r="PQV28" s="381"/>
      <c r="PQW28" s="379"/>
      <c r="PQX28" s="380"/>
      <c r="PQY28" s="380"/>
      <c r="PQZ28" s="380"/>
      <c r="PRA28" s="381"/>
      <c r="PRB28" s="381"/>
      <c r="PRC28" s="381"/>
      <c r="PRD28" s="381"/>
      <c r="PRE28" s="381"/>
      <c r="PRF28" s="381"/>
      <c r="PRG28" s="381"/>
      <c r="PRH28" s="381"/>
      <c r="PRI28" s="381"/>
      <c r="PRJ28" s="381"/>
      <c r="PRK28" s="381"/>
      <c r="PRL28" s="381"/>
      <c r="PRM28" s="381"/>
      <c r="PRN28" s="381"/>
      <c r="PRO28" s="381"/>
      <c r="PRP28" s="381"/>
      <c r="PRQ28" s="381"/>
      <c r="PRR28" s="381"/>
      <c r="PRS28" s="381"/>
      <c r="PRT28" s="381"/>
      <c r="PRU28" s="381"/>
      <c r="PRV28" s="381"/>
      <c r="PRW28" s="381"/>
      <c r="PRX28" s="381"/>
      <c r="PRY28" s="381"/>
      <c r="PRZ28" s="381"/>
      <c r="PSA28" s="379"/>
      <c r="PSB28" s="380"/>
      <c r="PSC28" s="380"/>
      <c r="PSD28" s="380"/>
      <c r="PSE28" s="381"/>
      <c r="PSF28" s="381"/>
      <c r="PSG28" s="381"/>
      <c r="PSH28" s="381"/>
      <c r="PSI28" s="381"/>
      <c r="PSJ28" s="381"/>
      <c r="PSK28" s="381"/>
      <c r="PSL28" s="381"/>
      <c r="PSM28" s="381"/>
      <c r="PSN28" s="381"/>
      <c r="PSO28" s="381"/>
      <c r="PSP28" s="381"/>
      <c r="PSQ28" s="381"/>
      <c r="PSR28" s="381"/>
      <c r="PSS28" s="381"/>
      <c r="PST28" s="381"/>
      <c r="PSU28" s="381"/>
      <c r="PSV28" s="381"/>
      <c r="PSW28" s="381"/>
      <c r="PSX28" s="381"/>
      <c r="PSY28" s="381"/>
      <c r="PSZ28" s="381"/>
      <c r="PTA28" s="381"/>
      <c r="PTB28" s="381"/>
      <c r="PTC28" s="381"/>
      <c r="PTD28" s="381"/>
      <c r="PTE28" s="379"/>
      <c r="PTF28" s="380"/>
      <c r="PTG28" s="380"/>
      <c r="PTH28" s="380"/>
      <c r="PTI28" s="381"/>
      <c r="PTJ28" s="381"/>
      <c r="PTK28" s="381"/>
      <c r="PTL28" s="381"/>
      <c r="PTM28" s="381"/>
      <c r="PTN28" s="381"/>
      <c r="PTO28" s="381"/>
      <c r="PTP28" s="381"/>
      <c r="PTQ28" s="381"/>
      <c r="PTR28" s="381"/>
      <c r="PTS28" s="381"/>
      <c r="PTT28" s="381"/>
      <c r="PTU28" s="381"/>
      <c r="PTV28" s="381"/>
      <c r="PTW28" s="381"/>
      <c r="PTX28" s="381"/>
      <c r="PTY28" s="381"/>
      <c r="PTZ28" s="381"/>
      <c r="PUA28" s="381"/>
      <c r="PUB28" s="381"/>
      <c r="PUC28" s="381"/>
      <c r="PUD28" s="381"/>
      <c r="PUE28" s="381"/>
      <c r="PUF28" s="381"/>
      <c r="PUG28" s="381"/>
      <c r="PUH28" s="381"/>
      <c r="PUI28" s="379"/>
      <c r="PUJ28" s="380"/>
      <c r="PUK28" s="380"/>
      <c r="PUL28" s="380"/>
      <c r="PUM28" s="381"/>
      <c r="PUN28" s="381"/>
      <c r="PUO28" s="381"/>
      <c r="PUP28" s="381"/>
      <c r="PUQ28" s="381"/>
      <c r="PUR28" s="381"/>
      <c r="PUS28" s="381"/>
      <c r="PUT28" s="381"/>
      <c r="PUU28" s="381"/>
      <c r="PUV28" s="381"/>
      <c r="PUW28" s="381"/>
      <c r="PUX28" s="381"/>
      <c r="PUY28" s="381"/>
      <c r="PUZ28" s="381"/>
      <c r="PVA28" s="381"/>
      <c r="PVB28" s="381"/>
      <c r="PVC28" s="381"/>
      <c r="PVD28" s="381"/>
      <c r="PVE28" s="381"/>
      <c r="PVF28" s="381"/>
      <c r="PVG28" s="381"/>
      <c r="PVH28" s="381"/>
      <c r="PVI28" s="381"/>
      <c r="PVJ28" s="381"/>
      <c r="PVK28" s="381"/>
      <c r="PVL28" s="381"/>
      <c r="PVM28" s="379"/>
      <c r="PVN28" s="380"/>
      <c r="PVO28" s="380"/>
      <c r="PVP28" s="380"/>
      <c r="PVQ28" s="381"/>
      <c r="PVR28" s="381"/>
      <c r="PVS28" s="381"/>
      <c r="PVT28" s="381"/>
      <c r="PVU28" s="381"/>
      <c r="PVV28" s="381"/>
      <c r="PVW28" s="381"/>
      <c r="PVX28" s="381"/>
      <c r="PVY28" s="381"/>
      <c r="PVZ28" s="381"/>
      <c r="PWA28" s="381"/>
      <c r="PWB28" s="381"/>
      <c r="PWC28" s="381"/>
      <c r="PWD28" s="381"/>
      <c r="PWE28" s="381"/>
      <c r="PWF28" s="381"/>
      <c r="PWG28" s="381"/>
      <c r="PWH28" s="381"/>
      <c r="PWI28" s="381"/>
      <c r="PWJ28" s="381"/>
      <c r="PWK28" s="381"/>
      <c r="PWL28" s="381"/>
      <c r="PWM28" s="381"/>
      <c r="PWN28" s="381"/>
      <c r="PWO28" s="381"/>
      <c r="PWP28" s="381"/>
      <c r="PWQ28" s="379"/>
      <c r="PWR28" s="380"/>
      <c r="PWS28" s="380"/>
      <c r="PWT28" s="380"/>
      <c r="PWU28" s="381"/>
      <c r="PWV28" s="381"/>
      <c r="PWW28" s="381"/>
      <c r="PWX28" s="381"/>
      <c r="PWY28" s="381"/>
      <c r="PWZ28" s="381"/>
      <c r="PXA28" s="381"/>
      <c r="PXB28" s="381"/>
      <c r="PXC28" s="381"/>
      <c r="PXD28" s="381"/>
      <c r="PXE28" s="381"/>
      <c r="PXF28" s="381"/>
      <c r="PXG28" s="381"/>
      <c r="PXH28" s="381"/>
      <c r="PXI28" s="381"/>
      <c r="PXJ28" s="381"/>
      <c r="PXK28" s="381"/>
      <c r="PXL28" s="381"/>
      <c r="PXM28" s="381"/>
      <c r="PXN28" s="381"/>
      <c r="PXO28" s="381"/>
      <c r="PXP28" s="381"/>
      <c r="PXQ28" s="381"/>
      <c r="PXR28" s="381"/>
      <c r="PXS28" s="381"/>
      <c r="PXT28" s="381"/>
      <c r="PXU28" s="379"/>
      <c r="PXV28" s="380"/>
      <c r="PXW28" s="380"/>
      <c r="PXX28" s="380"/>
      <c r="PXY28" s="381"/>
      <c r="PXZ28" s="381"/>
      <c r="PYA28" s="381"/>
      <c r="PYB28" s="381"/>
      <c r="PYC28" s="381"/>
      <c r="PYD28" s="381"/>
      <c r="PYE28" s="381"/>
      <c r="PYF28" s="381"/>
      <c r="PYG28" s="381"/>
      <c r="PYH28" s="381"/>
      <c r="PYI28" s="381"/>
      <c r="PYJ28" s="381"/>
      <c r="PYK28" s="381"/>
      <c r="PYL28" s="381"/>
      <c r="PYM28" s="381"/>
      <c r="PYN28" s="381"/>
      <c r="PYO28" s="381"/>
      <c r="PYP28" s="381"/>
      <c r="PYQ28" s="381"/>
      <c r="PYR28" s="381"/>
      <c r="PYS28" s="381"/>
      <c r="PYT28" s="381"/>
      <c r="PYU28" s="381"/>
      <c r="PYV28" s="381"/>
      <c r="PYW28" s="381"/>
      <c r="PYX28" s="381"/>
      <c r="PYY28" s="379"/>
      <c r="PYZ28" s="380"/>
      <c r="PZA28" s="380"/>
      <c r="PZB28" s="380"/>
      <c r="PZC28" s="381"/>
      <c r="PZD28" s="381"/>
      <c r="PZE28" s="381"/>
      <c r="PZF28" s="381"/>
      <c r="PZG28" s="381"/>
      <c r="PZH28" s="381"/>
      <c r="PZI28" s="381"/>
      <c r="PZJ28" s="381"/>
      <c r="PZK28" s="381"/>
      <c r="PZL28" s="381"/>
      <c r="PZM28" s="381"/>
      <c r="PZN28" s="381"/>
      <c r="PZO28" s="381"/>
      <c r="PZP28" s="381"/>
      <c r="PZQ28" s="381"/>
      <c r="PZR28" s="381"/>
      <c r="PZS28" s="381"/>
      <c r="PZT28" s="381"/>
      <c r="PZU28" s="381"/>
      <c r="PZV28" s="381"/>
      <c r="PZW28" s="381"/>
      <c r="PZX28" s="381"/>
      <c r="PZY28" s="381"/>
      <c r="PZZ28" s="381"/>
      <c r="QAA28" s="381"/>
      <c r="QAB28" s="381"/>
      <c r="QAC28" s="379"/>
      <c r="QAD28" s="380"/>
      <c r="QAE28" s="380"/>
      <c r="QAF28" s="380"/>
      <c r="QAG28" s="381"/>
      <c r="QAH28" s="381"/>
      <c r="QAI28" s="381"/>
      <c r="QAJ28" s="381"/>
      <c r="QAK28" s="381"/>
      <c r="QAL28" s="381"/>
      <c r="QAM28" s="381"/>
      <c r="QAN28" s="381"/>
      <c r="QAO28" s="381"/>
      <c r="QAP28" s="381"/>
      <c r="QAQ28" s="381"/>
      <c r="QAR28" s="381"/>
      <c r="QAS28" s="381"/>
      <c r="QAT28" s="381"/>
      <c r="QAU28" s="381"/>
      <c r="QAV28" s="381"/>
      <c r="QAW28" s="381"/>
      <c r="QAX28" s="381"/>
      <c r="QAY28" s="381"/>
      <c r="QAZ28" s="381"/>
      <c r="QBA28" s="381"/>
      <c r="QBB28" s="381"/>
      <c r="QBC28" s="381"/>
      <c r="QBD28" s="381"/>
      <c r="QBE28" s="381"/>
      <c r="QBF28" s="381"/>
      <c r="QBG28" s="379"/>
      <c r="QBH28" s="380"/>
      <c r="QBI28" s="380"/>
      <c r="QBJ28" s="380"/>
      <c r="QBK28" s="381"/>
      <c r="QBL28" s="381"/>
      <c r="QBM28" s="381"/>
      <c r="QBN28" s="381"/>
      <c r="QBO28" s="381"/>
      <c r="QBP28" s="381"/>
      <c r="QBQ28" s="381"/>
      <c r="QBR28" s="381"/>
      <c r="QBS28" s="381"/>
      <c r="QBT28" s="381"/>
      <c r="QBU28" s="381"/>
      <c r="QBV28" s="381"/>
      <c r="QBW28" s="381"/>
      <c r="QBX28" s="381"/>
      <c r="QBY28" s="381"/>
      <c r="QBZ28" s="381"/>
      <c r="QCA28" s="381"/>
      <c r="QCB28" s="381"/>
      <c r="QCC28" s="381"/>
      <c r="QCD28" s="381"/>
      <c r="QCE28" s="381"/>
      <c r="QCF28" s="381"/>
      <c r="QCG28" s="381"/>
      <c r="QCH28" s="381"/>
      <c r="QCI28" s="381"/>
      <c r="QCJ28" s="381"/>
      <c r="QCK28" s="379"/>
      <c r="QCL28" s="380"/>
      <c r="QCM28" s="380"/>
      <c r="QCN28" s="380"/>
      <c r="QCO28" s="381"/>
      <c r="QCP28" s="381"/>
      <c r="QCQ28" s="381"/>
      <c r="QCR28" s="381"/>
      <c r="QCS28" s="381"/>
      <c r="QCT28" s="381"/>
      <c r="QCU28" s="381"/>
      <c r="QCV28" s="381"/>
      <c r="QCW28" s="381"/>
      <c r="QCX28" s="381"/>
      <c r="QCY28" s="381"/>
      <c r="QCZ28" s="381"/>
      <c r="QDA28" s="381"/>
      <c r="QDB28" s="381"/>
      <c r="QDC28" s="381"/>
      <c r="QDD28" s="381"/>
      <c r="QDE28" s="381"/>
      <c r="QDF28" s="381"/>
      <c r="QDG28" s="381"/>
      <c r="QDH28" s="381"/>
      <c r="QDI28" s="381"/>
      <c r="QDJ28" s="381"/>
      <c r="QDK28" s="381"/>
      <c r="QDL28" s="381"/>
      <c r="QDM28" s="381"/>
      <c r="QDN28" s="381"/>
      <c r="QDO28" s="379"/>
      <c r="QDP28" s="380"/>
      <c r="QDQ28" s="380"/>
      <c r="QDR28" s="380"/>
      <c r="QDS28" s="381"/>
      <c r="QDT28" s="381"/>
      <c r="QDU28" s="381"/>
      <c r="QDV28" s="381"/>
      <c r="QDW28" s="381"/>
      <c r="QDX28" s="381"/>
      <c r="QDY28" s="381"/>
      <c r="QDZ28" s="381"/>
      <c r="QEA28" s="381"/>
      <c r="QEB28" s="381"/>
      <c r="QEC28" s="381"/>
      <c r="QED28" s="381"/>
      <c r="QEE28" s="381"/>
      <c r="QEF28" s="381"/>
      <c r="QEG28" s="381"/>
      <c r="QEH28" s="381"/>
      <c r="QEI28" s="381"/>
      <c r="QEJ28" s="381"/>
      <c r="QEK28" s="381"/>
      <c r="QEL28" s="381"/>
      <c r="QEM28" s="381"/>
      <c r="QEN28" s="381"/>
      <c r="QEO28" s="381"/>
      <c r="QEP28" s="381"/>
      <c r="QEQ28" s="381"/>
      <c r="QER28" s="381"/>
      <c r="QES28" s="379"/>
      <c r="QET28" s="380"/>
      <c r="QEU28" s="380"/>
      <c r="QEV28" s="380"/>
      <c r="QEW28" s="381"/>
      <c r="QEX28" s="381"/>
      <c r="QEY28" s="381"/>
      <c r="QEZ28" s="381"/>
      <c r="QFA28" s="381"/>
      <c r="QFB28" s="381"/>
      <c r="QFC28" s="381"/>
      <c r="QFD28" s="381"/>
      <c r="QFE28" s="381"/>
      <c r="QFF28" s="381"/>
      <c r="QFG28" s="381"/>
      <c r="QFH28" s="381"/>
      <c r="QFI28" s="381"/>
      <c r="QFJ28" s="381"/>
      <c r="QFK28" s="381"/>
      <c r="QFL28" s="381"/>
      <c r="QFM28" s="381"/>
      <c r="QFN28" s="381"/>
      <c r="QFO28" s="381"/>
      <c r="QFP28" s="381"/>
      <c r="QFQ28" s="381"/>
      <c r="QFR28" s="381"/>
      <c r="QFS28" s="381"/>
      <c r="QFT28" s="381"/>
      <c r="QFU28" s="381"/>
      <c r="QFV28" s="381"/>
      <c r="QFW28" s="379"/>
      <c r="QFX28" s="380"/>
      <c r="QFY28" s="380"/>
      <c r="QFZ28" s="380"/>
      <c r="QGA28" s="381"/>
      <c r="QGB28" s="381"/>
      <c r="QGC28" s="381"/>
      <c r="QGD28" s="381"/>
      <c r="QGE28" s="381"/>
      <c r="QGF28" s="381"/>
      <c r="QGG28" s="381"/>
      <c r="QGH28" s="381"/>
      <c r="QGI28" s="381"/>
      <c r="QGJ28" s="381"/>
      <c r="QGK28" s="381"/>
      <c r="QGL28" s="381"/>
      <c r="QGM28" s="381"/>
      <c r="QGN28" s="381"/>
      <c r="QGO28" s="381"/>
      <c r="QGP28" s="381"/>
      <c r="QGQ28" s="381"/>
      <c r="QGR28" s="381"/>
      <c r="QGS28" s="381"/>
      <c r="QGT28" s="381"/>
      <c r="QGU28" s="381"/>
      <c r="QGV28" s="381"/>
      <c r="QGW28" s="381"/>
      <c r="QGX28" s="381"/>
      <c r="QGY28" s="381"/>
      <c r="QGZ28" s="381"/>
      <c r="QHA28" s="379"/>
      <c r="QHB28" s="380"/>
      <c r="QHC28" s="380"/>
      <c r="QHD28" s="380"/>
      <c r="QHE28" s="381"/>
      <c r="QHF28" s="381"/>
      <c r="QHG28" s="381"/>
      <c r="QHH28" s="381"/>
      <c r="QHI28" s="381"/>
      <c r="QHJ28" s="381"/>
      <c r="QHK28" s="381"/>
      <c r="QHL28" s="381"/>
      <c r="QHM28" s="381"/>
      <c r="QHN28" s="381"/>
      <c r="QHO28" s="381"/>
      <c r="QHP28" s="381"/>
      <c r="QHQ28" s="381"/>
      <c r="QHR28" s="381"/>
      <c r="QHS28" s="381"/>
      <c r="QHT28" s="381"/>
      <c r="QHU28" s="381"/>
      <c r="QHV28" s="381"/>
      <c r="QHW28" s="381"/>
      <c r="QHX28" s="381"/>
      <c r="QHY28" s="381"/>
      <c r="QHZ28" s="381"/>
      <c r="QIA28" s="381"/>
      <c r="QIB28" s="381"/>
      <c r="QIC28" s="381"/>
      <c r="QID28" s="381"/>
      <c r="QIE28" s="379"/>
      <c r="QIF28" s="380"/>
      <c r="QIG28" s="380"/>
      <c r="QIH28" s="380"/>
      <c r="QII28" s="381"/>
      <c r="QIJ28" s="381"/>
      <c r="QIK28" s="381"/>
      <c r="QIL28" s="381"/>
      <c r="QIM28" s="381"/>
      <c r="QIN28" s="381"/>
      <c r="QIO28" s="381"/>
      <c r="QIP28" s="381"/>
      <c r="QIQ28" s="381"/>
      <c r="QIR28" s="381"/>
      <c r="QIS28" s="381"/>
      <c r="QIT28" s="381"/>
      <c r="QIU28" s="381"/>
      <c r="QIV28" s="381"/>
      <c r="QIW28" s="381"/>
      <c r="QIX28" s="381"/>
      <c r="QIY28" s="381"/>
      <c r="QIZ28" s="381"/>
      <c r="QJA28" s="381"/>
      <c r="QJB28" s="381"/>
      <c r="QJC28" s="381"/>
      <c r="QJD28" s="381"/>
      <c r="QJE28" s="381"/>
      <c r="QJF28" s="381"/>
      <c r="QJG28" s="381"/>
      <c r="QJH28" s="381"/>
      <c r="QJI28" s="379"/>
      <c r="QJJ28" s="380"/>
      <c r="QJK28" s="380"/>
      <c r="QJL28" s="380"/>
      <c r="QJM28" s="381"/>
      <c r="QJN28" s="381"/>
      <c r="QJO28" s="381"/>
      <c r="QJP28" s="381"/>
      <c r="QJQ28" s="381"/>
      <c r="QJR28" s="381"/>
      <c r="QJS28" s="381"/>
      <c r="QJT28" s="381"/>
      <c r="QJU28" s="381"/>
      <c r="QJV28" s="381"/>
      <c r="QJW28" s="381"/>
      <c r="QJX28" s="381"/>
      <c r="QJY28" s="381"/>
      <c r="QJZ28" s="381"/>
      <c r="QKA28" s="381"/>
      <c r="QKB28" s="381"/>
      <c r="QKC28" s="381"/>
      <c r="QKD28" s="381"/>
      <c r="QKE28" s="381"/>
      <c r="QKF28" s="381"/>
      <c r="QKG28" s="381"/>
      <c r="QKH28" s="381"/>
      <c r="QKI28" s="381"/>
      <c r="QKJ28" s="381"/>
      <c r="QKK28" s="381"/>
      <c r="QKL28" s="381"/>
      <c r="QKM28" s="379"/>
      <c r="QKN28" s="380"/>
      <c r="QKO28" s="380"/>
      <c r="QKP28" s="380"/>
      <c r="QKQ28" s="381"/>
      <c r="QKR28" s="381"/>
      <c r="QKS28" s="381"/>
      <c r="QKT28" s="381"/>
      <c r="QKU28" s="381"/>
      <c r="QKV28" s="381"/>
      <c r="QKW28" s="381"/>
      <c r="QKX28" s="381"/>
      <c r="QKY28" s="381"/>
      <c r="QKZ28" s="381"/>
      <c r="QLA28" s="381"/>
      <c r="QLB28" s="381"/>
      <c r="QLC28" s="381"/>
      <c r="QLD28" s="381"/>
      <c r="QLE28" s="381"/>
      <c r="QLF28" s="381"/>
      <c r="QLG28" s="381"/>
      <c r="QLH28" s="381"/>
      <c r="QLI28" s="381"/>
      <c r="QLJ28" s="381"/>
      <c r="QLK28" s="381"/>
      <c r="QLL28" s="381"/>
      <c r="QLM28" s="381"/>
      <c r="QLN28" s="381"/>
      <c r="QLO28" s="381"/>
      <c r="QLP28" s="381"/>
      <c r="QLQ28" s="379"/>
      <c r="QLR28" s="380"/>
      <c r="QLS28" s="380"/>
      <c r="QLT28" s="380"/>
      <c r="QLU28" s="381"/>
      <c r="QLV28" s="381"/>
      <c r="QLW28" s="381"/>
      <c r="QLX28" s="381"/>
      <c r="QLY28" s="381"/>
      <c r="QLZ28" s="381"/>
      <c r="QMA28" s="381"/>
      <c r="QMB28" s="381"/>
      <c r="QMC28" s="381"/>
      <c r="QMD28" s="381"/>
      <c r="QME28" s="381"/>
      <c r="QMF28" s="381"/>
      <c r="QMG28" s="381"/>
      <c r="QMH28" s="381"/>
      <c r="QMI28" s="381"/>
      <c r="QMJ28" s="381"/>
      <c r="QMK28" s="381"/>
      <c r="QML28" s="381"/>
      <c r="QMM28" s="381"/>
      <c r="QMN28" s="381"/>
      <c r="QMO28" s="381"/>
      <c r="QMP28" s="381"/>
      <c r="QMQ28" s="381"/>
      <c r="QMR28" s="381"/>
      <c r="QMS28" s="381"/>
      <c r="QMT28" s="381"/>
      <c r="QMU28" s="379"/>
      <c r="QMV28" s="380"/>
      <c r="QMW28" s="380"/>
      <c r="QMX28" s="380"/>
      <c r="QMY28" s="381"/>
      <c r="QMZ28" s="381"/>
      <c r="QNA28" s="381"/>
      <c r="QNB28" s="381"/>
      <c r="QNC28" s="381"/>
      <c r="QND28" s="381"/>
      <c r="QNE28" s="381"/>
      <c r="QNF28" s="381"/>
      <c r="QNG28" s="381"/>
      <c r="QNH28" s="381"/>
      <c r="QNI28" s="381"/>
      <c r="QNJ28" s="381"/>
      <c r="QNK28" s="381"/>
      <c r="QNL28" s="381"/>
      <c r="QNM28" s="381"/>
      <c r="QNN28" s="381"/>
      <c r="QNO28" s="381"/>
      <c r="QNP28" s="381"/>
      <c r="QNQ28" s="381"/>
      <c r="QNR28" s="381"/>
      <c r="QNS28" s="381"/>
      <c r="QNT28" s="381"/>
      <c r="QNU28" s="381"/>
      <c r="QNV28" s="381"/>
      <c r="QNW28" s="381"/>
      <c r="QNX28" s="381"/>
      <c r="QNY28" s="379"/>
      <c r="QNZ28" s="380"/>
      <c r="QOA28" s="380"/>
      <c r="QOB28" s="380"/>
      <c r="QOC28" s="381"/>
      <c r="QOD28" s="381"/>
      <c r="QOE28" s="381"/>
      <c r="QOF28" s="381"/>
      <c r="QOG28" s="381"/>
      <c r="QOH28" s="381"/>
      <c r="QOI28" s="381"/>
      <c r="QOJ28" s="381"/>
      <c r="QOK28" s="381"/>
      <c r="QOL28" s="381"/>
      <c r="QOM28" s="381"/>
      <c r="QON28" s="381"/>
      <c r="QOO28" s="381"/>
      <c r="QOP28" s="381"/>
      <c r="QOQ28" s="381"/>
      <c r="QOR28" s="381"/>
      <c r="QOS28" s="381"/>
      <c r="QOT28" s="381"/>
      <c r="QOU28" s="381"/>
      <c r="QOV28" s="381"/>
      <c r="QOW28" s="381"/>
      <c r="QOX28" s="381"/>
      <c r="QOY28" s="381"/>
      <c r="QOZ28" s="381"/>
      <c r="QPA28" s="381"/>
      <c r="QPB28" s="381"/>
      <c r="QPC28" s="379"/>
      <c r="QPD28" s="380"/>
      <c r="QPE28" s="380"/>
      <c r="QPF28" s="380"/>
      <c r="QPG28" s="381"/>
      <c r="QPH28" s="381"/>
      <c r="QPI28" s="381"/>
      <c r="QPJ28" s="381"/>
      <c r="QPK28" s="381"/>
      <c r="QPL28" s="381"/>
      <c r="QPM28" s="381"/>
      <c r="QPN28" s="381"/>
      <c r="QPO28" s="381"/>
      <c r="QPP28" s="381"/>
      <c r="QPQ28" s="381"/>
      <c r="QPR28" s="381"/>
      <c r="QPS28" s="381"/>
      <c r="QPT28" s="381"/>
      <c r="QPU28" s="381"/>
      <c r="QPV28" s="381"/>
      <c r="QPW28" s="381"/>
      <c r="QPX28" s="381"/>
      <c r="QPY28" s="381"/>
      <c r="QPZ28" s="381"/>
      <c r="QQA28" s="381"/>
      <c r="QQB28" s="381"/>
      <c r="QQC28" s="381"/>
      <c r="QQD28" s="381"/>
      <c r="QQE28" s="381"/>
      <c r="QQF28" s="381"/>
      <c r="QQG28" s="379"/>
      <c r="QQH28" s="380"/>
      <c r="QQI28" s="380"/>
      <c r="QQJ28" s="380"/>
      <c r="QQK28" s="381"/>
      <c r="QQL28" s="381"/>
      <c r="QQM28" s="381"/>
      <c r="QQN28" s="381"/>
      <c r="QQO28" s="381"/>
      <c r="QQP28" s="381"/>
      <c r="QQQ28" s="381"/>
      <c r="QQR28" s="381"/>
      <c r="QQS28" s="381"/>
      <c r="QQT28" s="381"/>
      <c r="QQU28" s="381"/>
      <c r="QQV28" s="381"/>
      <c r="QQW28" s="381"/>
      <c r="QQX28" s="381"/>
      <c r="QQY28" s="381"/>
      <c r="QQZ28" s="381"/>
      <c r="QRA28" s="381"/>
      <c r="QRB28" s="381"/>
      <c r="QRC28" s="381"/>
      <c r="QRD28" s="381"/>
      <c r="QRE28" s="381"/>
      <c r="QRF28" s="381"/>
      <c r="QRG28" s="381"/>
      <c r="QRH28" s="381"/>
      <c r="QRI28" s="381"/>
      <c r="QRJ28" s="381"/>
      <c r="QRK28" s="379"/>
      <c r="QRL28" s="380"/>
      <c r="QRM28" s="380"/>
      <c r="QRN28" s="380"/>
      <c r="QRO28" s="381"/>
      <c r="QRP28" s="381"/>
      <c r="QRQ28" s="381"/>
      <c r="QRR28" s="381"/>
      <c r="QRS28" s="381"/>
      <c r="QRT28" s="381"/>
      <c r="QRU28" s="381"/>
      <c r="QRV28" s="381"/>
      <c r="QRW28" s="381"/>
      <c r="QRX28" s="381"/>
      <c r="QRY28" s="381"/>
      <c r="QRZ28" s="381"/>
      <c r="QSA28" s="381"/>
      <c r="QSB28" s="381"/>
      <c r="QSC28" s="381"/>
      <c r="QSD28" s="381"/>
      <c r="QSE28" s="381"/>
      <c r="QSF28" s="381"/>
      <c r="QSG28" s="381"/>
      <c r="QSH28" s="381"/>
      <c r="QSI28" s="381"/>
      <c r="QSJ28" s="381"/>
      <c r="QSK28" s="381"/>
      <c r="QSL28" s="381"/>
      <c r="QSM28" s="381"/>
      <c r="QSN28" s="381"/>
      <c r="QSO28" s="379"/>
      <c r="QSP28" s="380"/>
      <c r="QSQ28" s="380"/>
      <c r="QSR28" s="380"/>
      <c r="QSS28" s="381"/>
      <c r="QST28" s="381"/>
      <c r="QSU28" s="381"/>
      <c r="QSV28" s="381"/>
      <c r="QSW28" s="381"/>
      <c r="QSX28" s="381"/>
      <c r="QSY28" s="381"/>
      <c r="QSZ28" s="381"/>
      <c r="QTA28" s="381"/>
      <c r="QTB28" s="381"/>
      <c r="QTC28" s="381"/>
      <c r="QTD28" s="381"/>
      <c r="QTE28" s="381"/>
      <c r="QTF28" s="381"/>
      <c r="QTG28" s="381"/>
      <c r="QTH28" s="381"/>
      <c r="QTI28" s="381"/>
      <c r="QTJ28" s="381"/>
      <c r="QTK28" s="381"/>
      <c r="QTL28" s="381"/>
      <c r="QTM28" s="381"/>
      <c r="QTN28" s="381"/>
      <c r="QTO28" s="381"/>
      <c r="QTP28" s="381"/>
      <c r="QTQ28" s="381"/>
      <c r="QTR28" s="381"/>
      <c r="QTS28" s="379"/>
      <c r="QTT28" s="380"/>
      <c r="QTU28" s="380"/>
      <c r="QTV28" s="380"/>
      <c r="QTW28" s="381"/>
      <c r="QTX28" s="381"/>
      <c r="QTY28" s="381"/>
      <c r="QTZ28" s="381"/>
      <c r="QUA28" s="381"/>
      <c r="QUB28" s="381"/>
      <c r="QUC28" s="381"/>
      <c r="QUD28" s="381"/>
      <c r="QUE28" s="381"/>
      <c r="QUF28" s="381"/>
      <c r="QUG28" s="381"/>
      <c r="QUH28" s="381"/>
      <c r="QUI28" s="381"/>
      <c r="QUJ28" s="381"/>
      <c r="QUK28" s="381"/>
      <c r="QUL28" s="381"/>
      <c r="QUM28" s="381"/>
      <c r="QUN28" s="381"/>
      <c r="QUO28" s="381"/>
      <c r="QUP28" s="381"/>
      <c r="QUQ28" s="381"/>
      <c r="QUR28" s="381"/>
      <c r="QUS28" s="381"/>
      <c r="QUT28" s="381"/>
      <c r="QUU28" s="381"/>
      <c r="QUV28" s="381"/>
      <c r="QUW28" s="379"/>
      <c r="QUX28" s="380"/>
      <c r="QUY28" s="380"/>
      <c r="QUZ28" s="380"/>
      <c r="QVA28" s="381"/>
      <c r="QVB28" s="381"/>
      <c r="QVC28" s="381"/>
      <c r="QVD28" s="381"/>
      <c r="QVE28" s="381"/>
      <c r="QVF28" s="381"/>
      <c r="QVG28" s="381"/>
      <c r="QVH28" s="381"/>
      <c r="QVI28" s="381"/>
      <c r="QVJ28" s="381"/>
      <c r="QVK28" s="381"/>
      <c r="QVL28" s="381"/>
      <c r="QVM28" s="381"/>
      <c r="QVN28" s="381"/>
      <c r="QVO28" s="381"/>
      <c r="QVP28" s="381"/>
      <c r="QVQ28" s="381"/>
      <c r="QVR28" s="381"/>
      <c r="QVS28" s="381"/>
      <c r="QVT28" s="381"/>
      <c r="QVU28" s="381"/>
      <c r="QVV28" s="381"/>
      <c r="QVW28" s="381"/>
      <c r="QVX28" s="381"/>
      <c r="QVY28" s="381"/>
      <c r="QVZ28" s="381"/>
      <c r="QWA28" s="379"/>
      <c r="QWB28" s="380"/>
      <c r="QWC28" s="380"/>
      <c r="QWD28" s="380"/>
      <c r="QWE28" s="381"/>
      <c r="QWF28" s="381"/>
      <c r="QWG28" s="381"/>
      <c r="QWH28" s="381"/>
      <c r="QWI28" s="381"/>
      <c r="QWJ28" s="381"/>
      <c r="QWK28" s="381"/>
      <c r="QWL28" s="381"/>
      <c r="QWM28" s="381"/>
      <c r="QWN28" s="381"/>
      <c r="QWO28" s="381"/>
      <c r="QWP28" s="381"/>
      <c r="QWQ28" s="381"/>
      <c r="QWR28" s="381"/>
      <c r="QWS28" s="381"/>
      <c r="QWT28" s="381"/>
      <c r="QWU28" s="381"/>
      <c r="QWV28" s="381"/>
      <c r="QWW28" s="381"/>
      <c r="QWX28" s="381"/>
      <c r="QWY28" s="381"/>
      <c r="QWZ28" s="381"/>
      <c r="QXA28" s="381"/>
      <c r="QXB28" s="381"/>
      <c r="QXC28" s="381"/>
      <c r="QXD28" s="381"/>
      <c r="QXE28" s="379"/>
      <c r="QXF28" s="380"/>
      <c r="QXG28" s="380"/>
      <c r="QXH28" s="380"/>
      <c r="QXI28" s="381"/>
      <c r="QXJ28" s="381"/>
      <c r="QXK28" s="381"/>
      <c r="QXL28" s="381"/>
      <c r="QXM28" s="381"/>
      <c r="QXN28" s="381"/>
      <c r="QXO28" s="381"/>
      <c r="QXP28" s="381"/>
      <c r="QXQ28" s="381"/>
      <c r="QXR28" s="381"/>
      <c r="QXS28" s="381"/>
      <c r="QXT28" s="381"/>
      <c r="QXU28" s="381"/>
      <c r="QXV28" s="381"/>
      <c r="QXW28" s="381"/>
      <c r="QXX28" s="381"/>
      <c r="QXY28" s="381"/>
      <c r="QXZ28" s="381"/>
      <c r="QYA28" s="381"/>
      <c r="QYB28" s="381"/>
      <c r="QYC28" s="381"/>
      <c r="QYD28" s="381"/>
      <c r="QYE28" s="381"/>
      <c r="QYF28" s="381"/>
      <c r="QYG28" s="381"/>
      <c r="QYH28" s="381"/>
      <c r="QYI28" s="379"/>
      <c r="QYJ28" s="380"/>
      <c r="QYK28" s="380"/>
      <c r="QYL28" s="380"/>
      <c r="QYM28" s="381"/>
      <c r="QYN28" s="381"/>
      <c r="QYO28" s="381"/>
      <c r="QYP28" s="381"/>
      <c r="QYQ28" s="381"/>
      <c r="QYR28" s="381"/>
      <c r="QYS28" s="381"/>
      <c r="QYT28" s="381"/>
      <c r="QYU28" s="381"/>
      <c r="QYV28" s="381"/>
      <c r="QYW28" s="381"/>
      <c r="QYX28" s="381"/>
      <c r="QYY28" s="381"/>
      <c r="QYZ28" s="381"/>
      <c r="QZA28" s="381"/>
      <c r="QZB28" s="381"/>
      <c r="QZC28" s="381"/>
      <c r="QZD28" s="381"/>
      <c r="QZE28" s="381"/>
      <c r="QZF28" s="381"/>
      <c r="QZG28" s="381"/>
      <c r="QZH28" s="381"/>
      <c r="QZI28" s="381"/>
      <c r="QZJ28" s="381"/>
      <c r="QZK28" s="381"/>
      <c r="QZL28" s="381"/>
      <c r="QZM28" s="379"/>
      <c r="QZN28" s="380"/>
      <c r="QZO28" s="380"/>
      <c r="QZP28" s="380"/>
      <c r="QZQ28" s="381"/>
      <c r="QZR28" s="381"/>
      <c r="QZS28" s="381"/>
      <c r="QZT28" s="381"/>
      <c r="QZU28" s="381"/>
      <c r="QZV28" s="381"/>
      <c r="QZW28" s="381"/>
      <c r="QZX28" s="381"/>
      <c r="QZY28" s="381"/>
      <c r="QZZ28" s="381"/>
      <c r="RAA28" s="381"/>
      <c r="RAB28" s="381"/>
      <c r="RAC28" s="381"/>
      <c r="RAD28" s="381"/>
      <c r="RAE28" s="381"/>
      <c r="RAF28" s="381"/>
      <c r="RAG28" s="381"/>
      <c r="RAH28" s="381"/>
      <c r="RAI28" s="381"/>
      <c r="RAJ28" s="381"/>
      <c r="RAK28" s="381"/>
      <c r="RAL28" s="381"/>
      <c r="RAM28" s="381"/>
      <c r="RAN28" s="381"/>
      <c r="RAO28" s="381"/>
      <c r="RAP28" s="381"/>
      <c r="RAQ28" s="379"/>
      <c r="RAR28" s="380"/>
      <c r="RAS28" s="380"/>
      <c r="RAT28" s="380"/>
      <c r="RAU28" s="381"/>
      <c r="RAV28" s="381"/>
      <c r="RAW28" s="381"/>
      <c r="RAX28" s="381"/>
      <c r="RAY28" s="381"/>
      <c r="RAZ28" s="381"/>
      <c r="RBA28" s="381"/>
      <c r="RBB28" s="381"/>
      <c r="RBC28" s="381"/>
      <c r="RBD28" s="381"/>
      <c r="RBE28" s="381"/>
      <c r="RBF28" s="381"/>
      <c r="RBG28" s="381"/>
      <c r="RBH28" s="381"/>
      <c r="RBI28" s="381"/>
      <c r="RBJ28" s="381"/>
      <c r="RBK28" s="381"/>
      <c r="RBL28" s="381"/>
      <c r="RBM28" s="381"/>
      <c r="RBN28" s="381"/>
      <c r="RBO28" s="381"/>
      <c r="RBP28" s="381"/>
      <c r="RBQ28" s="381"/>
      <c r="RBR28" s="381"/>
      <c r="RBS28" s="381"/>
      <c r="RBT28" s="381"/>
      <c r="RBU28" s="379"/>
      <c r="RBV28" s="380"/>
      <c r="RBW28" s="380"/>
      <c r="RBX28" s="380"/>
      <c r="RBY28" s="381"/>
      <c r="RBZ28" s="381"/>
      <c r="RCA28" s="381"/>
      <c r="RCB28" s="381"/>
      <c r="RCC28" s="381"/>
      <c r="RCD28" s="381"/>
      <c r="RCE28" s="381"/>
      <c r="RCF28" s="381"/>
      <c r="RCG28" s="381"/>
      <c r="RCH28" s="381"/>
      <c r="RCI28" s="381"/>
      <c r="RCJ28" s="381"/>
      <c r="RCK28" s="381"/>
      <c r="RCL28" s="381"/>
      <c r="RCM28" s="381"/>
      <c r="RCN28" s="381"/>
      <c r="RCO28" s="381"/>
      <c r="RCP28" s="381"/>
      <c r="RCQ28" s="381"/>
      <c r="RCR28" s="381"/>
      <c r="RCS28" s="381"/>
      <c r="RCT28" s="381"/>
      <c r="RCU28" s="381"/>
      <c r="RCV28" s="381"/>
      <c r="RCW28" s="381"/>
      <c r="RCX28" s="381"/>
      <c r="RCY28" s="379"/>
      <c r="RCZ28" s="380"/>
      <c r="RDA28" s="380"/>
      <c r="RDB28" s="380"/>
      <c r="RDC28" s="381"/>
      <c r="RDD28" s="381"/>
      <c r="RDE28" s="381"/>
      <c r="RDF28" s="381"/>
      <c r="RDG28" s="381"/>
      <c r="RDH28" s="381"/>
      <c r="RDI28" s="381"/>
      <c r="RDJ28" s="381"/>
      <c r="RDK28" s="381"/>
      <c r="RDL28" s="381"/>
      <c r="RDM28" s="381"/>
      <c r="RDN28" s="381"/>
      <c r="RDO28" s="381"/>
      <c r="RDP28" s="381"/>
      <c r="RDQ28" s="381"/>
      <c r="RDR28" s="381"/>
      <c r="RDS28" s="381"/>
      <c r="RDT28" s="381"/>
      <c r="RDU28" s="381"/>
      <c r="RDV28" s="381"/>
      <c r="RDW28" s="381"/>
      <c r="RDX28" s="381"/>
      <c r="RDY28" s="381"/>
      <c r="RDZ28" s="381"/>
      <c r="REA28" s="381"/>
      <c r="REB28" s="381"/>
      <c r="REC28" s="379"/>
      <c r="RED28" s="380"/>
      <c r="REE28" s="380"/>
      <c r="REF28" s="380"/>
      <c r="REG28" s="381"/>
      <c r="REH28" s="381"/>
      <c r="REI28" s="381"/>
      <c r="REJ28" s="381"/>
      <c r="REK28" s="381"/>
      <c r="REL28" s="381"/>
      <c r="REM28" s="381"/>
      <c r="REN28" s="381"/>
      <c r="REO28" s="381"/>
      <c r="REP28" s="381"/>
      <c r="REQ28" s="381"/>
      <c r="RER28" s="381"/>
      <c r="RES28" s="381"/>
      <c r="RET28" s="381"/>
      <c r="REU28" s="381"/>
      <c r="REV28" s="381"/>
      <c r="REW28" s="381"/>
      <c r="REX28" s="381"/>
      <c r="REY28" s="381"/>
      <c r="REZ28" s="381"/>
      <c r="RFA28" s="381"/>
      <c r="RFB28" s="381"/>
      <c r="RFC28" s="381"/>
      <c r="RFD28" s="381"/>
      <c r="RFE28" s="381"/>
      <c r="RFF28" s="381"/>
      <c r="RFG28" s="379"/>
      <c r="RFH28" s="380"/>
      <c r="RFI28" s="380"/>
      <c r="RFJ28" s="380"/>
      <c r="RFK28" s="381"/>
      <c r="RFL28" s="381"/>
      <c r="RFM28" s="381"/>
      <c r="RFN28" s="381"/>
      <c r="RFO28" s="381"/>
      <c r="RFP28" s="381"/>
      <c r="RFQ28" s="381"/>
      <c r="RFR28" s="381"/>
      <c r="RFS28" s="381"/>
      <c r="RFT28" s="381"/>
      <c r="RFU28" s="381"/>
      <c r="RFV28" s="381"/>
      <c r="RFW28" s="381"/>
      <c r="RFX28" s="381"/>
      <c r="RFY28" s="381"/>
      <c r="RFZ28" s="381"/>
      <c r="RGA28" s="381"/>
      <c r="RGB28" s="381"/>
      <c r="RGC28" s="381"/>
      <c r="RGD28" s="381"/>
      <c r="RGE28" s="381"/>
      <c r="RGF28" s="381"/>
      <c r="RGG28" s="381"/>
      <c r="RGH28" s="381"/>
      <c r="RGI28" s="381"/>
      <c r="RGJ28" s="381"/>
      <c r="RGK28" s="379"/>
      <c r="RGL28" s="380"/>
      <c r="RGM28" s="380"/>
      <c r="RGN28" s="380"/>
      <c r="RGO28" s="381"/>
      <c r="RGP28" s="381"/>
      <c r="RGQ28" s="381"/>
      <c r="RGR28" s="381"/>
      <c r="RGS28" s="381"/>
      <c r="RGT28" s="381"/>
      <c r="RGU28" s="381"/>
      <c r="RGV28" s="381"/>
      <c r="RGW28" s="381"/>
      <c r="RGX28" s="381"/>
      <c r="RGY28" s="381"/>
      <c r="RGZ28" s="381"/>
      <c r="RHA28" s="381"/>
      <c r="RHB28" s="381"/>
      <c r="RHC28" s="381"/>
      <c r="RHD28" s="381"/>
      <c r="RHE28" s="381"/>
      <c r="RHF28" s="381"/>
      <c r="RHG28" s="381"/>
      <c r="RHH28" s="381"/>
      <c r="RHI28" s="381"/>
      <c r="RHJ28" s="381"/>
      <c r="RHK28" s="381"/>
      <c r="RHL28" s="381"/>
      <c r="RHM28" s="381"/>
      <c r="RHN28" s="381"/>
      <c r="RHO28" s="379"/>
      <c r="RHP28" s="380"/>
      <c r="RHQ28" s="380"/>
      <c r="RHR28" s="380"/>
      <c r="RHS28" s="381"/>
      <c r="RHT28" s="381"/>
      <c r="RHU28" s="381"/>
      <c r="RHV28" s="381"/>
      <c r="RHW28" s="381"/>
      <c r="RHX28" s="381"/>
      <c r="RHY28" s="381"/>
      <c r="RHZ28" s="381"/>
      <c r="RIA28" s="381"/>
      <c r="RIB28" s="381"/>
      <c r="RIC28" s="381"/>
      <c r="RID28" s="381"/>
      <c r="RIE28" s="381"/>
      <c r="RIF28" s="381"/>
      <c r="RIG28" s="381"/>
      <c r="RIH28" s="381"/>
      <c r="RII28" s="381"/>
      <c r="RIJ28" s="381"/>
      <c r="RIK28" s="381"/>
      <c r="RIL28" s="381"/>
      <c r="RIM28" s="381"/>
      <c r="RIN28" s="381"/>
      <c r="RIO28" s="381"/>
      <c r="RIP28" s="381"/>
      <c r="RIQ28" s="381"/>
      <c r="RIR28" s="381"/>
      <c r="RIS28" s="379"/>
      <c r="RIT28" s="380"/>
      <c r="RIU28" s="380"/>
      <c r="RIV28" s="380"/>
      <c r="RIW28" s="381"/>
      <c r="RIX28" s="381"/>
      <c r="RIY28" s="381"/>
      <c r="RIZ28" s="381"/>
      <c r="RJA28" s="381"/>
      <c r="RJB28" s="381"/>
      <c r="RJC28" s="381"/>
      <c r="RJD28" s="381"/>
      <c r="RJE28" s="381"/>
      <c r="RJF28" s="381"/>
      <c r="RJG28" s="381"/>
      <c r="RJH28" s="381"/>
      <c r="RJI28" s="381"/>
      <c r="RJJ28" s="381"/>
      <c r="RJK28" s="381"/>
      <c r="RJL28" s="381"/>
      <c r="RJM28" s="381"/>
      <c r="RJN28" s="381"/>
      <c r="RJO28" s="381"/>
      <c r="RJP28" s="381"/>
      <c r="RJQ28" s="381"/>
      <c r="RJR28" s="381"/>
      <c r="RJS28" s="381"/>
      <c r="RJT28" s="381"/>
      <c r="RJU28" s="381"/>
      <c r="RJV28" s="381"/>
      <c r="RJW28" s="379"/>
      <c r="RJX28" s="380"/>
      <c r="RJY28" s="380"/>
      <c r="RJZ28" s="380"/>
      <c r="RKA28" s="381"/>
      <c r="RKB28" s="381"/>
      <c r="RKC28" s="381"/>
      <c r="RKD28" s="381"/>
      <c r="RKE28" s="381"/>
      <c r="RKF28" s="381"/>
      <c r="RKG28" s="381"/>
      <c r="RKH28" s="381"/>
      <c r="RKI28" s="381"/>
      <c r="RKJ28" s="381"/>
      <c r="RKK28" s="381"/>
      <c r="RKL28" s="381"/>
      <c r="RKM28" s="381"/>
      <c r="RKN28" s="381"/>
      <c r="RKO28" s="381"/>
      <c r="RKP28" s="381"/>
      <c r="RKQ28" s="381"/>
      <c r="RKR28" s="381"/>
      <c r="RKS28" s="381"/>
      <c r="RKT28" s="381"/>
      <c r="RKU28" s="381"/>
      <c r="RKV28" s="381"/>
      <c r="RKW28" s="381"/>
      <c r="RKX28" s="381"/>
      <c r="RKY28" s="381"/>
      <c r="RKZ28" s="381"/>
      <c r="RLA28" s="379"/>
      <c r="RLB28" s="380"/>
      <c r="RLC28" s="380"/>
      <c r="RLD28" s="380"/>
      <c r="RLE28" s="381"/>
      <c r="RLF28" s="381"/>
      <c r="RLG28" s="381"/>
      <c r="RLH28" s="381"/>
      <c r="RLI28" s="381"/>
      <c r="RLJ28" s="381"/>
      <c r="RLK28" s="381"/>
      <c r="RLL28" s="381"/>
      <c r="RLM28" s="381"/>
      <c r="RLN28" s="381"/>
      <c r="RLO28" s="381"/>
      <c r="RLP28" s="381"/>
      <c r="RLQ28" s="381"/>
      <c r="RLR28" s="381"/>
      <c r="RLS28" s="381"/>
      <c r="RLT28" s="381"/>
      <c r="RLU28" s="381"/>
      <c r="RLV28" s="381"/>
      <c r="RLW28" s="381"/>
      <c r="RLX28" s="381"/>
      <c r="RLY28" s="381"/>
      <c r="RLZ28" s="381"/>
      <c r="RMA28" s="381"/>
      <c r="RMB28" s="381"/>
      <c r="RMC28" s="381"/>
      <c r="RMD28" s="381"/>
      <c r="RME28" s="379"/>
      <c r="RMF28" s="380"/>
      <c r="RMG28" s="380"/>
      <c r="RMH28" s="380"/>
      <c r="RMI28" s="381"/>
      <c r="RMJ28" s="381"/>
      <c r="RMK28" s="381"/>
      <c r="RML28" s="381"/>
      <c r="RMM28" s="381"/>
      <c r="RMN28" s="381"/>
      <c r="RMO28" s="381"/>
      <c r="RMP28" s="381"/>
      <c r="RMQ28" s="381"/>
      <c r="RMR28" s="381"/>
      <c r="RMS28" s="381"/>
      <c r="RMT28" s="381"/>
      <c r="RMU28" s="381"/>
      <c r="RMV28" s="381"/>
      <c r="RMW28" s="381"/>
      <c r="RMX28" s="381"/>
      <c r="RMY28" s="381"/>
      <c r="RMZ28" s="381"/>
      <c r="RNA28" s="381"/>
      <c r="RNB28" s="381"/>
      <c r="RNC28" s="381"/>
      <c r="RND28" s="381"/>
      <c r="RNE28" s="381"/>
      <c r="RNF28" s="381"/>
      <c r="RNG28" s="381"/>
      <c r="RNH28" s="381"/>
      <c r="RNI28" s="379"/>
      <c r="RNJ28" s="380"/>
      <c r="RNK28" s="380"/>
      <c r="RNL28" s="380"/>
      <c r="RNM28" s="381"/>
      <c r="RNN28" s="381"/>
      <c r="RNO28" s="381"/>
      <c r="RNP28" s="381"/>
      <c r="RNQ28" s="381"/>
      <c r="RNR28" s="381"/>
      <c r="RNS28" s="381"/>
      <c r="RNT28" s="381"/>
      <c r="RNU28" s="381"/>
      <c r="RNV28" s="381"/>
      <c r="RNW28" s="381"/>
      <c r="RNX28" s="381"/>
      <c r="RNY28" s="381"/>
      <c r="RNZ28" s="381"/>
      <c r="ROA28" s="381"/>
      <c r="ROB28" s="381"/>
      <c r="ROC28" s="381"/>
      <c r="ROD28" s="381"/>
      <c r="ROE28" s="381"/>
      <c r="ROF28" s="381"/>
      <c r="ROG28" s="381"/>
      <c r="ROH28" s="381"/>
      <c r="ROI28" s="381"/>
      <c r="ROJ28" s="381"/>
      <c r="ROK28" s="381"/>
      <c r="ROL28" s="381"/>
      <c r="ROM28" s="379"/>
      <c r="RON28" s="380"/>
      <c r="ROO28" s="380"/>
      <c r="ROP28" s="380"/>
      <c r="ROQ28" s="381"/>
      <c r="ROR28" s="381"/>
      <c r="ROS28" s="381"/>
      <c r="ROT28" s="381"/>
      <c r="ROU28" s="381"/>
      <c r="ROV28" s="381"/>
      <c r="ROW28" s="381"/>
      <c r="ROX28" s="381"/>
      <c r="ROY28" s="381"/>
      <c r="ROZ28" s="381"/>
      <c r="RPA28" s="381"/>
      <c r="RPB28" s="381"/>
      <c r="RPC28" s="381"/>
      <c r="RPD28" s="381"/>
      <c r="RPE28" s="381"/>
      <c r="RPF28" s="381"/>
      <c r="RPG28" s="381"/>
      <c r="RPH28" s="381"/>
      <c r="RPI28" s="381"/>
      <c r="RPJ28" s="381"/>
      <c r="RPK28" s="381"/>
      <c r="RPL28" s="381"/>
      <c r="RPM28" s="381"/>
      <c r="RPN28" s="381"/>
      <c r="RPO28" s="381"/>
      <c r="RPP28" s="381"/>
      <c r="RPQ28" s="379"/>
      <c r="RPR28" s="380"/>
      <c r="RPS28" s="380"/>
      <c r="RPT28" s="380"/>
      <c r="RPU28" s="381"/>
      <c r="RPV28" s="381"/>
      <c r="RPW28" s="381"/>
      <c r="RPX28" s="381"/>
      <c r="RPY28" s="381"/>
      <c r="RPZ28" s="381"/>
      <c r="RQA28" s="381"/>
      <c r="RQB28" s="381"/>
      <c r="RQC28" s="381"/>
      <c r="RQD28" s="381"/>
      <c r="RQE28" s="381"/>
      <c r="RQF28" s="381"/>
      <c r="RQG28" s="381"/>
      <c r="RQH28" s="381"/>
      <c r="RQI28" s="381"/>
      <c r="RQJ28" s="381"/>
      <c r="RQK28" s="381"/>
      <c r="RQL28" s="381"/>
      <c r="RQM28" s="381"/>
      <c r="RQN28" s="381"/>
      <c r="RQO28" s="381"/>
      <c r="RQP28" s="381"/>
      <c r="RQQ28" s="381"/>
      <c r="RQR28" s="381"/>
      <c r="RQS28" s="381"/>
      <c r="RQT28" s="381"/>
      <c r="RQU28" s="379"/>
      <c r="RQV28" s="380"/>
      <c r="RQW28" s="380"/>
      <c r="RQX28" s="380"/>
      <c r="RQY28" s="381"/>
      <c r="RQZ28" s="381"/>
      <c r="RRA28" s="381"/>
      <c r="RRB28" s="381"/>
      <c r="RRC28" s="381"/>
      <c r="RRD28" s="381"/>
      <c r="RRE28" s="381"/>
      <c r="RRF28" s="381"/>
      <c r="RRG28" s="381"/>
      <c r="RRH28" s="381"/>
      <c r="RRI28" s="381"/>
      <c r="RRJ28" s="381"/>
      <c r="RRK28" s="381"/>
      <c r="RRL28" s="381"/>
      <c r="RRM28" s="381"/>
      <c r="RRN28" s="381"/>
      <c r="RRO28" s="381"/>
      <c r="RRP28" s="381"/>
      <c r="RRQ28" s="381"/>
      <c r="RRR28" s="381"/>
      <c r="RRS28" s="381"/>
      <c r="RRT28" s="381"/>
      <c r="RRU28" s="381"/>
      <c r="RRV28" s="381"/>
      <c r="RRW28" s="381"/>
      <c r="RRX28" s="381"/>
      <c r="RRY28" s="379"/>
      <c r="RRZ28" s="380"/>
      <c r="RSA28" s="380"/>
      <c r="RSB28" s="380"/>
      <c r="RSC28" s="381"/>
      <c r="RSD28" s="381"/>
      <c r="RSE28" s="381"/>
      <c r="RSF28" s="381"/>
      <c r="RSG28" s="381"/>
      <c r="RSH28" s="381"/>
      <c r="RSI28" s="381"/>
      <c r="RSJ28" s="381"/>
      <c r="RSK28" s="381"/>
      <c r="RSL28" s="381"/>
      <c r="RSM28" s="381"/>
      <c r="RSN28" s="381"/>
      <c r="RSO28" s="381"/>
      <c r="RSP28" s="381"/>
      <c r="RSQ28" s="381"/>
      <c r="RSR28" s="381"/>
      <c r="RSS28" s="381"/>
      <c r="RST28" s="381"/>
      <c r="RSU28" s="381"/>
      <c r="RSV28" s="381"/>
      <c r="RSW28" s="381"/>
      <c r="RSX28" s="381"/>
      <c r="RSY28" s="381"/>
      <c r="RSZ28" s="381"/>
      <c r="RTA28" s="381"/>
      <c r="RTB28" s="381"/>
      <c r="RTC28" s="379"/>
      <c r="RTD28" s="380"/>
      <c r="RTE28" s="380"/>
      <c r="RTF28" s="380"/>
      <c r="RTG28" s="381"/>
      <c r="RTH28" s="381"/>
      <c r="RTI28" s="381"/>
      <c r="RTJ28" s="381"/>
      <c r="RTK28" s="381"/>
      <c r="RTL28" s="381"/>
      <c r="RTM28" s="381"/>
      <c r="RTN28" s="381"/>
      <c r="RTO28" s="381"/>
      <c r="RTP28" s="381"/>
      <c r="RTQ28" s="381"/>
      <c r="RTR28" s="381"/>
      <c r="RTS28" s="381"/>
      <c r="RTT28" s="381"/>
      <c r="RTU28" s="381"/>
      <c r="RTV28" s="381"/>
      <c r="RTW28" s="381"/>
      <c r="RTX28" s="381"/>
      <c r="RTY28" s="381"/>
      <c r="RTZ28" s="381"/>
      <c r="RUA28" s="381"/>
      <c r="RUB28" s="381"/>
      <c r="RUC28" s="381"/>
      <c r="RUD28" s="381"/>
      <c r="RUE28" s="381"/>
      <c r="RUF28" s="381"/>
      <c r="RUG28" s="379"/>
      <c r="RUH28" s="380"/>
      <c r="RUI28" s="380"/>
      <c r="RUJ28" s="380"/>
      <c r="RUK28" s="381"/>
      <c r="RUL28" s="381"/>
      <c r="RUM28" s="381"/>
      <c r="RUN28" s="381"/>
      <c r="RUO28" s="381"/>
      <c r="RUP28" s="381"/>
      <c r="RUQ28" s="381"/>
      <c r="RUR28" s="381"/>
      <c r="RUS28" s="381"/>
      <c r="RUT28" s="381"/>
      <c r="RUU28" s="381"/>
      <c r="RUV28" s="381"/>
      <c r="RUW28" s="381"/>
      <c r="RUX28" s="381"/>
      <c r="RUY28" s="381"/>
      <c r="RUZ28" s="381"/>
      <c r="RVA28" s="381"/>
      <c r="RVB28" s="381"/>
      <c r="RVC28" s="381"/>
      <c r="RVD28" s="381"/>
      <c r="RVE28" s="381"/>
      <c r="RVF28" s="381"/>
      <c r="RVG28" s="381"/>
      <c r="RVH28" s="381"/>
      <c r="RVI28" s="381"/>
      <c r="RVJ28" s="381"/>
      <c r="RVK28" s="379"/>
      <c r="RVL28" s="380"/>
      <c r="RVM28" s="380"/>
      <c r="RVN28" s="380"/>
      <c r="RVO28" s="381"/>
      <c r="RVP28" s="381"/>
      <c r="RVQ28" s="381"/>
      <c r="RVR28" s="381"/>
      <c r="RVS28" s="381"/>
      <c r="RVT28" s="381"/>
      <c r="RVU28" s="381"/>
      <c r="RVV28" s="381"/>
      <c r="RVW28" s="381"/>
      <c r="RVX28" s="381"/>
      <c r="RVY28" s="381"/>
      <c r="RVZ28" s="381"/>
      <c r="RWA28" s="381"/>
      <c r="RWB28" s="381"/>
      <c r="RWC28" s="381"/>
      <c r="RWD28" s="381"/>
      <c r="RWE28" s="381"/>
      <c r="RWF28" s="381"/>
      <c r="RWG28" s="381"/>
      <c r="RWH28" s="381"/>
      <c r="RWI28" s="381"/>
      <c r="RWJ28" s="381"/>
      <c r="RWK28" s="381"/>
      <c r="RWL28" s="381"/>
      <c r="RWM28" s="381"/>
      <c r="RWN28" s="381"/>
      <c r="RWO28" s="379"/>
      <c r="RWP28" s="380"/>
      <c r="RWQ28" s="380"/>
      <c r="RWR28" s="380"/>
      <c r="RWS28" s="381"/>
      <c r="RWT28" s="381"/>
      <c r="RWU28" s="381"/>
      <c r="RWV28" s="381"/>
      <c r="RWW28" s="381"/>
      <c r="RWX28" s="381"/>
      <c r="RWY28" s="381"/>
      <c r="RWZ28" s="381"/>
      <c r="RXA28" s="381"/>
      <c r="RXB28" s="381"/>
      <c r="RXC28" s="381"/>
      <c r="RXD28" s="381"/>
      <c r="RXE28" s="381"/>
      <c r="RXF28" s="381"/>
      <c r="RXG28" s="381"/>
      <c r="RXH28" s="381"/>
      <c r="RXI28" s="381"/>
      <c r="RXJ28" s="381"/>
      <c r="RXK28" s="381"/>
      <c r="RXL28" s="381"/>
      <c r="RXM28" s="381"/>
      <c r="RXN28" s="381"/>
      <c r="RXO28" s="381"/>
      <c r="RXP28" s="381"/>
      <c r="RXQ28" s="381"/>
      <c r="RXR28" s="381"/>
      <c r="RXS28" s="379"/>
      <c r="RXT28" s="380"/>
      <c r="RXU28" s="380"/>
      <c r="RXV28" s="380"/>
      <c r="RXW28" s="381"/>
      <c r="RXX28" s="381"/>
      <c r="RXY28" s="381"/>
      <c r="RXZ28" s="381"/>
      <c r="RYA28" s="381"/>
      <c r="RYB28" s="381"/>
      <c r="RYC28" s="381"/>
      <c r="RYD28" s="381"/>
      <c r="RYE28" s="381"/>
      <c r="RYF28" s="381"/>
      <c r="RYG28" s="381"/>
      <c r="RYH28" s="381"/>
      <c r="RYI28" s="381"/>
      <c r="RYJ28" s="381"/>
      <c r="RYK28" s="381"/>
      <c r="RYL28" s="381"/>
      <c r="RYM28" s="381"/>
      <c r="RYN28" s="381"/>
      <c r="RYO28" s="381"/>
      <c r="RYP28" s="381"/>
      <c r="RYQ28" s="381"/>
      <c r="RYR28" s="381"/>
      <c r="RYS28" s="381"/>
      <c r="RYT28" s="381"/>
      <c r="RYU28" s="381"/>
      <c r="RYV28" s="381"/>
      <c r="RYW28" s="379"/>
      <c r="RYX28" s="380"/>
      <c r="RYY28" s="380"/>
      <c r="RYZ28" s="380"/>
      <c r="RZA28" s="381"/>
      <c r="RZB28" s="381"/>
      <c r="RZC28" s="381"/>
      <c r="RZD28" s="381"/>
      <c r="RZE28" s="381"/>
      <c r="RZF28" s="381"/>
      <c r="RZG28" s="381"/>
      <c r="RZH28" s="381"/>
      <c r="RZI28" s="381"/>
      <c r="RZJ28" s="381"/>
      <c r="RZK28" s="381"/>
      <c r="RZL28" s="381"/>
      <c r="RZM28" s="381"/>
      <c r="RZN28" s="381"/>
      <c r="RZO28" s="381"/>
      <c r="RZP28" s="381"/>
      <c r="RZQ28" s="381"/>
      <c r="RZR28" s="381"/>
      <c r="RZS28" s="381"/>
      <c r="RZT28" s="381"/>
      <c r="RZU28" s="381"/>
      <c r="RZV28" s="381"/>
      <c r="RZW28" s="381"/>
      <c r="RZX28" s="381"/>
      <c r="RZY28" s="381"/>
      <c r="RZZ28" s="381"/>
      <c r="SAA28" s="379"/>
      <c r="SAB28" s="380"/>
      <c r="SAC28" s="380"/>
      <c r="SAD28" s="380"/>
      <c r="SAE28" s="381"/>
      <c r="SAF28" s="381"/>
      <c r="SAG28" s="381"/>
      <c r="SAH28" s="381"/>
      <c r="SAI28" s="381"/>
      <c r="SAJ28" s="381"/>
      <c r="SAK28" s="381"/>
      <c r="SAL28" s="381"/>
      <c r="SAM28" s="381"/>
      <c r="SAN28" s="381"/>
      <c r="SAO28" s="381"/>
      <c r="SAP28" s="381"/>
      <c r="SAQ28" s="381"/>
      <c r="SAR28" s="381"/>
      <c r="SAS28" s="381"/>
      <c r="SAT28" s="381"/>
      <c r="SAU28" s="381"/>
      <c r="SAV28" s="381"/>
      <c r="SAW28" s="381"/>
      <c r="SAX28" s="381"/>
      <c r="SAY28" s="381"/>
      <c r="SAZ28" s="381"/>
      <c r="SBA28" s="381"/>
      <c r="SBB28" s="381"/>
      <c r="SBC28" s="381"/>
      <c r="SBD28" s="381"/>
      <c r="SBE28" s="379"/>
      <c r="SBF28" s="380"/>
      <c r="SBG28" s="380"/>
      <c r="SBH28" s="380"/>
      <c r="SBI28" s="381"/>
      <c r="SBJ28" s="381"/>
      <c r="SBK28" s="381"/>
      <c r="SBL28" s="381"/>
      <c r="SBM28" s="381"/>
      <c r="SBN28" s="381"/>
      <c r="SBO28" s="381"/>
      <c r="SBP28" s="381"/>
      <c r="SBQ28" s="381"/>
      <c r="SBR28" s="381"/>
      <c r="SBS28" s="381"/>
      <c r="SBT28" s="381"/>
      <c r="SBU28" s="381"/>
      <c r="SBV28" s="381"/>
      <c r="SBW28" s="381"/>
      <c r="SBX28" s="381"/>
      <c r="SBY28" s="381"/>
      <c r="SBZ28" s="381"/>
      <c r="SCA28" s="381"/>
      <c r="SCB28" s="381"/>
      <c r="SCC28" s="381"/>
      <c r="SCD28" s="381"/>
      <c r="SCE28" s="381"/>
      <c r="SCF28" s="381"/>
      <c r="SCG28" s="381"/>
      <c r="SCH28" s="381"/>
      <c r="SCI28" s="379"/>
      <c r="SCJ28" s="380"/>
      <c r="SCK28" s="380"/>
      <c r="SCL28" s="380"/>
      <c r="SCM28" s="381"/>
      <c r="SCN28" s="381"/>
      <c r="SCO28" s="381"/>
      <c r="SCP28" s="381"/>
      <c r="SCQ28" s="381"/>
      <c r="SCR28" s="381"/>
      <c r="SCS28" s="381"/>
      <c r="SCT28" s="381"/>
      <c r="SCU28" s="381"/>
      <c r="SCV28" s="381"/>
      <c r="SCW28" s="381"/>
      <c r="SCX28" s="381"/>
      <c r="SCY28" s="381"/>
      <c r="SCZ28" s="381"/>
      <c r="SDA28" s="381"/>
      <c r="SDB28" s="381"/>
      <c r="SDC28" s="381"/>
      <c r="SDD28" s="381"/>
      <c r="SDE28" s="381"/>
      <c r="SDF28" s="381"/>
      <c r="SDG28" s="381"/>
      <c r="SDH28" s="381"/>
      <c r="SDI28" s="381"/>
      <c r="SDJ28" s="381"/>
      <c r="SDK28" s="381"/>
      <c r="SDL28" s="381"/>
      <c r="SDM28" s="379"/>
      <c r="SDN28" s="380"/>
      <c r="SDO28" s="380"/>
      <c r="SDP28" s="380"/>
      <c r="SDQ28" s="381"/>
      <c r="SDR28" s="381"/>
      <c r="SDS28" s="381"/>
      <c r="SDT28" s="381"/>
      <c r="SDU28" s="381"/>
      <c r="SDV28" s="381"/>
      <c r="SDW28" s="381"/>
      <c r="SDX28" s="381"/>
      <c r="SDY28" s="381"/>
      <c r="SDZ28" s="381"/>
      <c r="SEA28" s="381"/>
      <c r="SEB28" s="381"/>
      <c r="SEC28" s="381"/>
      <c r="SED28" s="381"/>
      <c r="SEE28" s="381"/>
      <c r="SEF28" s="381"/>
      <c r="SEG28" s="381"/>
      <c r="SEH28" s="381"/>
      <c r="SEI28" s="381"/>
      <c r="SEJ28" s="381"/>
      <c r="SEK28" s="381"/>
      <c r="SEL28" s="381"/>
      <c r="SEM28" s="381"/>
      <c r="SEN28" s="381"/>
      <c r="SEO28" s="381"/>
      <c r="SEP28" s="381"/>
      <c r="SEQ28" s="379"/>
      <c r="SER28" s="380"/>
      <c r="SES28" s="380"/>
      <c r="SET28" s="380"/>
      <c r="SEU28" s="381"/>
      <c r="SEV28" s="381"/>
      <c r="SEW28" s="381"/>
      <c r="SEX28" s="381"/>
      <c r="SEY28" s="381"/>
      <c r="SEZ28" s="381"/>
      <c r="SFA28" s="381"/>
      <c r="SFB28" s="381"/>
      <c r="SFC28" s="381"/>
      <c r="SFD28" s="381"/>
      <c r="SFE28" s="381"/>
      <c r="SFF28" s="381"/>
      <c r="SFG28" s="381"/>
      <c r="SFH28" s="381"/>
      <c r="SFI28" s="381"/>
      <c r="SFJ28" s="381"/>
      <c r="SFK28" s="381"/>
      <c r="SFL28" s="381"/>
      <c r="SFM28" s="381"/>
      <c r="SFN28" s="381"/>
      <c r="SFO28" s="381"/>
      <c r="SFP28" s="381"/>
      <c r="SFQ28" s="381"/>
      <c r="SFR28" s="381"/>
      <c r="SFS28" s="381"/>
      <c r="SFT28" s="381"/>
      <c r="SFU28" s="379"/>
      <c r="SFV28" s="380"/>
      <c r="SFW28" s="380"/>
      <c r="SFX28" s="380"/>
      <c r="SFY28" s="381"/>
      <c r="SFZ28" s="381"/>
      <c r="SGA28" s="381"/>
      <c r="SGB28" s="381"/>
      <c r="SGC28" s="381"/>
      <c r="SGD28" s="381"/>
      <c r="SGE28" s="381"/>
      <c r="SGF28" s="381"/>
      <c r="SGG28" s="381"/>
      <c r="SGH28" s="381"/>
      <c r="SGI28" s="381"/>
      <c r="SGJ28" s="381"/>
      <c r="SGK28" s="381"/>
      <c r="SGL28" s="381"/>
      <c r="SGM28" s="381"/>
      <c r="SGN28" s="381"/>
      <c r="SGO28" s="381"/>
      <c r="SGP28" s="381"/>
      <c r="SGQ28" s="381"/>
      <c r="SGR28" s="381"/>
      <c r="SGS28" s="381"/>
      <c r="SGT28" s="381"/>
      <c r="SGU28" s="381"/>
      <c r="SGV28" s="381"/>
      <c r="SGW28" s="381"/>
      <c r="SGX28" s="381"/>
      <c r="SGY28" s="379"/>
      <c r="SGZ28" s="380"/>
      <c r="SHA28" s="380"/>
      <c r="SHB28" s="380"/>
      <c r="SHC28" s="381"/>
      <c r="SHD28" s="381"/>
      <c r="SHE28" s="381"/>
      <c r="SHF28" s="381"/>
      <c r="SHG28" s="381"/>
      <c r="SHH28" s="381"/>
      <c r="SHI28" s="381"/>
      <c r="SHJ28" s="381"/>
      <c r="SHK28" s="381"/>
      <c r="SHL28" s="381"/>
      <c r="SHM28" s="381"/>
      <c r="SHN28" s="381"/>
      <c r="SHO28" s="381"/>
      <c r="SHP28" s="381"/>
      <c r="SHQ28" s="381"/>
      <c r="SHR28" s="381"/>
      <c r="SHS28" s="381"/>
      <c r="SHT28" s="381"/>
      <c r="SHU28" s="381"/>
      <c r="SHV28" s="381"/>
      <c r="SHW28" s="381"/>
      <c r="SHX28" s="381"/>
      <c r="SHY28" s="381"/>
      <c r="SHZ28" s="381"/>
      <c r="SIA28" s="381"/>
      <c r="SIB28" s="381"/>
      <c r="SIC28" s="379"/>
      <c r="SID28" s="380"/>
      <c r="SIE28" s="380"/>
      <c r="SIF28" s="380"/>
      <c r="SIG28" s="381"/>
      <c r="SIH28" s="381"/>
      <c r="SII28" s="381"/>
      <c r="SIJ28" s="381"/>
      <c r="SIK28" s="381"/>
      <c r="SIL28" s="381"/>
      <c r="SIM28" s="381"/>
      <c r="SIN28" s="381"/>
      <c r="SIO28" s="381"/>
      <c r="SIP28" s="381"/>
      <c r="SIQ28" s="381"/>
      <c r="SIR28" s="381"/>
      <c r="SIS28" s="381"/>
      <c r="SIT28" s="381"/>
      <c r="SIU28" s="381"/>
      <c r="SIV28" s="381"/>
      <c r="SIW28" s="381"/>
      <c r="SIX28" s="381"/>
      <c r="SIY28" s="381"/>
      <c r="SIZ28" s="381"/>
      <c r="SJA28" s="381"/>
      <c r="SJB28" s="381"/>
      <c r="SJC28" s="381"/>
      <c r="SJD28" s="381"/>
      <c r="SJE28" s="381"/>
      <c r="SJF28" s="381"/>
      <c r="SJG28" s="379"/>
      <c r="SJH28" s="380"/>
      <c r="SJI28" s="380"/>
      <c r="SJJ28" s="380"/>
      <c r="SJK28" s="381"/>
      <c r="SJL28" s="381"/>
      <c r="SJM28" s="381"/>
      <c r="SJN28" s="381"/>
      <c r="SJO28" s="381"/>
      <c r="SJP28" s="381"/>
      <c r="SJQ28" s="381"/>
      <c r="SJR28" s="381"/>
      <c r="SJS28" s="381"/>
      <c r="SJT28" s="381"/>
      <c r="SJU28" s="381"/>
      <c r="SJV28" s="381"/>
      <c r="SJW28" s="381"/>
      <c r="SJX28" s="381"/>
      <c r="SJY28" s="381"/>
      <c r="SJZ28" s="381"/>
      <c r="SKA28" s="381"/>
      <c r="SKB28" s="381"/>
      <c r="SKC28" s="381"/>
      <c r="SKD28" s="381"/>
      <c r="SKE28" s="381"/>
      <c r="SKF28" s="381"/>
      <c r="SKG28" s="381"/>
      <c r="SKH28" s="381"/>
      <c r="SKI28" s="381"/>
      <c r="SKJ28" s="381"/>
      <c r="SKK28" s="379"/>
      <c r="SKL28" s="380"/>
      <c r="SKM28" s="380"/>
      <c r="SKN28" s="380"/>
      <c r="SKO28" s="381"/>
      <c r="SKP28" s="381"/>
      <c r="SKQ28" s="381"/>
      <c r="SKR28" s="381"/>
      <c r="SKS28" s="381"/>
      <c r="SKT28" s="381"/>
      <c r="SKU28" s="381"/>
      <c r="SKV28" s="381"/>
      <c r="SKW28" s="381"/>
      <c r="SKX28" s="381"/>
      <c r="SKY28" s="381"/>
      <c r="SKZ28" s="381"/>
      <c r="SLA28" s="381"/>
      <c r="SLB28" s="381"/>
      <c r="SLC28" s="381"/>
      <c r="SLD28" s="381"/>
      <c r="SLE28" s="381"/>
      <c r="SLF28" s="381"/>
      <c r="SLG28" s="381"/>
      <c r="SLH28" s="381"/>
      <c r="SLI28" s="381"/>
      <c r="SLJ28" s="381"/>
      <c r="SLK28" s="381"/>
      <c r="SLL28" s="381"/>
      <c r="SLM28" s="381"/>
      <c r="SLN28" s="381"/>
      <c r="SLO28" s="379"/>
      <c r="SLP28" s="380"/>
      <c r="SLQ28" s="380"/>
      <c r="SLR28" s="380"/>
      <c r="SLS28" s="381"/>
      <c r="SLT28" s="381"/>
      <c r="SLU28" s="381"/>
      <c r="SLV28" s="381"/>
      <c r="SLW28" s="381"/>
      <c r="SLX28" s="381"/>
      <c r="SLY28" s="381"/>
      <c r="SLZ28" s="381"/>
      <c r="SMA28" s="381"/>
      <c r="SMB28" s="381"/>
      <c r="SMC28" s="381"/>
      <c r="SMD28" s="381"/>
      <c r="SME28" s="381"/>
      <c r="SMF28" s="381"/>
      <c r="SMG28" s="381"/>
      <c r="SMH28" s="381"/>
      <c r="SMI28" s="381"/>
      <c r="SMJ28" s="381"/>
      <c r="SMK28" s="381"/>
      <c r="SML28" s="381"/>
      <c r="SMM28" s="381"/>
      <c r="SMN28" s="381"/>
      <c r="SMO28" s="381"/>
      <c r="SMP28" s="381"/>
      <c r="SMQ28" s="381"/>
      <c r="SMR28" s="381"/>
      <c r="SMS28" s="379"/>
      <c r="SMT28" s="380"/>
      <c r="SMU28" s="380"/>
      <c r="SMV28" s="380"/>
      <c r="SMW28" s="381"/>
      <c r="SMX28" s="381"/>
      <c r="SMY28" s="381"/>
      <c r="SMZ28" s="381"/>
      <c r="SNA28" s="381"/>
      <c r="SNB28" s="381"/>
      <c r="SNC28" s="381"/>
      <c r="SND28" s="381"/>
      <c r="SNE28" s="381"/>
      <c r="SNF28" s="381"/>
      <c r="SNG28" s="381"/>
      <c r="SNH28" s="381"/>
      <c r="SNI28" s="381"/>
      <c r="SNJ28" s="381"/>
      <c r="SNK28" s="381"/>
      <c r="SNL28" s="381"/>
      <c r="SNM28" s="381"/>
      <c r="SNN28" s="381"/>
      <c r="SNO28" s="381"/>
      <c r="SNP28" s="381"/>
      <c r="SNQ28" s="381"/>
      <c r="SNR28" s="381"/>
      <c r="SNS28" s="381"/>
      <c r="SNT28" s="381"/>
      <c r="SNU28" s="381"/>
      <c r="SNV28" s="381"/>
      <c r="SNW28" s="379"/>
      <c r="SNX28" s="380"/>
      <c r="SNY28" s="380"/>
      <c r="SNZ28" s="380"/>
      <c r="SOA28" s="381"/>
      <c r="SOB28" s="381"/>
      <c r="SOC28" s="381"/>
      <c r="SOD28" s="381"/>
      <c r="SOE28" s="381"/>
      <c r="SOF28" s="381"/>
      <c r="SOG28" s="381"/>
      <c r="SOH28" s="381"/>
      <c r="SOI28" s="381"/>
      <c r="SOJ28" s="381"/>
      <c r="SOK28" s="381"/>
      <c r="SOL28" s="381"/>
      <c r="SOM28" s="381"/>
      <c r="SON28" s="381"/>
      <c r="SOO28" s="381"/>
      <c r="SOP28" s="381"/>
      <c r="SOQ28" s="381"/>
      <c r="SOR28" s="381"/>
      <c r="SOS28" s="381"/>
      <c r="SOT28" s="381"/>
      <c r="SOU28" s="381"/>
      <c r="SOV28" s="381"/>
      <c r="SOW28" s="381"/>
      <c r="SOX28" s="381"/>
      <c r="SOY28" s="381"/>
      <c r="SOZ28" s="381"/>
      <c r="SPA28" s="379"/>
      <c r="SPB28" s="380"/>
      <c r="SPC28" s="380"/>
      <c r="SPD28" s="380"/>
      <c r="SPE28" s="381"/>
      <c r="SPF28" s="381"/>
      <c r="SPG28" s="381"/>
      <c r="SPH28" s="381"/>
      <c r="SPI28" s="381"/>
      <c r="SPJ28" s="381"/>
      <c r="SPK28" s="381"/>
      <c r="SPL28" s="381"/>
      <c r="SPM28" s="381"/>
      <c r="SPN28" s="381"/>
      <c r="SPO28" s="381"/>
      <c r="SPP28" s="381"/>
      <c r="SPQ28" s="381"/>
      <c r="SPR28" s="381"/>
      <c r="SPS28" s="381"/>
      <c r="SPT28" s="381"/>
      <c r="SPU28" s="381"/>
      <c r="SPV28" s="381"/>
      <c r="SPW28" s="381"/>
      <c r="SPX28" s="381"/>
      <c r="SPY28" s="381"/>
      <c r="SPZ28" s="381"/>
      <c r="SQA28" s="381"/>
      <c r="SQB28" s="381"/>
      <c r="SQC28" s="381"/>
      <c r="SQD28" s="381"/>
      <c r="SQE28" s="379"/>
      <c r="SQF28" s="380"/>
      <c r="SQG28" s="380"/>
      <c r="SQH28" s="380"/>
      <c r="SQI28" s="381"/>
      <c r="SQJ28" s="381"/>
      <c r="SQK28" s="381"/>
      <c r="SQL28" s="381"/>
      <c r="SQM28" s="381"/>
      <c r="SQN28" s="381"/>
      <c r="SQO28" s="381"/>
      <c r="SQP28" s="381"/>
      <c r="SQQ28" s="381"/>
      <c r="SQR28" s="381"/>
      <c r="SQS28" s="381"/>
      <c r="SQT28" s="381"/>
      <c r="SQU28" s="381"/>
      <c r="SQV28" s="381"/>
      <c r="SQW28" s="381"/>
      <c r="SQX28" s="381"/>
      <c r="SQY28" s="381"/>
      <c r="SQZ28" s="381"/>
      <c r="SRA28" s="381"/>
      <c r="SRB28" s="381"/>
      <c r="SRC28" s="381"/>
      <c r="SRD28" s="381"/>
      <c r="SRE28" s="381"/>
      <c r="SRF28" s="381"/>
      <c r="SRG28" s="381"/>
      <c r="SRH28" s="381"/>
      <c r="SRI28" s="379"/>
      <c r="SRJ28" s="380"/>
      <c r="SRK28" s="380"/>
      <c r="SRL28" s="380"/>
      <c r="SRM28" s="381"/>
      <c r="SRN28" s="381"/>
      <c r="SRO28" s="381"/>
      <c r="SRP28" s="381"/>
      <c r="SRQ28" s="381"/>
      <c r="SRR28" s="381"/>
      <c r="SRS28" s="381"/>
      <c r="SRT28" s="381"/>
      <c r="SRU28" s="381"/>
      <c r="SRV28" s="381"/>
      <c r="SRW28" s="381"/>
      <c r="SRX28" s="381"/>
      <c r="SRY28" s="381"/>
      <c r="SRZ28" s="381"/>
      <c r="SSA28" s="381"/>
      <c r="SSB28" s="381"/>
      <c r="SSC28" s="381"/>
      <c r="SSD28" s="381"/>
      <c r="SSE28" s="381"/>
      <c r="SSF28" s="381"/>
      <c r="SSG28" s="381"/>
      <c r="SSH28" s="381"/>
      <c r="SSI28" s="381"/>
      <c r="SSJ28" s="381"/>
      <c r="SSK28" s="381"/>
      <c r="SSL28" s="381"/>
      <c r="SSM28" s="379"/>
      <c r="SSN28" s="380"/>
      <c r="SSO28" s="380"/>
      <c r="SSP28" s="380"/>
      <c r="SSQ28" s="381"/>
      <c r="SSR28" s="381"/>
      <c r="SSS28" s="381"/>
      <c r="SST28" s="381"/>
      <c r="SSU28" s="381"/>
      <c r="SSV28" s="381"/>
      <c r="SSW28" s="381"/>
      <c r="SSX28" s="381"/>
      <c r="SSY28" s="381"/>
      <c r="SSZ28" s="381"/>
      <c r="STA28" s="381"/>
      <c r="STB28" s="381"/>
      <c r="STC28" s="381"/>
      <c r="STD28" s="381"/>
      <c r="STE28" s="381"/>
      <c r="STF28" s="381"/>
      <c r="STG28" s="381"/>
      <c r="STH28" s="381"/>
      <c r="STI28" s="381"/>
      <c r="STJ28" s="381"/>
      <c r="STK28" s="381"/>
      <c r="STL28" s="381"/>
      <c r="STM28" s="381"/>
      <c r="STN28" s="381"/>
      <c r="STO28" s="381"/>
      <c r="STP28" s="381"/>
      <c r="STQ28" s="379"/>
      <c r="STR28" s="380"/>
      <c r="STS28" s="380"/>
      <c r="STT28" s="380"/>
      <c r="STU28" s="381"/>
      <c r="STV28" s="381"/>
      <c r="STW28" s="381"/>
      <c r="STX28" s="381"/>
      <c r="STY28" s="381"/>
      <c r="STZ28" s="381"/>
      <c r="SUA28" s="381"/>
      <c r="SUB28" s="381"/>
      <c r="SUC28" s="381"/>
      <c r="SUD28" s="381"/>
      <c r="SUE28" s="381"/>
      <c r="SUF28" s="381"/>
      <c r="SUG28" s="381"/>
      <c r="SUH28" s="381"/>
      <c r="SUI28" s="381"/>
      <c r="SUJ28" s="381"/>
      <c r="SUK28" s="381"/>
      <c r="SUL28" s="381"/>
      <c r="SUM28" s="381"/>
      <c r="SUN28" s="381"/>
      <c r="SUO28" s="381"/>
      <c r="SUP28" s="381"/>
      <c r="SUQ28" s="381"/>
      <c r="SUR28" s="381"/>
      <c r="SUS28" s="381"/>
      <c r="SUT28" s="381"/>
      <c r="SUU28" s="379"/>
      <c r="SUV28" s="380"/>
      <c r="SUW28" s="380"/>
      <c r="SUX28" s="380"/>
      <c r="SUY28" s="381"/>
      <c r="SUZ28" s="381"/>
      <c r="SVA28" s="381"/>
      <c r="SVB28" s="381"/>
      <c r="SVC28" s="381"/>
      <c r="SVD28" s="381"/>
      <c r="SVE28" s="381"/>
      <c r="SVF28" s="381"/>
      <c r="SVG28" s="381"/>
      <c r="SVH28" s="381"/>
      <c r="SVI28" s="381"/>
      <c r="SVJ28" s="381"/>
      <c r="SVK28" s="381"/>
      <c r="SVL28" s="381"/>
      <c r="SVM28" s="381"/>
      <c r="SVN28" s="381"/>
      <c r="SVO28" s="381"/>
      <c r="SVP28" s="381"/>
      <c r="SVQ28" s="381"/>
      <c r="SVR28" s="381"/>
      <c r="SVS28" s="381"/>
      <c r="SVT28" s="381"/>
      <c r="SVU28" s="381"/>
      <c r="SVV28" s="381"/>
      <c r="SVW28" s="381"/>
      <c r="SVX28" s="381"/>
      <c r="SVY28" s="379"/>
      <c r="SVZ28" s="380"/>
      <c r="SWA28" s="380"/>
      <c r="SWB28" s="380"/>
      <c r="SWC28" s="381"/>
      <c r="SWD28" s="381"/>
      <c r="SWE28" s="381"/>
      <c r="SWF28" s="381"/>
      <c r="SWG28" s="381"/>
      <c r="SWH28" s="381"/>
      <c r="SWI28" s="381"/>
      <c r="SWJ28" s="381"/>
      <c r="SWK28" s="381"/>
      <c r="SWL28" s="381"/>
      <c r="SWM28" s="381"/>
      <c r="SWN28" s="381"/>
      <c r="SWO28" s="381"/>
      <c r="SWP28" s="381"/>
      <c r="SWQ28" s="381"/>
      <c r="SWR28" s="381"/>
      <c r="SWS28" s="381"/>
      <c r="SWT28" s="381"/>
      <c r="SWU28" s="381"/>
      <c r="SWV28" s="381"/>
      <c r="SWW28" s="381"/>
      <c r="SWX28" s="381"/>
      <c r="SWY28" s="381"/>
      <c r="SWZ28" s="381"/>
      <c r="SXA28" s="381"/>
      <c r="SXB28" s="381"/>
      <c r="SXC28" s="379"/>
      <c r="SXD28" s="380"/>
      <c r="SXE28" s="380"/>
      <c r="SXF28" s="380"/>
      <c r="SXG28" s="381"/>
      <c r="SXH28" s="381"/>
      <c r="SXI28" s="381"/>
      <c r="SXJ28" s="381"/>
      <c r="SXK28" s="381"/>
      <c r="SXL28" s="381"/>
      <c r="SXM28" s="381"/>
      <c r="SXN28" s="381"/>
      <c r="SXO28" s="381"/>
      <c r="SXP28" s="381"/>
      <c r="SXQ28" s="381"/>
      <c r="SXR28" s="381"/>
      <c r="SXS28" s="381"/>
      <c r="SXT28" s="381"/>
      <c r="SXU28" s="381"/>
      <c r="SXV28" s="381"/>
      <c r="SXW28" s="381"/>
      <c r="SXX28" s="381"/>
      <c r="SXY28" s="381"/>
      <c r="SXZ28" s="381"/>
      <c r="SYA28" s="381"/>
      <c r="SYB28" s="381"/>
      <c r="SYC28" s="381"/>
      <c r="SYD28" s="381"/>
      <c r="SYE28" s="381"/>
      <c r="SYF28" s="381"/>
      <c r="SYG28" s="379"/>
      <c r="SYH28" s="380"/>
      <c r="SYI28" s="380"/>
      <c r="SYJ28" s="380"/>
      <c r="SYK28" s="381"/>
      <c r="SYL28" s="381"/>
      <c r="SYM28" s="381"/>
      <c r="SYN28" s="381"/>
      <c r="SYO28" s="381"/>
      <c r="SYP28" s="381"/>
      <c r="SYQ28" s="381"/>
      <c r="SYR28" s="381"/>
      <c r="SYS28" s="381"/>
      <c r="SYT28" s="381"/>
      <c r="SYU28" s="381"/>
      <c r="SYV28" s="381"/>
      <c r="SYW28" s="381"/>
      <c r="SYX28" s="381"/>
      <c r="SYY28" s="381"/>
      <c r="SYZ28" s="381"/>
      <c r="SZA28" s="381"/>
      <c r="SZB28" s="381"/>
      <c r="SZC28" s="381"/>
      <c r="SZD28" s="381"/>
      <c r="SZE28" s="381"/>
      <c r="SZF28" s="381"/>
      <c r="SZG28" s="381"/>
      <c r="SZH28" s="381"/>
      <c r="SZI28" s="381"/>
      <c r="SZJ28" s="381"/>
      <c r="SZK28" s="379"/>
      <c r="SZL28" s="380"/>
      <c r="SZM28" s="380"/>
      <c r="SZN28" s="380"/>
      <c r="SZO28" s="381"/>
      <c r="SZP28" s="381"/>
      <c r="SZQ28" s="381"/>
      <c r="SZR28" s="381"/>
      <c r="SZS28" s="381"/>
      <c r="SZT28" s="381"/>
      <c r="SZU28" s="381"/>
      <c r="SZV28" s="381"/>
      <c r="SZW28" s="381"/>
      <c r="SZX28" s="381"/>
      <c r="SZY28" s="381"/>
      <c r="SZZ28" s="381"/>
      <c r="TAA28" s="381"/>
      <c r="TAB28" s="381"/>
      <c r="TAC28" s="381"/>
      <c r="TAD28" s="381"/>
      <c r="TAE28" s="381"/>
      <c r="TAF28" s="381"/>
      <c r="TAG28" s="381"/>
      <c r="TAH28" s="381"/>
      <c r="TAI28" s="381"/>
      <c r="TAJ28" s="381"/>
      <c r="TAK28" s="381"/>
      <c r="TAL28" s="381"/>
      <c r="TAM28" s="381"/>
      <c r="TAN28" s="381"/>
      <c r="TAO28" s="379"/>
      <c r="TAP28" s="380"/>
      <c r="TAQ28" s="380"/>
      <c r="TAR28" s="380"/>
      <c r="TAS28" s="381"/>
      <c r="TAT28" s="381"/>
      <c r="TAU28" s="381"/>
      <c r="TAV28" s="381"/>
      <c r="TAW28" s="381"/>
      <c r="TAX28" s="381"/>
      <c r="TAY28" s="381"/>
      <c r="TAZ28" s="381"/>
      <c r="TBA28" s="381"/>
      <c r="TBB28" s="381"/>
      <c r="TBC28" s="381"/>
      <c r="TBD28" s="381"/>
      <c r="TBE28" s="381"/>
      <c r="TBF28" s="381"/>
      <c r="TBG28" s="381"/>
      <c r="TBH28" s="381"/>
      <c r="TBI28" s="381"/>
      <c r="TBJ28" s="381"/>
      <c r="TBK28" s="381"/>
      <c r="TBL28" s="381"/>
      <c r="TBM28" s="381"/>
      <c r="TBN28" s="381"/>
      <c r="TBO28" s="381"/>
      <c r="TBP28" s="381"/>
      <c r="TBQ28" s="381"/>
      <c r="TBR28" s="381"/>
      <c r="TBS28" s="379"/>
      <c r="TBT28" s="380"/>
      <c r="TBU28" s="380"/>
      <c r="TBV28" s="380"/>
      <c r="TBW28" s="381"/>
      <c r="TBX28" s="381"/>
      <c r="TBY28" s="381"/>
      <c r="TBZ28" s="381"/>
      <c r="TCA28" s="381"/>
      <c r="TCB28" s="381"/>
      <c r="TCC28" s="381"/>
      <c r="TCD28" s="381"/>
      <c r="TCE28" s="381"/>
      <c r="TCF28" s="381"/>
      <c r="TCG28" s="381"/>
      <c r="TCH28" s="381"/>
      <c r="TCI28" s="381"/>
      <c r="TCJ28" s="381"/>
      <c r="TCK28" s="381"/>
      <c r="TCL28" s="381"/>
      <c r="TCM28" s="381"/>
      <c r="TCN28" s="381"/>
      <c r="TCO28" s="381"/>
      <c r="TCP28" s="381"/>
      <c r="TCQ28" s="381"/>
      <c r="TCR28" s="381"/>
      <c r="TCS28" s="381"/>
      <c r="TCT28" s="381"/>
      <c r="TCU28" s="381"/>
      <c r="TCV28" s="381"/>
      <c r="TCW28" s="379"/>
      <c r="TCX28" s="380"/>
      <c r="TCY28" s="380"/>
      <c r="TCZ28" s="380"/>
      <c r="TDA28" s="381"/>
      <c r="TDB28" s="381"/>
      <c r="TDC28" s="381"/>
      <c r="TDD28" s="381"/>
      <c r="TDE28" s="381"/>
      <c r="TDF28" s="381"/>
      <c r="TDG28" s="381"/>
      <c r="TDH28" s="381"/>
      <c r="TDI28" s="381"/>
      <c r="TDJ28" s="381"/>
      <c r="TDK28" s="381"/>
      <c r="TDL28" s="381"/>
      <c r="TDM28" s="381"/>
      <c r="TDN28" s="381"/>
      <c r="TDO28" s="381"/>
      <c r="TDP28" s="381"/>
      <c r="TDQ28" s="381"/>
      <c r="TDR28" s="381"/>
      <c r="TDS28" s="381"/>
      <c r="TDT28" s="381"/>
      <c r="TDU28" s="381"/>
      <c r="TDV28" s="381"/>
      <c r="TDW28" s="381"/>
      <c r="TDX28" s="381"/>
      <c r="TDY28" s="381"/>
      <c r="TDZ28" s="381"/>
      <c r="TEA28" s="379"/>
      <c r="TEB28" s="380"/>
      <c r="TEC28" s="380"/>
      <c r="TED28" s="380"/>
      <c r="TEE28" s="381"/>
      <c r="TEF28" s="381"/>
      <c r="TEG28" s="381"/>
      <c r="TEH28" s="381"/>
      <c r="TEI28" s="381"/>
      <c r="TEJ28" s="381"/>
      <c r="TEK28" s="381"/>
      <c r="TEL28" s="381"/>
      <c r="TEM28" s="381"/>
      <c r="TEN28" s="381"/>
      <c r="TEO28" s="381"/>
      <c r="TEP28" s="381"/>
      <c r="TEQ28" s="381"/>
      <c r="TER28" s="381"/>
      <c r="TES28" s="381"/>
      <c r="TET28" s="381"/>
      <c r="TEU28" s="381"/>
      <c r="TEV28" s="381"/>
      <c r="TEW28" s="381"/>
      <c r="TEX28" s="381"/>
      <c r="TEY28" s="381"/>
      <c r="TEZ28" s="381"/>
      <c r="TFA28" s="381"/>
      <c r="TFB28" s="381"/>
      <c r="TFC28" s="381"/>
      <c r="TFD28" s="381"/>
      <c r="TFE28" s="379"/>
      <c r="TFF28" s="380"/>
      <c r="TFG28" s="380"/>
      <c r="TFH28" s="380"/>
      <c r="TFI28" s="381"/>
      <c r="TFJ28" s="381"/>
      <c r="TFK28" s="381"/>
      <c r="TFL28" s="381"/>
      <c r="TFM28" s="381"/>
      <c r="TFN28" s="381"/>
      <c r="TFO28" s="381"/>
      <c r="TFP28" s="381"/>
      <c r="TFQ28" s="381"/>
      <c r="TFR28" s="381"/>
      <c r="TFS28" s="381"/>
      <c r="TFT28" s="381"/>
      <c r="TFU28" s="381"/>
      <c r="TFV28" s="381"/>
      <c r="TFW28" s="381"/>
      <c r="TFX28" s="381"/>
      <c r="TFY28" s="381"/>
      <c r="TFZ28" s="381"/>
      <c r="TGA28" s="381"/>
      <c r="TGB28" s="381"/>
      <c r="TGC28" s="381"/>
      <c r="TGD28" s="381"/>
      <c r="TGE28" s="381"/>
      <c r="TGF28" s="381"/>
      <c r="TGG28" s="381"/>
      <c r="TGH28" s="381"/>
      <c r="TGI28" s="379"/>
      <c r="TGJ28" s="380"/>
      <c r="TGK28" s="380"/>
      <c r="TGL28" s="380"/>
      <c r="TGM28" s="381"/>
      <c r="TGN28" s="381"/>
      <c r="TGO28" s="381"/>
      <c r="TGP28" s="381"/>
      <c r="TGQ28" s="381"/>
      <c r="TGR28" s="381"/>
      <c r="TGS28" s="381"/>
      <c r="TGT28" s="381"/>
      <c r="TGU28" s="381"/>
      <c r="TGV28" s="381"/>
      <c r="TGW28" s="381"/>
      <c r="TGX28" s="381"/>
      <c r="TGY28" s="381"/>
      <c r="TGZ28" s="381"/>
      <c r="THA28" s="381"/>
      <c r="THB28" s="381"/>
      <c r="THC28" s="381"/>
      <c r="THD28" s="381"/>
      <c r="THE28" s="381"/>
      <c r="THF28" s="381"/>
      <c r="THG28" s="381"/>
      <c r="THH28" s="381"/>
      <c r="THI28" s="381"/>
      <c r="THJ28" s="381"/>
      <c r="THK28" s="381"/>
      <c r="THL28" s="381"/>
      <c r="THM28" s="379"/>
      <c r="THN28" s="380"/>
      <c r="THO28" s="380"/>
      <c r="THP28" s="380"/>
      <c r="THQ28" s="381"/>
      <c r="THR28" s="381"/>
      <c r="THS28" s="381"/>
      <c r="THT28" s="381"/>
      <c r="THU28" s="381"/>
      <c r="THV28" s="381"/>
      <c r="THW28" s="381"/>
      <c r="THX28" s="381"/>
      <c r="THY28" s="381"/>
      <c r="THZ28" s="381"/>
      <c r="TIA28" s="381"/>
      <c r="TIB28" s="381"/>
      <c r="TIC28" s="381"/>
      <c r="TID28" s="381"/>
      <c r="TIE28" s="381"/>
      <c r="TIF28" s="381"/>
      <c r="TIG28" s="381"/>
      <c r="TIH28" s="381"/>
      <c r="TII28" s="381"/>
      <c r="TIJ28" s="381"/>
      <c r="TIK28" s="381"/>
      <c r="TIL28" s="381"/>
      <c r="TIM28" s="381"/>
      <c r="TIN28" s="381"/>
      <c r="TIO28" s="381"/>
      <c r="TIP28" s="381"/>
      <c r="TIQ28" s="379"/>
      <c r="TIR28" s="380"/>
      <c r="TIS28" s="380"/>
      <c r="TIT28" s="380"/>
      <c r="TIU28" s="381"/>
      <c r="TIV28" s="381"/>
      <c r="TIW28" s="381"/>
      <c r="TIX28" s="381"/>
      <c r="TIY28" s="381"/>
      <c r="TIZ28" s="381"/>
      <c r="TJA28" s="381"/>
      <c r="TJB28" s="381"/>
      <c r="TJC28" s="381"/>
      <c r="TJD28" s="381"/>
      <c r="TJE28" s="381"/>
      <c r="TJF28" s="381"/>
      <c r="TJG28" s="381"/>
      <c r="TJH28" s="381"/>
      <c r="TJI28" s="381"/>
      <c r="TJJ28" s="381"/>
      <c r="TJK28" s="381"/>
      <c r="TJL28" s="381"/>
      <c r="TJM28" s="381"/>
      <c r="TJN28" s="381"/>
      <c r="TJO28" s="381"/>
      <c r="TJP28" s="381"/>
      <c r="TJQ28" s="381"/>
      <c r="TJR28" s="381"/>
      <c r="TJS28" s="381"/>
      <c r="TJT28" s="381"/>
      <c r="TJU28" s="379"/>
      <c r="TJV28" s="380"/>
      <c r="TJW28" s="380"/>
      <c r="TJX28" s="380"/>
      <c r="TJY28" s="381"/>
      <c r="TJZ28" s="381"/>
      <c r="TKA28" s="381"/>
      <c r="TKB28" s="381"/>
      <c r="TKC28" s="381"/>
      <c r="TKD28" s="381"/>
      <c r="TKE28" s="381"/>
      <c r="TKF28" s="381"/>
      <c r="TKG28" s="381"/>
      <c r="TKH28" s="381"/>
      <c r="TKI28" s="381"/>
      <c r="TKJ28" s="381"/>
      <c r="TKK28" s="381"/>
      <c r="TKL28" s="381"/>
      <c r="TKM28" s="381"/>
      <c r="TKN28" s="381"/>
      <c r="TKO28" s="381"/>
      <c r="TKP28" s="381"/>
      <c r="TKQ28" s="381"/>
      <c r="TKR28" s="381"/>
      <c r="TKS28" s="381"/>
      <c r="TKT28" s="381"/>
      <c r="TKU28" s="381"/>
      <c r="TKV28" s="381"/>
      <c r="TKW28" s="381"/>
      <c r="TKX28" s="381"/>
      <c r="TKY28" s="379"/>
      <c r="TKZ28" s="380"/>
      <c r="TLA28" s="380"/>
      <c r="TLB28" s="380"/>
      <c r="TLC28" s="381"/>
      <c r="TLD28" s="381"/>
      <c r="TLE28" s="381"/>
      <c r="TLF28" s="381"/>
      <c r="TLG28" s="381"/>
      <c r="TLH28" s="381"/>
      <c r="TLI28" s="381"/>
      <c r="TLJ28" s="381"/>
      <c r="TLK28" s="381"/>
      <c r="TLL28" s="381"/>
      <c r="TLM28" s="381"/>
      <c r="TLN28" s="381"/>
      <c r="TLO28" s="381"/>
      <c r="TLP28" s="381"/>
      <c r="TLQ28" s="381"/>
      <c r="TLR28" s="381"/>
      <c r="TLS28" s="381"/>
      <c r="TLT28" s="381"/>
      <c r="TLU28" s="381"/>
      <c r="TLV28" s="381"/>
      <c r="TLW28" s="381"/>
      <c r="TLX28" s="381"/>
      <c r="TLY28" s="381"/>
      <c r="TLZ28" s="381"/>
      <c r="TMA28" s="381"/>
      <c r="TMB28" s="381"/>
      <c r="TMC28" s="379"/>
      <c r="TMD28" s="380"/>
      <c r="TME28" s="380"/>
      <c r="TMF28" s="380"/>
      <c r="TMG28" s="381"/>
      <c r="TMH28" s="381"/>
      <c r="TMI28" s="381"/>
      <c r="TMJ28" s="381"/>
      <c r="TMK28" s="381"/>
      <c r="TML28" s="381"/>
      <c r="TMM28" s="381"/>
      <c r="TMN28" s="381"/>
      <c r="TMO28" s="381"/>
      <c r="TMP28" s="381"/>
      <c r="TMQ28" s="381"/>
      <c r="TMR28" s="381"/>
      <c r="TMS28" s="381"/>
      <c r="TMT28" s="381"/>
      <c r="TMU28" s="381"/>
      <c r="TMV28" s="381"/>
      <c r="TMW28" s="381"/>
      <c r="TMX28" s="381"/>
      <c r="TMY28" s="381"/>
      <c r="TMZ28" s="381"/>
      <c r="TNA28" s="381"/>
      <c r="TNB28" s="381"/>
      <c r="TNC28" s="381"/>
      <c r="TND28" s="381"/>
      <c r="TNE28" s="381"/>
      <c r="TNF28" s="381"/>
      <c r="TNG28" s="379"/>
      <c r="TNH28" s="380"/>
      <c r="TNI28" s="380"/>
      <c r="TNJ28" s="380"/>
      <c r="TNK28" s="381"/>
      <c r="TNL28" s="381"/>
      <c r="TNM28" s="381"/>
      <c r="TNN28" s="381"/>
      <c r="TNO28" s="381"/>
      <c r="TNP28" s="381"/>
      <c r="TNQ28" s="381"/>
      <c r="TNR28" s="381"/>
      <c r="TNS28" s="381"/>
      <c r="TNT28" s="381"/>
      <c r="TNU28" s="381"/>
      <c r="TNV28" s="381"/>
      <c r="TNW28" s="381"/>
      <c r="TNX28" s="381"/>
      <c r="TNY28" s="381"/>
      <c r="TNZ28" s="381"/>
      <c r="TOA28" s="381"/>
      <c r="TOB28" s="381"/>
      <c r="TOC28" s="381"/>
      <c r="TOD28" s="381"/>
      <c r="TOE28" s="381"/>
      <c r="TOF28" s="381"/>
      <c r="TOG28" s="381"/>
      <c r="TOH28" s="381"/>
      <c r="TOI28" s="381"/>
      <c r="TOJ28" s="381"/>
      <c r="TOK28" s="379"/>
      <c r="TOL28" s="380"/>
      <c r="TOM28" s="380"/>
      <c r="TON28" s="380"/>
      <c r="TOO28" s="381"/>
      <c r="TOP28" s="381"/>
      <c r="TOQ28" s="381"/>
      <c r="TOR28" s="381"/>
      <c r="TOS28" s="381"/>
      <c r="TOT28" s="381"/>
      <c r="TOU28" s="381"/>
      <c r="TOV28" s="381"/>
      <c r="TOW28" s="381"/>
      <c r="TOX28" s="381"/>
      <c r="TOY28" s="381"/>
      <c r="TOZ28" s="381"/>
      <c r="TPA28" s="381"/>
      <c r="TPB28" s="381"/>
      <c r="TPC28" s="381"/>
      <c r="TPD28" s="381"/>
      <c r="TPE28" s="381"/>
      <c r="TPF28" s="381"/>
      <c r="TPG28" s="381"/>
      <c r="TPH28" s="381"/>
      <c r="TPI28" s="381"/>
      <c r="TPJ28" s="381"/>
      <c r="TPK28" s="381"/>
      <c r="TPL28" s="381"/>
      <c r="TPM28" s="381"/>
      <c r="TPN28" s="381"/>
      <c r="TPO28" s="379"/>
      <c r="TPP28" s="380"/>
      <c r="TPQ28" s="380"/>
      <c r="TPR28" s="380"/>
      <c r="TPS28" s="381"/>
      <c r="TPT28" s="381"/>
      <c r="TPU28" s="381"/>
      <c r="TPV28" s="381"/>
      <c r="TPW28" s="381"/>
      <c r="TPX28" s="381"/>
      <c r="TPY28" s="381"/>
      <c r="TPZ28" s="381"/>
      <c r="TQA28" s="381"/>
      <c r="TQB28" s="381"/>
      <c r="TQC28" s="381"/>
      <c r="TQD28" s="381"/>
      <c r="TQE28" s="381"/>
      <c r="TQF28" s="381"/>
      <c r="TQG28" s="381"/>
      <c r="TQH28" s="381"/>
      <c r="TQI28" s="381"/>
      <c r="TQJ28" s="381"/>
      <c r="TQK28" s="381"/>
      <c r="TQL28" s="381"/>
      <c r="TQM28" s="381"/>
      <c r="TQN28" s="381"/>
      <c r="TQO28" s="381"/>
      <c r="TQP28" s="381"/>
      <c r="TQQ28" s="381"/>
      <c r="TQR28" s="381"/>
      <c r="TQS28" s="379"/>
      <c r="TQT28" s="380"/>
      <c r="TQU28" s="380"/>
      <c r="TQV28" s="380"/>
      <c r="TQW28" s="381"/>
      <c r="TQX28" s="381"/>
      <c r="TQY28" s="381"/>
      <c r="TQZ28" s="381"/>
      <c r="TRA28" s="381"/>
      <c r="TRB28" s="381"/>
      <c r="TRC28" s="381"/>
      <c r="TRD28" s="381"/>
      <c r="TRE28" s="381"/>
      <c r="TRF28" s="381"/>
      <c r="TRG28" s="381"/>
      <c r="TRH28" s="381"/>
      <c r="TRI28" s="381"/>
      <c r="TRJ28" s="381"/>
      <c r="TRK28" s="381"/>
      <c r="TRL28" s="381"/>
      <c r="TRM28" s="381"/>
      <c r="TRN28" s="381"/>
      <c r="TRO28" s="381"/>
      <c r="TRP28" s="381"/>
      <c r="TRQ28" s="381"/>
      <c r="TRR28" s="381"/>
      <c r="TRS28" s="381"/>
      <c r="TRT28" s="381"/>
      <c r="TRU28" s="381"/>
      <c r="TRV28" s="381"/>
      <c r="TRW28" s="379"/>
      <c r="TRX28" s="380"/>
      <c r="TRY28" s="380"/>
      <c r="TRZ28" s="380"/>
      <c r="TSA28" s="381"/>
      <c r="TSB28" s="381"/>
      <c r="TSC28" s="381"/>
      <c r="TSD28" s="381"/>
      <c r="TSE28" s="381"/>
      <c r="TSF28" s="381"/>
      <c r="TSG28" s="381"/>
      <c r="TSH28" s="381"/>
      <c r="TSI28" s="381"/>
      <c r="TSJ28" s="381"/>
      <c r="TSK28" s="381"/>
      <c r="TSL28" s="381"/>
      <c r="TSM28" s="381"/>
      <c r="TSN28" s="381"/>
      <c r="TSO28" s="381"/>
      <c r="TSP28" s="381"/>
      <c r="TSQ28" s="381"/>
      <c r="TSR28" s="381"/>
      <c r="TSS28" s="381"/>
      <c r="TST28" s="381"/>
      <c r="TSU28" s="381"/>
      <c r="TSV28" s="381"/>
      <c r="TSW28" s="381"/>
      <c r="TSX28" s="381"/>
      <c r="TSY28" s="381"/>
      <c r="TSZ28" s="381"/>
      <c r="TTA28" s="379"/>
      <c r="TTB28" s="380"/>
      <c r="TTC28" s="380"/>
      <c r="TTD28" s="380"/>
      <c r="TTE28" s="381"/>
      <c r="TTF28" s="381"/>
      <c r="TTG28" s="381"/>
      <c r="TTH28" s="381"/>
      <c r="TTI28" s="381"/>
      <c r="TTJ28" s="381"/>
      <c r="TTK28" s="381"/>
      <c r="TTL28" s="381"/>
      <c r="TTM28" s="381"/>
      <c r="TTN28" s="381"/>
      <c r="TTO28" s="381"/>
      <c r="TTP28" s="381"/>
      <c r="TTQ28" s="381"/>
      <c r="TTR28" s="381"/>
      <c r="TTS28" s="381"/>
      <c r="TTT28" s="381"/>
      <c r="TTU28" s="381"/>
      <c r="TTV28" s="381"/>
      <c r="TTW28" s="381"/>
      <c r="TTX28" s="381"/>
      <c r="TTY28" s="381"/>
      <c r="TTZ28" s="381"/>
      <c r="TUA28" s="381"/>
      <c r="TUB28" s="381"/>
      <c r="TUC28" s="381"/>
      <c r="TUD28" s="381"/>
      <c r="TUE28" s="379"/>
      <c r="TUF28" s="380"/>
      <c r="TUG28" s="380"/>
      <c r="TUH28" s="380"/>
      <c r="TUI28" s="381"/>
      <c r="TUJ28" s="381"/>
      <c r="TUK28" s="381"/>
      <c r="TUL28" s="381"/>
      <c r="TUM28" s="381"/>
      <c r="TUN28" s="381"/>
      <c r="TUO28" s="381"/>
      <c r="TUP28" s="381"/>
      <c r="TUQ28" s="381"/>
      <c r="TUR28" s="381"/>
      <c r="TUS28" s="381"/>
      <c r="TUT28" s="381"/>
      <c r="TUU28" s="381"/>
      <c r="TUV28" s="381"/>
      <c r="TUW28" s="381"/>
      <c r="TUX28" s="381"/>
      <c r="TUY28" s="381"/>
      <c r="TUZ28" s="381"/>
      <c r="TVA28" s="381"/>
      <c r="TVB28" s="381"/>
      <c r="TVC28" s="381"/>
      <c r="TVD28" s="381"/>
      <c r="TVE28" s="381"/>
      <c r="TVF28" s="381"/>
      <c r="TVG28" s="381"/>
      <c r="TVH28" s="381"/>
      <c r="TVI28" s="379"/>
      <c r="TVJ28" s="380"/>
      <c r="TVK28" s="380"/>
      <c r="TVL28" s="380"/>
      <c r="TVM28" s="381"/>
      <c r="TVN28" s="381"/>
      <c r="TVO28" s="381"/>
      <c r="TVP28" s="381"/>
      <c r="TVQ28" s="381"/>
      <c r="TVR28" s="381"/>
      <c r="TVS28" s="381"/>
      <c r="TVT28" s="381"/>
      <c r="TVU28" s="381"/>
      <c r="TVV28" s="381"/>
      <c r="TVW28" s="381"/>
      <c r="TVX28" s="381"/>
      <c r="TVY28" s="381"/>
      <c r="TVZ28" s="381"/>
      <c r="TWA28" s="381"/>
      <c r="TWB28" s="381"/>
      <c r="TWC28" s="381"/>
      <c r="TWD28" s="381"/>
      <c r="TWE28" s="381"/>
      <c r="TWF28" s="381"/>
      <c r="TWG28" s="381"/>
      <c r="TWH28" s="381"/>
      <c r="TWI28" s="381"/>
      <c r="TWJ28" s="381"/>
      <c r="TWK28" s="381"/>
      <c r="TWL28" s="381"/>
      <c r="TWM28" s="379"/>
      <c r="TWN28" s="380"/>
      <c r="TWO28" s="380"/>
      <c r="TWP28" s="380"/>
      <c r="TWQ28" s="381"/>
      <c r="TWR28" s="381"/>
      <c r="TWS28" s="381"/>
      <c r="TWT28" s="381"/>
      <c r="TWU28" s="381"/>
      <c r="TWV28" s="381"/>
      <c r="TWW28" s="381"/>
      <c r="TWX28" s="381"/>
      <c r="TWY28" s="381"/>
      <c r="TWZ28" s="381"/>
      <c r="TXA28" s="381"/>
      <c r="TXB28" s="381"/>
      <c r="TXC28" s="381"/>
      <c r="TXD28" s="381"/>
      <c r="TXE28" s="381"/>
      <c r="TXF28" s="381"/>
      <c r="TXG28" s="381"/>
      <c r="TXH28" s="381"/>
      <c r="TXI28" s="381"/>
      <c r="TXJ28" s="381"/>
      <c r="TXK28" s="381"/>
      <c r="TXL28" s="381"/>
      <c r="TXM28" s="381"/>
      <c r="TXN28" s="381"/>
      <c r="TXO28" s="381"/>
      <c r="TXP28" s="381"/>
      <c r="TXQ28" s="379"/>
      <c r="TXR28" s="380"/>
      <c r="TXS28" s="380"/>
      <c r="TXT28" s="380"/>
      <c r="TXU28" s="381"/>
      <c r="TXV28" s="381"/>
      <c r="TXW28" s="381"/>
      <c r="TXX28" s="381"/>
      <c r="TXY28" s="381"/>
      <c r="TXZ28" s="381"/>
      <c r="TYA28" s="381"/>
      <c r="TYB28" s="381"/>
      <c r="TYC28" s="381"/>
      <c r="TYD28" s="381"/>
      <c r="TYE28" s="381"/>
      <c r="TYF28" s="381"/>
      <c r="TYG28" s="381"/>
      <c r="TYH28" s="381"/>
      <c r="TYI28" s="381"/>
      <c r="TYJ28" s="381"/>
      <c r="TYK28" s="381"/>
      <c r="TYL28" s="381"/>
      <c r="TYM28" s="381"/>
      <c r="TYN28" s="381"/>
      <c r="TYO28" s="381"/>
      <c r="TYP28" s="381"/>
      <c r="TYQ28" s="381"/>
      <c r="TYR28" s="381"/>
      <c r="TYS28" s="381"/>
      <c r="TYT28" s="381"/>
      <c r="TYU28" s="379"/>
      <c r="TYV28" s="380"/>
      <c r="TYW28" s="380"/>
      <c r="TYX28" s="380"/>
      <c r="TYY28" s="381"/>
      <c r="TYZ28" s="381"/>
      <c r="TZA28" s="381"/>
      <c r="TZB28" s="381"/>
      <c r="TZC28" s="381"/>
      <c r="TZD28" s="381"/>
      <c r="TZE28" s="381"/>
      <c r="TZF28" s="381"/>
      <c r="TZG28" s="381"/>
      <c r="TZH28" s="381"/>
      <c r="TZI28" s="381"/>
      <c r="TZJ28" s="381"/>
      <c r="TZK28" s="381"/>
      <c r="TZL28" s="381"/>
      <c r="TZM28" s="381"/>
      <c r="TZN28" s="381"/>
      <c r="TZO28" s="381"/>
      <c r="TZP28" s="381"/>
      <c r="TZQ28" s="381"/>
      <c r="TZR28" s="381"/>
      <c r="TZS28" s="381"/>
      <c r="TZT28" s="381"/>
      <c r="TZU28" s="381"/>
      <c r="TZV28" s="381"/>
      <c r="TZW28" s="381"/>
      <c r="TZX28" s="381"/>
      <c r="TZY28" s="379"/>
      <c r="TZZ28" s="380"/>
      <c r="UAA28" s="380"/>
      <c r="UAB28" s="380"/>
      <c r="UAC28" s="381"/>
      <c r="UAD28" s="381"/>
      <c r="UAE28" s="381"/>
      <c r="UAF28" s="381"/>
      <c r="UAG28" s="381"/>
      <c r="UAH28" s="381"/>
      <c r="UAI28" s="381"/>
      <c r="UAJ28" s="381"/>
      <c r="UAK28" s="381"/>
      <c r="UAL28" s="381"/>
      <c r="UAM28" s="381"/>
      <c r="UAN28" s="381"/>
      <c r="UAO28" s="381"/>
      <c r="UAP28" s="381"/>
      <c r="UAQ28" s="381"/>
      <c r="UAR28" s="381"/>
      <c r="UAS28" s="381"/>
      <c r="UAT28" s="381"/>
      <c r="UAU28" s="381"/>
      <c r="UAV28" s="381"/>
      <c r="UAW28" s="381"/>
      <c r="UAX28" s="381"/>
      <c r="UAY28" s="381"/>
      <c r="UAZ28" s="381"/>
      <c r="UBA28" s="381"/>
      <c r="UBB28" s="381"/>
      <c r="UBC28" s="379"/>
      <c r="UBD28" s="380"/>
      <c r="UBE28" s="380"/>
      <c r="UBF28" s="380"/>
      <c r="UBG28" s="381"/>
      <c r="UBH28" s="381"/>
      <c r="UBI28" s="381"/>
      <c r="UBJ28" s="381"/>
      <c r="UBK28" s="381"/>
      <c r="UBL28" s="381"/>
      <c r="UBM28" s="381"/>
      <c r="UBN28" s="381"/>
      <c r="UBO28" s="381"/>
      <c r="UBP28" s="381"/>
      <c r="UBQ28" s="381"/>
      <c r="UBR28" s="381"/>
      <c r="UBS28" s="381"/>
      <c r="UBT28" s="381"/>
      <c r="UBU28" s="381"/>
      <c r="UBV28" s="381"/>
      <c r="UBW28" s="381"/>
      <c r="UBX28" s="381"/>
      <c r="UBY28" s="381"/>
      <c r="UBZ28" s="381"/>
      <c r="UCA28" s="381"/>
      <c r="UCB28" s="381"/>
      <c r="UCC28" s="381"/>
      <c r="UCD28" s="381"/>
      <c r="UCE28" s="381"/>
      <c r="UCF28" s="381"/>
      <c r="UCG28" s="379"/>
      <c r="UCH28" s="380"/>
      <c r="UCI28" s="380"/>
      <c r="UCJ28" s="380"/>
      <c r="UCK28" s="381"/>
      <c r="UCL28" s="381"/>
      <c r="UCM28" s="381"/>
      <c r="UCN28" s="381"/>
      <c r="UCO28" s="381"/>
      <c r="UCP28" s="381"/>
      <c r="UCQ28" s="381"/>
      <c r="UCR28" s="381"/>
      <c r="UCS28" s="381"/>
      <c r="UCT28" s="381"/>
      <c r="UCU28" s="381"/>
      <c r="UCV28" s="381"/>
      <c r="UCW28" s="381"/>
      <c r="UCX28" s="381"/>
      <c r="UCY28" s="381"/>
      <c r="UCZ28" s="381"/>
      <c r="UDA28" s="381"/>
      <c r="UDB28" s="381"/>
      <c r="UDC28" s="381"/>
      <c r="UDD28" s="381"/>
      <c r="UDE28" s="381"/>
      <c r="UDF28" s="381"/>
      <c r="UDG28" s="381"/>
      <c r="UDH28" s="381"/>
      <c r="UDI28" s="381"/>
      <c r="UDJ28" s="381"/>
      <c r="UDK28" s="379"/>
      <c r="UDL28" s="380"/>
      <c r="UDM28" s="380"/>
      <c r="UDN28" s="380"/>
      <c r="UDO28" s="381"/>
      <c r="UDP28" s="381"/>
      <c r="UDQ28" s="381"/>
      <c r="UDR28" s="381"/>
      <c r="UDS28" s="381"/>
      <c r="UDT28" s="381"/>
      <c r="UDU28" s="381"/>
      <c r="UDV28" s="381"/>
      <c r="UDW28" s="381"/>
      <c r="UDX28" s="381"/>
      <c r="UDY28" s="381"/>
      <c r="UDZ28" s="381"/>
      <c r="UEA28" s="381"/>
      <c r="UEB28" s="381"/>
      <c r="UEC28" s="381"/>
      <c r="UED28" s="381"/>
      <c r="UEE28" s="381"/>
      <c r="UEF28" s="381"/>
      <c r="UEG28" s="381"/>
      <c r="UEH28" s="381"/>
      <c r="UEI28" s="381"/>
      <c r="UEJ28" s="381"/>
      <c r="UEK28" s="381"/>
      <c r="UEL28" s="381"/>
      <c r="UEM28" s="381"/>
      <c r="UEN28" s="381"/>
      <c r="UEO28" s="379"/>
      <c r="UEP28" s="380"/>
      <c r="UEQ28" s="380"/>
      <c r="UER28" s="380"/>
      <c r="UES28" s="381"/>
      <c r="UET28" s="381"/>
      <c r="UEU28" s="381"/>
      <c r="UEV28" s="381"/>
      <c r="UEW28" s="381"/>
      <c r="UEX28" s="381"/>
      <c r="UEY28" s="381"/>
      <c r="UEZ28" s="381"/>
      <c r="UFA28" s="381"/>
      <c r="UFB28" s="381"/>
      <c r="UFC28" s="381"/>
      <c r="UFD28" s="381"/>
      <c r="UFE28" s="381"/>
      <c r="UFF28" s="381"/>
      <c r="UFG28" s="381"/>
      <c r="UFH28" s="381"/>
      <c r="UFI28" s="381"/>
      <c r="UFJ28" s="381"/>
      <c r="UFK28" s="381"/>
      <c r="UFL28" s="381"/>
      <c r="UFM28" s="381"/>
      <c r="UFN28" s="381"/>
      <c r="UFO28" s="381"/>
      <c r="UFP28" s="381"/>
      <c r="UFQ28" s="381"/>
      <c r="UFR28" s="381"/>
      <c r="UFS28" s="379"/>
      <c r="UFT28" s="380"/>
      <c r="UFU28" s="380"/>
      <c r="UFV28" s="380"/>
      <c r="UFW28" s="381"/>
      <c r="UFX28" s="381"/>
      <c r="UFY28" s="381"/>
      <c r="UFZ28" s="381"/>
      <c r="UGA28" s="381"/>
      <c r="UGB28" s="381"/>
      <c r="UGC28" s="381"/>
      <c r="UGD28" s="381"/>
      <c r="UGE28" s="381"/>
      <c r="UGF28" s="381"/>
      <c r="UGG28" s="381"/>
      <c r="UGH28" s="381"/>
      <c r="UGI28" s="381"/>
      <c r="UGJ28" s="381"/>
      <c r="UGK28" s="381"/>
      <c r="UGL28" s="381"/>
      <c r="UGM28" s="381"/>
      <c r="UGN28" s="381"/>
      <c r="UGO28" s="381"/>
      <c r="UGP28" s="381"/>
      <c r="UGQ28" s="381"/>
      <c r="UGR28" s="381"/>
      <c r="UGS28" s="381"/>
      <c r="UGT28" s="381"/>
      <c r="UGU28" s="381"/>
      <c r="UGV28" s="381"/>
      <c r="UGW28" s="379"/>
      <c r="UGX28" s="380"/>
      <c r="UGY28" s="380"/>
      <c r="UGZ28" s="380"/>
      <c r="UHA28" s="381"/>
      <c r="UHB28" s="381"/>
      <c r="UHC28" s="381"/>
      <c r="UHD28" s="381"/>
      <c r="UHE28" s="381"/>
      <c r="UHF28" s="381"/>
      <c r="UHG28" s="381"/>
      <c r="UHH28" s="381"/>
      <c r="UHI28" s="381"/>
      <c r="UHJ28" s="381"/>
      <c r="UHK28" s="381"/>
      <c r="UHL28" s="381"/>
      <c r="UHM28" s="381"/>
      <c r="UHN28" s="381"/>
      <c r="UHO28" s="381"/>
      <c r="UHP28" s="381"/>
      <c r="UHQ28" s="381"/>
      <c r="UHR28" s="381"/>
      <c r="UHS28" s="381"/>
      <c r="UHT28" s="381"/>
      <c r="UHU28" s="381"/>
      <c r="UHV28" s="381"/>
      <c r="UHW28" s="381"/>
      <c r="UHX28" s="381"/>
      <c r="UHY28" s="381"/>
      <c r="UHZ28" s="381"/>
      <c r="UIA28" s="379"/>
      <c r="UIB28" s="380"/>
      <c r="UIC28" s="380"/>
      <c r="UID28" s="380"/>
      <c r="UIE28" s="381"/>
      <c r="UIF28" s="381"/>
      <c r="UIG28" s="381"/>
      <c r="UIH28" s="381"/>
      <c r="UII28" s="381"/>
      <c r="UIJ28" s="381"/>
      <c r="UIK28" s="381"/>
      <c r="UIL28" s="381"/>
      <c r="UIM28" s="381"/>
      <c r="UIN28" s="381"/>
      <c r="UIO28" s="381"/>
      <c r="UIP28" s="381"/>
      <c r="UIQ28" s="381"/>
      <c r="UIR28" s="381"/>
      <c r="UIS28" s="381"/>
      <c r="UIT28" s="381"/>
      <c r="UIU28" s="381"/>
      <c r="UIV28" s="381"/>
      <c r="UIW28" s="381"/>
      <c r="UIX28" s="381"/>
      <c r="UIY28" s="381"/>
      <c r="UIZ28" s="381"/>
      <c r="UJA28" s="381"/>
      <c r="UJB28" s="381"/>
      <c r="UJC28" s="381"/>
      <c r="UJD28" s="381"/>
      <c r="UJE28" s="379"/>
      <c r="UJF28" s="380"/>
      <c r="UJG28" s="380"/>
      <c r="UJH28" s="380"/>
      <c r="UJI28" s="381"/>
      <c r="UJJ28" s="381"/>
      <c r="UJK28" s="381"/>
      <c r="UJL28" s="381"/>
      <c r="UJM28" s="381"/>
      <c r="UJN28" s="381"/>
      <c r="UJO28" s="381"/>
      <c r="UJP28" s="381"/>
      <c r="UJQ28" s="381"/>
      <c r="UJR28" s="381"/>
      <c r="UJS28" s="381"/>
      <c r="UJT28" s="381"/>
      <c r="UJU28" s="381"/>
      <c r="UJV28" s="381"/>
      <c r="UJW28" s="381"/>
      <c r="UJX28" s="381"/>
      <c r="UJY28" s="381"/>
      <c r="UJZ28" s="381"/>
      <c r="UKA28" s="381"/>
      <c r="UKB28" s="381"/>
      <c r="UKC28" s="381"/>
      <c r="UKD28" s="381"/>
      <c r="UKE28" s="381"/>
      <c r="UKF28" s="381"/>
      <c r="UKG28" s="381"/>
      <c r="UKH28" s="381"/>
      <c r="UKI28" s="379"/>
      <c r="UKJ28" s="380"/>
      <c r="UKK28" s="380"/>
      <c r="UKL28" s="380"/>
      <c r="UKM28" s="381"/>
      <c r="UKN28" s="381"/>
      <c r="UKO28" s="381"/>
      <c r="UKP28" s="381"/>
      <c r="UKQ28" s="381"/>
      <c r="UKR28" s="381"/>
      <c r="UKS28" s="381"/>
      <c r="UKT28" s="381"/>
      <c r="UKU28" s="381"/>
      <c r="UKV28" s="381"/>
      <c r="UKW28" s="381"/>
      <c r="UKX28" s="381"/>
      <c r="UKY28" s="381"/>
      <c r="UKZ28" s="381"/>
      <c r="ULA28" s="381"/>
      <c r="ULB28" s="381"/>
      <c r="ULC28" s="381"/>
      <c r="ULD28" s="381"/>
      <c r="ULE28" s="381"/>
      <c r="ULF28" s="381"/>
      <c r="ULG28" s="381"/>
      <c r="ULH28" s="381"/>
      <c r="ULI28" s="381"/>
      <c r="ULJ28" s="381"/>
      <c r="ULK28" s="381"/>
      <c r="ULL28" s="381"/>
      <c r="ULM28" s="379"/>
      <c r="ULN28" s="380"/>
      <c r="ULO28" s="380"/>
      <c r="ULP28" s="380"/>
      <c r="ULQ28" s="381"/>
      <c r="ULR28" s="381"/>
      <c r="ULS28" s="381"/>
      <c r="ULT28" s="381"/>
      <c r="ULU28" s="381"/>
      <c r="ULV28" s="381"/>
      <c r="ULW28" s="381"/>
      <c r="ULX28" s="381"/>
      <c r="ULY28" s="381"/>
      <c r="ULZ28" s="381"/>
      <c r="UMA28" s="381"/>
      <c r="UMB28" s="381"/>
      <c r="UMC28" s="381"/>
      <c r="UMD28" s="381"/>
      <c r="UME28" s="381"/>
      <c r="UMF28" s="381"/>
      <c r="UMG28" s="381"/>
      <c r="UMH28" s="381"/>
      <c r="UMI28" s="381"/>
      <c r="UMJ28" s="381"/>
      <c r="UMK28" s="381"/>
      <c r="UML28" s="381"/>
      <c r="UMM28" s="381"/>
      <c r="UMN28" s="381"/>
      <c r="UMO28" s="381"/>
      <c r="UMP28" s="381"/>
      <c r="UMQ28" s="379"/>
      <c r="UMR28" s="380"/>
      <c r="UMS28" s="380"/>
      <c r="UMT28" s="380"/>
      <c r="UMU28" s="381"/>
      <c r="UMV28" s="381"/>
      <c r="UMW28" s="381"/>
      <c r="UMX28" s="381"/>
      <c r="UMY28" s="381"/>
      <c r="UMZ28" s="381"/>
      <c r="UNA28" s="381"/>
      <c r="UNB28" s="381"/>
      <c r="UNC28" s="381"/>
      <c r="UND28" s="381"/>
      <c r="UNE28" s="381"/>
      <c r="UNF28" s="381"/>
      <c r="UNG28" s="381"/>
      <c r="UNH28" s="381"/>
      <c r="UNI28" s="381"/>
      <c r="UNJ28" s="381"/>
      <c r="UNK28" s="381"/>
      <c r="UNL28" s="381"/>
      <c r="UNM28" s="381"/>
      <c r="UNN28" s="381"/>
      <c r="UNO28" s="381"/>
      <c r="UNP28" s="381"/>
      <c r="UNQ28" s="381"/>
      <c r="UNR28" s="381"/>
      <c r="UNS28" s="381"/>
      <c r="UNT28" s="381"/>
      <c r="UNU28" s="379"/>
      <c r="UNV28" s="380"/>
      <c r="UNW28" s="380"/>
      <c r="UNX28" s="380"/>
      <c r="UNY28" s="381"/>
      <c r="UNZ28" s="381"/>
      <c r="UOA28" s="381"/>
      <c r="UOB28" s="381"/>
      <c r="UOC28" s="381"/>
      <c r="UOD28" s="381"/>
      <c r="UOE28" s="381"/>
      <c r="UOF28" s="381"/>
      <c r="UOG28" s="381"/>
      <c r="UOH28" s="381"/>
      <c r="UOI28" s="381"/>
      <c r="UOJ28" s="381"/>
      <c r="UOK28" s="381"/>
      <c r="UOL28" s="381"/>
      <c r="UOM28" s="381"/>
      <c r="UON28" s="381"/>
      <c r="UOO28" s="381"/>
      <c r="UOP28" s="381"/>
      <c r="UOQ28" s="381"/>
      <c r="UOR28" s="381"/>
      <c r="UOS28" s="381"/>
      <c r="UOT28" s="381"/>
      <c r="UOU28" s="381"/>
      <c r="UOV28" s="381"/>
      <c r="UOW28" s="381"/>
      <c r="UOX28" s="381"/>
      <c r="UOY28" s="379"/>
      <c r="UOZ28" s="380"/>
      <c r="UPA28" s="380"/>
      <c r="UPB28" s="380"/>
      <c r="UPC28" s="381"/>
      <c r="UPD28" s="381"/>
      <c r="UPE28" s="381"/>
      <c r="UPF28" s="381"/>
      <c r="UPG28" s="381"/>
      <c r="UPH28" s="381"/>
      <c r="UPI28" s="381"/>
      <c r="UPJ28" s="381"/>
      <c r="UPK28" s="381"/>
      <c r="UPL28" s="381"/>
      <c r="UPM28" s="381"/>
      <c r="UPN28" s="381"/>
      <c r="UPO28" s="381"/>
      <c r="UPP28" s="381"/>
      <c r="UPQ28" s="381"/>
      <c r="UPR28" s="381"/>
      <c r="UPS28" s="381"/>
      <c r="UPT28" s="381"/>
      <c r="UPU28" s="381"/>
      <c r="UPV28" s="381"/>
      <c r="UPW28" s="381"/>
      <c r="UPX28" s="381"/>
      <c r="UPY28" s="381"/>
      <c r="UPZ28" s="381"/>
      <c r="UQA28" s="381"/>
      <c r="UQB28" s="381"/>
      <c r="UQC28" s="379"/>
      <c r="UQD28" s="380"/>
      <c r="UQE28" s="380"/>
      <c r="UQF28" s="380"/>
      <c r="UQG28" s="381"/>
      <c r="UQH28" s="381"/>
      <c r="UQI28" s="381"/>
      <c r="UQJ28" s="381"/>
      <c r="UQK28" s="381"/>
      <c r="UQL28" s="381"/>
      <c r="UQM28" s="381"/>
      <c r="UQN28" s="381"/>
      <c r="UQO28" s="381"/>
      <c r="UQP28" s="381"/>
      <c r="UQQ28" s="381"/>
      <c r="UQR28" s="381"/>
      <c r="UQS28" s="381"/>
      <c r="UQT28" s="381"/>
      <c r="UQU28" s="381"/>
      <c r="UQV28" s="381"/>
      <c r="UQW28" s="381"/>
      <c r="UQX28" s="381"/>
      <c r="UQY28" s="381"/>
      <c r="UQZ28" s="381"/>
      <c r="URA28" s="381"/>
      <c r="URB28" s="381"/>
      <c r="URC28" s="381"/>
      <c r="URD28" s="381"/>
      <c r="URE28" s="381"/>
      <c r="URF28" s="381"/>
      <c r="URG28" s="379"/>
      <c r="URH28" s="380"/>
      <c r="URI28" s="380"/>
      <c r="URJ28" s="380"/>
      <c r="URK28" s="381"/>
      <c r="URL28" s="381"/>
      <c r="URM28" s="381"/>
      <c r="URN28" s="381"/>
      <c r="URO28" s="381"/>
      <c r="URP28" s="381"/>
      <c r="URQ28" s="381"/>
      <c r="URR28" s="381"/>
      <c r="URS28" s="381"/>
      <c r="URT28" s="381"/>
      <c r="URU28" s="381"/>
      <c r="URV28" s="381"/>
      <c r="URW28" s="381"/>
      <c r="URX28" s="381"/>
      <c r="URY28" s="381"/>
      <c r="URZ28" s="381"/>
      <c r="USA28" s="381"/>
      <c r="USB28" s="381"/>
      <c r="USC28" s="381"/>
      <c r="USD28" s="381"/>
      <c r="USE28" s="381"/>
      <c r="USF28" s="381"/>
      <c r="USG28" s="381"/>
      <c r="USH28" s="381"/>
      <c r="USI28" s="381"/>
      <c r="USJ28" s="381"/>
      <c r="USK28" s="379"/>
      <c r="USL28" s="380"/>
      <c r="USM28" s="380"/>
      <c r="USN28" s="380"/>
      <c r="USO28" s="381"/>
      <c r="USP28" s="381"/>
      <c r="USQ28" s="381"/>
      <c r="USR28" s="381"/>
      <c r="USS28" s="381"/>
      <c r="UST28" s="381"/>
      <c r="USU28" s="381"/>
      <c r="USV28" s="381"/>
      <c r="USW28" s="381"/>
      <c r="USX28" s="381"/>
      <c r="USY28" s="381"/>
      <c r="USZ28" s="381"/>
      <c r="UTA28" s="381"/>
      <c r="UTB28" s="381"/>
      <c r="UTC28" s="381"/>
      <c r="UTD28" s="381"/>
      <c r="UTE28" s="381"/>
      <c r="UTF28" s="381"/>
      <c r="UTG28" s="381"/>
      <c r="UTH28" s="381"/>
      <c r="UTI28" s="381"/>
      <c r="UTJ28" s="381"/>
      <c r="UTK28" s="381"/>
      <c r="UTL28" s="381"/>
      <c r="UTM28" s="381"/>
      <c r="UTN28" s="381"/>
      <c r="UTO28" s="379"/>
      <c r="UTP28" s="380"/>
      <c r="UTQ28" s="380"/>
      <c r="UTR28" s="380"/>
      <c r="UTS28" s="381"/>
      <c r="UTT28" s="381"/>
      <c r="UTU28" s="381"/>
      <c r="UTV28" s="381"/>
      <c r="UTW28" s="381"/>
      <c r="UTX28" s="381"/>
      <c r="UTY28" s="381"/>
      <c r="UTZ28" s="381"/>
      <c r="UUA28" s="381"/>
      <c r="UUB28" s="381"/>
      <c r="UUC28" s="381"/>
      <c r="UUD28" s="381"/>
      <c r="UUE28" s="381"/>
      <c r="UUF28" s="381"/>
      <c r="UUG28" s="381"/>
      <c r="UUH28" s="381"/>
      <c r="UUI28" s="381"/>
      <c r="UUJ28" s="381"/>
      <c r="UUK28" s="381"/>
      <c r="UUL28" s="381"/>
      <c r="UUM28" s="381"/>
      <c r="UUN28" s="381"/>
      <c r="UUO28" s="381"/>
      <c r="UUP28" s="381"/>
      <c r="UUQ28" s="381"/>
      <c r="UUR28" s="381"/>
      <c r="UUS28" s="379"/>
      <c r="UUT28" s="380"/>
      <c r="UUU28" s="380"/>
      <c r="UUV28" s="380"/>
      <c r="UUW28" s="381"/>
      <c r="UUX28" s="381"/>
      <c r="UUY28" s="381"/>
      <c r="UUZ28" s="381"/>
      <c r="UVA28" s="381"/>
      <c r="UVB28" s="381"/>
      <c r="UVC28" s="381"/>
      <c r="UVD28" s="381"/>
      <c r="UVE28" s="381"/>
      <c r="UVF28" s="381"/>
      <c r="UVG28" s="381"/>
      <c r="UVH28" s="381"/>
      <c r="UVI28" s="381"/>
      <c r="UVJ28" s="381"/>
      <c r="UVK28" s="381"/>
      <c r="UVL28" s="381"/>
      <c r="UVM28" s="381"/>
      <c r="UVN28" s="381"/>
      <c r="UVO28" s="381"/>
      <c r="UVP28" s="381"/>
      <c r="UVQ28" s="381"/>
      <c r="UVR28" s="381"/>
      <c r="UVS28" s="381"/>
      <c r="UVT28" s="381"/>
      <c r="UVU28" s="381"/>
      <c r="UVV28" s="381"/>
      <c r="UVW28" s="379"/>
      <c r="UVX28" s="380"/>
      <c r="UVY28" s="380"/>
      <c r="UVZ28" s="380"/>
      <c r="UWA28" s="381"/>
      <c r="UWB28" s="381"/>
      <c r="UWC28" s="381"/>
      <c r="UWD28" s="381"/>
      <c r="UWE28" s="381"/>
      <c r="UWF28" s="381"/>
      <c r="UWG28" s="381"/>
      <c r="UWH28" s="381"/>
      <c r="UWI28" s="381"/>
      <c r="UWJ28" s="381"/>
      <c r="UWK28" s="381"/>
      <c r="UWL28" s="381"/>
      <c r="UWM28" s="381"/>
      <c r="UWN28" s="381"/>
      <c r="UWO28" s="381"/>
      <c r="UWP28" s="381"/>
      <c r="UWQ28" s="381"/>
      <c r="UWR28" s="381"/>
      <c r="UWS28" s="381"/>
      <c r="UWT28" s="381"/>
      <c r="UWU28" s="381"/>
      <c r="UWV28" s="381"/>
      <c r="UWW28" s="381"/>
      <c r="UWX28" s="381"/>
      <c r="UWY28" s="381"/>
      <c r="UWZ28" s="381"/>
      <c r="UXA28" s="379"/>
      <c r="UXB28" s="380"/>
      <c r="UXC28" s="380"/>
      <c r="UXD28" s="380"/>
      <c r="UXE28" s="381"/>
      <c r="UXF28" s="381"/>
      <c r="UXG28" s="381"/>
      <c r="UXH28" s="381"/>
      <c r="UXI28" s="381"/>
      <c r="UXJ28" s="381"/>
      <c r="UXK28" s="381"/>
      <c r="UXL28" s="381"/>
      <c r="UXM28" s="381"/>
      <c r="UXN28" s="381"/>
      <c r="UXO28" s="381"/>
      <c r="UXP28" s="381"/>
      <c r="UXQ28" s="381"/>
      <c r="UXR28" s="381"/>
      <c r="UXS28" s="381"/>
      <c r="UXT28" s="381"/>
      <c r="UXU28" s="381"/>
      <c r="UXV28" s="381"/>
      <c r="UXW28" s="381"/>
      <c r="UXX28" s="381"/>
      <c r="UXY28" s="381"/>
      <c r="UXZ28" s="381"/>
      <c r="UYA28" s="381"/>
      <c r="UYB28" s="381"/>
      <c r="UYC28" s="381"/>
      <c r="UYD28" s="381"/>
      <c r="UYE28" s="379"/>
      <c r="UYF28" s="380"/>
      <c r="UYG28" s="380"/>
      <c r="UYH28" s="380"/>
      <c r="UYI28" s="381"/>
      <c r="UYJ28" s="381"/>
      <c r="UYK28" s="381"/>
      <c r="UYL28" s="381"/>
      <c r="UYM28" s="381"/>
      <c r="UYN28" s="381"/>
      <c r="UYO28" s="381"/>
      <c r="UYP28" s="381"/>
      <c r="UYQ28" s="381"/>
      <c r="UYR28" s="381"/>
      <c r="UYS28" s="381"/>
      <c r="UYT28" s="381"/>
      <c r="UYU28" s="381"/>
      <c r="UYV28" s="381"/>
      <c r="UYW28" s="381"/>
      <c r="UYX28" s="381"/>
      <c r="UYY28" s="381"/>
      <c r="UYZ28" s="381"/>
      <c r="UZA28" s="381"/>
      <c r="UZB28" s="381"/>
      <c r="UZC28" s="381"/>
      <c r="UZD28" s="381"/>
      <c r="UZE28" s="381"/>
      <c r="UZF28" s="381"/>
      <c r="UZG28" s="381"/>
      <c r="UZH28" s="381"/>
      <c r="UZI28" s="379"/>
      <c r="UZJ28" s="380"/>
      <c r="UZK28" s="380"/>
      <c r="UZL28" s="380"/>
      <c r="UZM28" s="381"/>
      <c r="UZN28" s="381"/>
      <c r="UZO28" s="381"/>
      <c r="UZP28" s="381"/>
      <c r="UZQ28" s="381"/>
      <c r="UZR28" s="381"/>
      <c r="UZS28" s="381"/>
      <c r="UZT28" s="381"/>
      <c r="UZU28" s="381"/>
      <c r="UZV28" s="381"/>
      <c r="UZW28" s="381"/>
      <c r="UZX28" s="381"/>
      <c r="UZY28" s="381"/>
      <c r="UZZ28" s="381"/>
      <c r="VAA28" s="381"/>
      <c r="VAB28" s="381"/>
      <c r="VAC28" s="381"/>
      <c r="VAD28" s="381"/>
      <c r="VAE28" s="381"/>
      <c r="VAF28" s="381"/>
      <c r="VAG28" s="381"/>
      <c r="VAH28" s="381"/>
      <c r="VAI28" s="381"/>
      <c r="VAJ28" s="381"/>
      <c r="VAK28" s="381"/>
      <c r="VAL28" s="381"/>
      <c r="VAM28" s="379"/>
      <c r="VAN28" s="380"/>
      <c r="VAO28" s="380"/>
      <c r="VAP28" s="380"/>
      <c r="VAQ28" s="381"/>
      <c r="VAR28" s="381"/>
      <c r="VAS28" s="381"/>
      <c r="VAT28" s="381"/>
      <c r="VAU28" s="381"/>
      <c r="VAV28" s="381"/>
      <c r="VAW28" s="381"/>
      <c r="VAX28" s="381"/>
      <c r="VAY28" s="381"/>
      <c r="VAZ28" s="381"/>
      <c r="VBA28" s="381"/>
      <c r="VBB28" s="381"/>
      <c r="VBC28" s="381"/>
      <c r="VBD28" s="381"/>
      <c r="VBE28" s="381"/>
      <c r="VBF28" s="381"/>
      <c r="VBG28" s="381"/>
      <c r="VBH28" s="381"/>
      <c r="VBI28" s="381"/>
      <c r="VBJ28" s="381"/>
      <c r="VBK28" s="381"/>
      <c r="VBL28" s="381"/>
      <c r="VBM28" s="381"/>
      <c r="VBN28" s="381"/>
      <c r="VBO28" s="381"/>
      <c r="VBP28" s="381"/>
      <c r="VBQ28" s="379"/>
      <c r="VBR28" s="380"/>
      <c r="VBS28" s="380"/>
      <c r="VBT28" s="380"/>
      <c r="VBU28" s="381"/>
      <c r="VBV28" s="381"/>
      <c r="VBW28" s="381"/>
      <c r="VBX28" s="381"/>
      <c r="VBY28" s="381"/>
      <c r="VBZ28" s="381"/>
      <c r="VCA28" s="381"/>
      <c r="VCB28" s="381"/>
      <c r="VCC28" s="381"/>
      <c r="VCD28" s="381"/>
      <c r="VCE28" s="381"/>
      <c r="VCF28" s="381"/>
      <c r="VCG28" s="381"/>
      <c r="VCH28" s="381"/>
      <c r="VCI28" s="381"/>
      <c r="VCJ28" s="381"/>
      <c r="VCK28" s="381"/>
      <c r="VCL28" s="381"/>
      <c r="VCM28" s="381"/>
      <c r="VCN28" s="381"/>
      <c r="VCO28" s="381"/>
      <c r="VCP28" s="381"/>
      <c r="VCQ28" s="381"/>
      <c r="VCR28" s="381"/>
      <c r="VCS28" s="381"/>
      <c r="VCT28" s="381"/>
      <c r="VCU28" s="379"/>
      <c r="VCV28" s="380"/>
      <c r="VCW28" s="380"/>
      <c r="VCX28" s="380"/>
      <c r="VCY28" s="381"/>
      <c r="VCZ28" s="381"/>
      <c r="VDA28" s="381"/>
      <c r="VDB28" s="381"/>
      <c r="VDC28" s="381"/>
      <c r="VDD28" s="381"/>
      <c r="VDE28" s="381"/>
      <c r="VDF28" s="381"/>
      <c r="VDG28" s="381"/>
      <c r="VDH28" s="381"/>
      <c r="VDI28" s="381"/>
      <c r="VDJ28" s="381"/>
      <c r="VDK28" s="381"/>
      <c r="VDL28" s="381"/>
      <c r="VDM28" s="381"/>
      <c r="VDN28" s="381"/>
      <c r="VDO28" s="381"/>
      <c r="VDP28" s="381"/>
      <c r="VDQ28" s="381"/>
      <c r="VDR28" s="381"/>
      <c r="VDS28" s="381"/>
      <c r="VDT28" s="381"/>
      <c r="VDU28" s="381"/>
      <c r="VDV28" s="381"/>
      <c r="VDW28" s="381"/>
      <c r="VDX28" s="381"/>
      <c r="VDY28" s="379"/>
      <c r="VDZ28" s="380"/>
      <c r="VEA28" s="380"/>
      <c r="VEB28" s="380"/>
      <c r="VEC28" s="381"/>
      <c r="VED28" s="381"/>
      <c r="VEE28" s="381"/>
      <c r="VEF28" s="381"/>
      <c r="VEG28" s="381"/>
      <c r="VEH28" s="381"/>
      <c r="VEI28" s="381"/>
      <c r="VEJ28" s="381"/>
      <c r="VEK28" s="381"/>
      <c r="VEL28" s="381"/>
      <c r="VEM28" s="381"/>
      <c r="VEN28" s="381"/>
      <c r="VEO28" s="381"/>
      <c r="VEP28" s="381"/>
      <c r="VEQ28" s="381"/>
      <c r="VER28" s="381"/>
      <c r="VES28" s="381"/>
      <c r="VET28" s="381"/>
      <c r="VEU28" s="381"/>
      <c r="VEV28" s="381"/>
      <c r="VEW28" s="381"/>
      <c r="VEX28" s="381"/>
      <c r="VEY28" s="381"/>
      <c r="VEZ28" s="381"/>
      <c r="VFA28" s="381"/>
      <c r="VFB28" s="381"/>
      <c r="VFC28" s="379"/>
      <c r="VFD28" s="380"/>
      <c r="VFE28" s="380"/>
      <c r="VFF28" s="380"/>
      <c r="VFG28" s="381"/>
      <c r="VFH28" s="381"/>
      <c r="VFI28" s="381"/>
      <c r="VFJ28" s="381"/>
      <c r="VFK28" s="381"/>
      <c r="VFL28" s="381"/>
      <c r="VFM28" s="381"/>
      <c r="VFN28" s="381"/>
      <c r="VFO28" s="381"/>
      <c r="VFP28" s="381"/>
      <c r="VFQ28" s="381"/>
      <c r="VFR28" s="381"/>
      <c r="VFS28" s="381"/>
      <c r="VFT28" s="381"/>
      <c r="VFU28" s="381"/>
      <c r="VFV28" s="381"/>
      <c r="VFW28" s="381"/>
      <c r="VFX28" s="381"/>
      <c r="VFY28" s="381"/>
      <c r="VFZ28" s="381"/>
      <c r="VGA28" s="381"/>
      <c r="VGB28" s="381"/>
      <c r="VGC28" s="381"/>
      <c r="VGD28" s="381"/>
      <c r="VGE28" s="381"/>
      <c r="VGF28" s="381"/>
      <c r="VGG28" s="379"/>
      <c r="VGH28" s="380"/>
      <c r="VGI28" s="380"/>
      <c r="VGJ28" s="380"/>
      <c r="VGK28" s="381"/>
      <c r="VGL28" s="381"/>
      <c r="VGM28" s="381"/>
      <c r="VGN28" s="381"/>
      <c r="VGO28" s="381"/>
      <c r="VGP28" s="381"/>
      <c r="VGQ28" s="381"/>
      <c r="VGR28" s="381"/>
      <c r="VGS28" s="381"/>
      <c r="VGT28" s="381"/>
      <c r="VGU28" s="381"/>
      <c r="VGV28" s="381"/>
      <c r="VGW28" s="381"/>
      <c r="VGX28" s="381"/>
      <c r="VGY28" s="381"/>
      <c r="VGZ28" s="381"/>
      <c r="VHA28" s="381"/>
      <c r="VHB28" s="381"/>
      <c r="VHC28" s="381"/>
      <c r="VHD28" s="381"/>
      <c r="VHE28" s="381"/>
      <c r="VHF28" s="381"/>
      <c r="VHG28" s="381"/>
      <c r="VHH28" s="381"/>
      <c r="VHI28" s="381"/>
      <c r="VHJ28" s="381"/>
      <c r="VHK28" s="379"/>
      <c r="VHL28" s="380"/>
      <c r="VHM28" s="380"/>
      <c r="VHN28" s="380"/>
      <c r="VHO28" s="381"/>
      <c r="VHP28" s="381"/>
      <c r="VHQ28" s="381"/>
      <c r="VHR28" s="381"/>
      <c r="VHS28" s="381"/>
      <c r="VHT28" s="381"/>
      <c r="VHU28" s="381"/>
      <c r="VHV28" s="381"/>
      <c r="VHW28" s="381"/>
      <c r="VHX28" s="381"/>
      <c r="VHY28" s="381"/>
      <c r="VHZ28" s="381"/>
      <c r="VIA28" s="381"/>
      <c r="VIB28" s="381"/>
      <c r="VIC28" s="381"/>
      <c r="VID28" s="381"/>
      <c r="VIE28" s="381"/>
      <c r="VIF28" s="381"/>
      <c r="VIG28" s="381"/>
      <c r="VIH28" s="381"/>
      <c r="VII28" s="381"/>
      <c r="VIJ28" s="381"/>
      <c r="VIK28" s="381"/>
      <c r="VIL28" s="381"/>
      <c r="VIM28" s="381"/>
      <c r="VIN28" s="381"/>
      <c r="VIO28" s="379"/>
      <c r="VIP28" s="380"/>
      <c r="VIQ28" s="380"/>
      <c r="VIR28" s="380"/>
      <c r="VIS28" s="381"/>
      <c r="VIT28" s="381"/>
      <c r="VIU28" s="381"/>
      <c r="VIV28" s="381"/>
      <c r="VIW28" s="381"/>
      <c r="VIX28" s="381"/>
      <c r="VIY28" s="381"/>
      <c r="VIZ28" s="381"/>
      <c r="VJA28" s="381"/>
      <c r="VJB28" s="381"/>
      <c r="VJC28" s="381"/>
      <c r="VJD28" s="381"/>
      <c r="VJE28" s="381"/>
      <c r="VJF28" s="381"/>
      <c r="VJG28" s="381"/>
      <c r="VJH28" s="381"/>
      <c r="VJI28" s="381"/>
      <c r="VJJ28" s="381"/>
      <c r="VJK28" s="381"/>
      <c r="VJL28" s="381"/>
      <c r="VJM28" s="381"/>
      <c r="VJN28" s="381"/>
      <c r="VJO28" s="381"/>
      <c r="VJP28" s="381"/>
      <c r="VJQ28" s="381"/>
      <c r="VJR28" s="381"/>
      <c r="VJS28" s="379"/>
      <c r="VJT28" s="380"/>
      <c r="VJU28" s="380"/>
      <c r="VJV28" s="380"/>
      <c r="VJW28" s="381"/>
      <c r="VJX28" s="381"/>
      <c r="VJY28" s="381"/>
      <c r="VJZ28" s="381"/>
      <c r="VKA28" s="381"/>
      <c r="VKB28" s="381"/>
      <c r="VKC28" s="381"/>
      <c r="VKD28" s="381"/>
      <c r="VKE28" s="381"/>
      <c r="VKF28" s="381"/>
      <c r="VKG28" s="381"/>
      <c r="VKH28" s="381"/>
      <c r="VKI28" s="381"/>
      <c r="VKJ28" s="381"/>
      <c r="VKK28" s="381"/>
      <c r="VKL28" s="381"/>
      <c r="VKM28" s="381"/>
      <c r="VKN28" s="381"/>
      <c r="VKO28" s="381"/>
      <c r="VKP28" s="381"/>
      <c r="VKQ28" s="381"/>
      <c r="VKR28" s="381"/>
      <c r="VKS28" s="381"/>
      <c r="VKT28" s="381"/>
      <c r="VKU28" s="381"/>
      <c r="VKV28" s="381"/>
      <c r="VKW28" s="379"/>
      <c r="VKX28" s="380"/>
      <c r="VKY28" s="380"/>
      <c r="VKZ28" s="380"/>
      <c r="VLA28" s="381"/>
      <c r="VLB28" s="381"/>
      <c r="VLC28" s="381"/>
      <c r="VLD28" s="381"/>
      <c r="VLE28" s="381"/>
      <c r="VLF28" s="381"/>
      <c r="VLG28" s="381"/>
      <c r="VLH28" s="381"/>
      <c r="VLI28" s="381"/>
      <c r="VLJ28" s="381"/>
      <c r="VLK28" s="381"/>
      <c r="VLL28" s="381"/>
      <c r="VLM28" s="381"/>
      <c r="VLN28" s="381"/>
      <c r="VLO28" s="381"/>
      <c r="VLP28" s="381"/>
      <c r="VLQ28" s="381"/>
      <c r="VLR28" s="381"/>
      <c r="VLS28" s="381"/>
      <c r="VLT28" s="381"/>
      <c r="VLU28" s="381"/>
      <c r="VLV28" s="381"/>
      <c r="VLW28" s="381"/>
      <c r="VLX28" s="381"/>
      <c r="VLY28" s="381"/>
      <c r="VLZ28" s="381"/>
      <c r="VMA28" s="379"/>
      <c r="VMB28" s="380"/>
      <c r="VMC28" s="380"/>
      <c r="VMD28" s="380"/>
      <c r="VME28" s="381"/>
      <c r="VMF28" s="381"/>
      <c r="VMG28" s="381"/>
      <c r="VMH28" s="381"/>
      <c r="VMI28" s="381"/>
      <c r="VMJ28" s="381"/>
      <c r="VMK28" s="381"/>
      <c r="VML28" s="381"/>
      <c r="VMM28" s="381"/>
      <c r="VMN28" s="381"/>
      <c r="VMO28" s="381"/>
      <c r="VMP28" s="381"/>
      <c r="VMQ28" s="381"/>
      <c r="VMR28" s="381"/>
      <c r="VMS28" s="381"/>
      <c r="VMT28" s="381"/>
      <c r="VMU28" s="381"/>
      <c r="VMV28" s="381"/>
      <c r="VMW28" s="381"/>
      <c r="VMX28" s="381"/>
      <c r="VMY28" s="381"/>
      <c r="VMZ28" s="381"/>
      <c r="VNA28" s="381"/>
      <c r="VNB28" s="381"/>
      <c r="VNC28" s="381"/>
      <c r="VND28" s="381"/>
      <c r="VNE28" s="379"/>
      <c r="VNF28" s="380"/>
      <c r="VNG28" s="380"/>
      <c r="VNH28" s="380"/>
      <c r="VNI28" s="381"/>
      <c r="VNJ28" s="381"/>
      <c r="VNK28" s="381"/>
      <c r="VNL28" s="381"/>
      <c r="VNM28" s="381"/>
      <c r="VNN28" s="381"/>
      <c r="VNO28" s="381"/>
      <c r="VNP28" s="381"/>
      <c r="VNQ28" s="381"/>
      <c r="VNR28" s="381"/>
      <c r="VNS28" s="381"/>
      <c r="VNT28" s="381"/>
      <c r="VNU28" s="381"/>
      <c r="VNV28" s="381"/>
      <c r="VNW28" s="381"/>
      <c r="VNX28" s="381"/>
      <c r="VNY28" s="381"/>
      <c r="VNZ28" s="381"/>
      <c r="VOA28" s="381"/>
      <c r="VOB28" s="381"/>
      <c r="VOC28" s="381"/>
      <c r="VOD28" s="381"/>
      <c r="VOE28" s="381"/>
      <c r="VOF28" s="381"/>
      <c r="VOG28" s="381"/>
      <c r="VOH28" s="381"/>
      <c r="VOI28" s="379"/>
      <c r="VOJ28" s="380"/>
      <c r="VOK28" s="380"/>
      <c r="VOL28" s="380"/>
      <c r="VOM28" s="381"/>
      <c r="VON28" s="381"/>
      <c r="VOO28" s="381"/>
      <c r="VOP28" s="381"/>
      <c r="VOQ28" s="381"/>
      <c r="VOR28" s="381"/>
      <c r="VOS28" s="381"/>
      <c r="VOT28" s="381"/>
      <c r="VOU28" s="381"/>
      <c r="VOV28" s="381"/>
      <c r="VOW28" s="381"/>
      <c r="VOX28" s="381"/>
      <c r="VOY28" s="381"/>
      <c r="VOZ28" s="381"/>
      <c r="VPA28" s="381"/>
      <c r="VPB28" s="381"/>
      <c r="VPC28" s="381"/>
      <c r="VPD28" s="381"/>
      <c r="VPE28" s="381"/>
      <c r="VPF28" s="381"/>
      <c r="VPG28" s="381"/>
      <c r="VPH28" s="381"/>
      <c r="VPI28" s="381"/>
      <c r="VPJ28" s="381"/>
      <c r="VPK28" s="381"/>
      <c r="VPL28" s="381"/>
      <c r="VPM28" s="379"/>
      <c r="VPN28" s="380"/>
      <c r="VPO28" s="380"/>
      <c r="VPP28" s="380"/>
      <c r="VPQ28" s="381"/>
      <c r="VPR28" s="381"/>
      <c r="VPS28" s="381"/>
      <c r="VPT28" s="381"/>
      <c r="VPU28" s="381"/>
      <c r="VPV28" s="381"/>
      <c r="VPW28" s="381"/>
      <c r="VPX28" s="381"/>
      <c r="VPY28" s="381"/>
      <c r="VPZ28" s="381"/>
      <c r="VQA28" s="381"/>
      <c r="VQB28" s="381"/>
      <c r="VQC28" s="381"/>
      <c r="VQD28" s="381"/>
      <c r="VQE28" s="381"/>
      <c r="VQF28" s="381"/>
      <c r="VQG28" s="381"/>
      <c r="VQH28" s="381"/>
      <c r="VQI28" s="381"/>
      <c r="VQJ28" s="381"/>
      <c r="VQK28" s="381"/>
      <c r="VQL28" s="381"/>
      <c r="VQM28" s="381"/>
      <c r="VQN28" s="381"/>
      <c r="VQO28" s="381"/>
      <c r="VQP28" s="381"/>
      <c r="VQQ28" s="379"/>
      <c r="VQR28" s="380"/>
      <c r="VQS28" s="380"/>
      <c r="VQT28" s="380"/>
      <c r="VQU28" s="381"/>
      <c r="VQV28" s="381"/>
      <c r="VQW28" s="381"/>
      <c r="VQX28" s="381"/>
      <c r="VQY28" s="381"/>
      <c r="VQZ28" s="381"/>
      <c r="VRA28" s="381"/>
      <c r="VRB28" s="381"/>
      <c r="VRC28" s="381"/>
      <c r="VRD28" s="381"/>
      <c r="VRE28" s="381"/>
      <c r="VRF28" s="381"/>
      <c r="VRG28" s="381"/>
      <c r="VRH28" s="381"/>
      <c r="VRI28" s="381"/>
      <c r="VRJ28" s="381"/>
      <c r="VRK28" s="381"/>
      <c r="VRL28" s="381"/>
      <c r="VRM28" s="381"/>
      <c r="VRN28" s="381"/>
      <c r="VRO28" s="381"/>
      <c r="VRP28" s="381"/>
      <c r="VRQ28" s="381"/>
      <c r="VRR28" s="381"/>
      <c r="VRS28" s="381"/>
      <c r="VRT28" s="381"/>
      <c r="VRU28" s="379"/>
      <c r="VRV28" s="380"/>
      <c r="VRW28" s="380"/>
      <c r="VRX28" s="380"/>
      <c r="VRY28" s="381"/>
      <c r="VRZ28" s="381"/>
      <c r="VSA28" s="381"/>
      <c r="VSB28" s="381"/>
      <c r="VSC28" s="381"/>
      <c r="VSD28" s="381"/>
      <c r="VSE28" s="381"/>
      <c r="VSF28" s="381"/>
      <c r="VSG28" s="381"/>
      <c r="VSH28" s="381"/>
      <c r="VSI28" s="381"/>
      <c r="VSJ28" s="381"/>
      <c r="VSK28" s="381"/>
      <c r="VSL28" s="381"/>
      <c r="VSM28" s="381"/>
      <c r="VSN28" s="381"/>
      <c r="VSO28" s="381"/>
      <c r="VSP28" s="381"/>
      <c r="VSQ28" s="381"/>
      <c r="VSR28" s="381"/>
      <c r="VSS28" s="381"/>
      <c r="VST28" s="381"/>
      <c r="VSU28" s="381"/>
      <c r="VSV28" s="381"/>
      <c r="VSW28" s="381"/>
      <c r="VSX28" s="381"/>
      <c r="VSY28" s="379"/>
      <c r="VSZ28" s="380"/>
      <c r="VTA28" s="380"/>
      <c r="VTB28" s="380"/>
      <c r="VTC28" s="381"/>
      <c r="VTD28" s="381"/>
      <c r="VTE28" s="381"/>
      <c r="VTF28" s="381"/>
      <c r="VTG28" s="381"/>
      <c r="VTH28" s="381"/>
      <c r="VTI28" s="381"/>
      <c r="VTJ28" s="381"/>
      <c r="VTK28" s="381"/>
      <c r="VTL28" s="381"/>
      <c r="VTM28" s="381"/>
      <c r="VTN28" s="381"/>
      <c r="VTO28" s="381"/>
      <c r="VTP28" s="381"/>
      <c r="VTQ28" s="381"/>
      <c r="VTR28" s="381"/>
      <c r="VTS28" s="381"/>
      <c r="VTT28" s="381"/>
      <c r="VTU28" s="381"/>
      <c r="VTV28" s="381"/>
      <c r="VTW28" s="381"/>
      <c r="VTX28" s="381"/>
      <c r="VTY28" s="381"/>
      <c r="VTZ28" s="381"/>
      <c r="VUA28" s="381"/>
      <c r="VUB28" s="381"/>
      <c r="VUC28" s="379"/>
      <c r="VUD28" s="380"/>
      <c r="VUE28" s="380"/>
      <c r="VUF28" s="380"/>
      <c r="VUG28" s="381"/>
      <c r="VUH28" s="381"/>
      <c r="VUI28" s="381"/>
      <c r="VUJ28" s="381"/>
      <c r="VUK28" s="381"/>
      <c r="VUL28" s="381"/>
      <c r="VUM28" s="381"/>
      <c r="VUN28" s="381"/>
      <c r="VUO28" s="381"/>
      <c r="VUP28" s="381"/>
      <c r="VUQ28" s="381"/>
      <c r="VUR28" s="381"/>
      <c r="VUS28" s="381"/>
      <c r="VUT28" s="381"/>
      <c r="VUU28" s="381"/>
      <c r="VUV28" s="381"/>
      <c r="VUW28" s="381"/>
      <c r="VUX28" s="381"/>
      <c r="VUY28" s="381"/>
      <c r="VUZ28" s="381"/>
      <c r="VVA28" s="381"/>
      <c r="VVB28" s="381"/>
      <c r="VVC28" s="381"/>
      <c r="VVD28" s="381"/>
      <c r="VVE28" s="381"/>
      <c r="VVF28" s="381"/>
      <c r="VVG28" s="379"/>
      <c r="VVH28" s="380"/>
      <c r="VVI28" s="380"/>
      <c r="VVJ28" s="380"/>
      <c r="VVK28" s="381"/>
      <c r="VVL28" s="381"/>
      <c r="VVM28" s="381"/>
      <c r="VVN28" s="381"/>
      <c r="VVO28" s="381"/>
      <c r="VVP28" s="381"/>
      <c r="VVQ28" s="381"/>
      <c r="VVR28" s="381"/>
      <c r="VVS28" s="381"/>
      <c r="VVT28" s="381"/>
      <c r="VVU28" s="381"/>
      <c r="VVV28" s="381"/>
      <c r="VVW28" s="381"/>
      <c r="VVX28" s="381"/>
      <c r="VVY28" s="381"/>
      <c r="VVZ28" s="381"/>
      <c r="VWA28" s="381"/>
      <c r="VWB28" s="381"/>
      <c r="VWC28" s="381"/>
      <c r="VWD28" s="381"/>
      <c r="VWE28" s="381"/>
      <c r="VWF28" s="381"/>
      <c r="VWG28" s="381"/>
      <c r="VWH28" s="381"/>
      <c r="VWI28" s="381"/>
      <c r="VWJ28" s="381"/>
      <c r="VWK28" s="379"/>
      <c r="VWL28" s="380"/>
      <c r="VWM28" s="380"/>
      <c r="VWN28" s="380"/>
      <c r="VWO28" s="381"/>
      <c r="VWP28" s="381"/>
      <c r="VWQ28" s="381"/>
      <c r="VWR28" s="381"/>
      <c r="VWS28" s="381"/>
      <c r="VWT28" s="381"/>
      <c r="VWU28" s="381"/>
      <c r="VWV28" s="381"/>
      <c r="VWW28" s="381"/>
      <c r="VWX28" s="381"/>
      <c r="VWY28" s="381"/>
      <c r="VWZ28" s="381"/>
      <c r="VXA28" s="381"/>
      <c r="VXB28" s="381"/>
      <c r="VXC28" s="381"/>
      <c r="VXD28" s="381"/>
      <c r="VXE28" s="381"/>
      <c r="VXF28" s="381"/>
      <c r="VXG28" s="381"/>
      <c r="VXH28" s="381"/>
      <c r="VXI28" s="381"/>
      <c r="VXJ28" s="381"/>
      <c r="VXK28" s="381"/>
      <c r="VXL28" s="381"/>
      <c r="VXM28" s="381"/>
      <c r="VXN28" s="381"/>
      <c r="VXO28" s="379"/>
      <c r="VXP28" s="380"/>
      <c r="VXQ28" s="380"/>
      <c r="VXR28" s="380"/>
      <c r="VXS28" s="381"/>
      <c r="VXT28" s="381"/>
      <c r="VXU28" s="381"/>
      <c r="VXV28" s="381"/>
      <c r="VXW28" s="381"/>
      <c r="VXX28" s="381"/>
      <c r="VXY28" s="381"/>
      <c r="VXZ28" s="381"/>
      <c r="VYA28" s="381"/>
      <c r="VYB28" s="381"/>
      <c r="VYC28" s="381"/>
      <c r="VYD28" s="381"/>
      <c r="VYE28" s="381"/>
      <c r="VYF28" s="381"/>
      <c r="VYG28" s="381"/>
      <c r="VYH28" s="381"/>
      <c r="VYI28" s="381"/>
      <c r="VYJ28" s="381"/>
      <c r="VYK28" s="381"/>
      <c r="VYL28" s="381"/>
      <c r="VYM28" s="381"/>
      <c r="VYN28" s="381"/>
      <c r="VYO28" s="381"/>
      <c r="VYP28" s="381"/>
      <c r="VYQ28" s="381"/>
      <c r="VYR28" s="381"/>
      <c r="VYS28" s="379"/>
      <c r="VYT28" s="380"/>
      <c r="VYU28" s="380"/>
      <c r="VYV28" s="380"/>
      <c r="VYW28" s="381"/>
      <c r="VYX28" s="381"/>
      <c r="VYY28" s="381"/>
      <c r="VYZ28" s="381"/>
      <c r="VZA28" s="381"/>
      <c r="VZB28" s="381"/>
      <c r="VZC28" s="381"/>
      <c r="VZD28" s="381"/>
      <c r="VZE28" s="381"/>
      <c r="VZF28" s="381"/>
      <c r="VZG28" s="381"/>
      <c r="VZH28" s="381"/>
      <c r="VZI28" s="381"/>
      <c r="VZJ28" s="381"/>
      <c r="VZK28" s="381"/>
      <c r="VZL28" s="381"/>
      <c r="VZM28" s="381"/>
      <c r="VZN28" s="381"/>
      <c r="VZO28" s="381"/>
      <c r="VZP28" s="381"/>
      <c r="VZQ28" s="381"/>
      <c r="VZR28" s="381"/>
      <c r="VZS28" s="381"/>
      <c r="VZT28" s="381"/>
      <c r="VZU28" s="381"/>
      <c r="VZV28" s="381"/>
      <c r="VZW28" s="379"/>
      <c r="VZX28" s="380"/>
      <c r="VZY28" s="380"/>
      <c r="VZZ28" s="380"/>
      <c r="WAA28" s="381"/>
      <c r="WAB28" s="381"/>
      <c r="WAC28" s="381"/>
      <c r="WAD28" s="381"/>
      <c r="WAE28" s="381"/>
      <c r="WAF28" s="381"/>
      <c r="WAG28" s="381"/>
      <c r="WAH28" s="381"/>
      <c r="WAI28" s="381"/>
      <c r="WAJ28" s="381"/>
      <c r="WAK28" s="381"/>
      <c r="WAL28" s="381"/>
      <c r="WAM28" s="381"/>
      <c r="WAN28" s="381"/>
      <c r="WAO28" s="381"/>
      <c r="WAP28" s="381"/>
      <c r="WAQ28" s="381"/>
      <c r="WAR28" s="381"/>
      <c r="WAS28" s="381"/>
      <c r="WAT28" s="381"/>
      <c r="WAU28" s="381"/>
      <c r="WAV28" s="381"/>
      <c r="WAW28" s="381"/>
      <c r="WAX28" s="381"/>
      <c r="WAY28" s="381"/>
      <c r="WAZ28" s="381"/>
      <c r="WBA28" s="379"/>
      <c r="WBB28" s="380"/>
      <c r="WBC28" s="380"/>
      <c r="WBD28" s="380"/>
      <c r="WBE28" s="381"/>
      <c r="WBF28" s="381"/>
      <c r="WBG28" s="381"/>
      <c r="WBH28" s="381"/>
      <c r="WBI28" s="381"/>
      <c r="WBJ28" s="381"/>
      <c r="WBK28" s="381"/>
      <c r="WBL28" s="381"/>
      <c r="WBM28" s="381"/>
      <c r="WBN28" s="381"/>
      <c r="WBO28" s="381"/>
      <c r="WBP28" s="381"/>
      <c r="WBQ28" s="381"/>
      <c r="WBR28" s="381"/>
      <c r="WBS28" s="381"/>
      <c r="WBT28" s="381"/>
      <c r="WBU28" s="381"/>
      <c r="WBV28" s="381"/>
      <c r="WBW28" s="381"/>
      <c r="WBX28" s="381"/>
      <c r="WBY28" s="381"/>
      <c r="WBZ28" s="381"/>
      <c r="WCA28" s="381"/>
      <c r="WCB28" s="381"/>
      <c r="WCC28" s="381"/>
      <c r="WCD28" s="381"/>
      <c r="WCE28" s="379"/>
      <c r="WCF28" s="380"/>
      <c r="WCG28" s="380"/>
      <c r="WCH28" s="380"/>
      <c r="WCI28" s="381"/>
      <c r="WCJ28" s="381"/>
      <c r="WCK28" s="381"/>
      <c r="WCL28" s="381"/>
      <c r="WCM28" s="381"/>
      <c r="WCN28" s="381"/>
      <c r="WCO28" s="381"/>
      <c r="WCP28" s="381"/>
      <c r="WCQ28" s="381"/>
      <c r="WCR28" s="381"/>
      <c r="WCS28" s="381"/>
      <c r="WCT28" s="381"/>
      <c r="WCU28" s="381"/>
      <c r="WCV28" s="381"/>
      <c r="WCW28" s="381"/>
      <c r="WCX28" s="381"/>
      <c r="WCY28" s="381"/>
      <c r="WCZ28" s="381"/>
      <c r="WDA28" s="381"/>
      <c r="WDB28" s="381"/>
      <c r="WDC28" s="381"/>
      <c r="WDD28" s="381"/>
      <c r="WDE28" s="381"/>
      <c r="WDF28" s="381"/>
      <c r="WDG28" s="381"/>
      <c r="WDH28" s="381"/>
      <c r="WDI28" s="379"/>
      <c r="WDJ28" s="380"/>
      <c r="WDK28" s="380"/>
      <c r="WDL28" s="380"/>
      <c r="WDM28" s="381"/>
      <c r="WDN28" s="381"/>
      <c r="WDO28" s="381"/>
      <c r="WDP28" s="381"/>
      <c r="WDQ28" s="381"/>
      <c r="WDR28" s="381"/>
      <c r="WDS28" s="381"/>
      <c r="WDT28" s="381"/>
      <c r="WDU28" s="381"/>
      <c r="WDV28" s="381"/>
      <c r="WDW28" s="381"/>
      <c r="WDX28" s="381"/>
      <c r="WDY28" s="381"/>
      <c r="WDZ28" s="381"/>
      <c r="WEA28" s="381"/>
      <c r="WEB28" s="381"/>
      <c r="WEC28" s="381"/>
      <c r="WED28" s="381"/>
      <c r="WEE28" s="381"/>
      <c r="WEF28" s="381"/>
      <c r="WEG28" s="381"/>
      <c r="WEH28" s="381"/>
      <c r="WEI28" s="381"/>
      <c r="WEJ28" s="381"/>
      <c r="WEK28" s="381"/>
      <c r="WEL28" s="381"/>
      <c r="WEM28" s="379"/>
      <c r="WEN28" s="380"/>
      <c r="WEO28" s="380"/>
      <c r="WEP28" s="380"/>
      <c r="WEQ28" s="381"/>
      <c r="WER28" s="381"/>
      <c r="WES28" s="381"/>
      <c r="WET28" s="381"/>
      <c r="WEU28" s="381"/>
      <c r="WEV28" s="381"/>
      <c r="WEW28" s="381"/>
      <c r="WEX28" s="381"/>
      <c r="WEY28" s="381"/>
      <c r="WEZ28" s="381"/>
      <c r="WFA28" s="381"/>
      <c r="WFB28" s="381"/>
      <c r="WFC28" s="381"/>
      <c r="WFD28" s="381"/>
      <c r="WFE28" s="381"/>
      <c r="WFF28" s="381"/>
      <c r="WFG28" s="381"/>
      <c r="WFH28" s="381"/>
      <c r="WFI28" s="381"/>
      <c r="WFJ28" s="381"/>
      <c r="WFK28" s="381"/>
      <c r="WFL28" s="381"/>
      <c r="WFM28" s="381"/>
      <c r="WFN28" s="381"/>
      <c r="WFO28" s="381"/>
      <c r="WFP28" s="381"/>
      <c r="WFQ28" s="379"/>
      <c r="WFR28" s="380"/>
      <c r="WFS28" s="380"/>
      <c r="WFT28" s="380"/>
      <c r="WFU28" s="381"/>
      <c r="WFV28" s="381"/>
      <c r="WFW28" s="381"/>
      <c r="WFX28" s="381"/>
      <c r="WFY28" s="381"/>
      <c r="WFZ28" s="381"/>
      <c r="WGA28" s="381"/>
      <c r="WGB28" s="381"/>
      <c r="WGC28" s="381"/>
      <c r="WGD28" s="381"/>
      <c r="WGE28" s="381"/>
      <c r="WGF28" s="381"/>
      <c r="WGG28" s="381"/>
      <c r="WGH28" s="381"/>
      <c r="WGI28" s="381"/>
      <c r="WGJ28" s="381"/>
      <c r="WGK28" s="381"/>
      <c r="WGL28" s="381"/>
      <c r="WGM28" s="381"/>
      <c r="WGN28" s="381"/>
      <c r="WGO28" s="381"/>
      <c r="WGP28" s="381"/>
      <c r="WGQ28" s="381"/>
      <c r="WGR28" s="381"/>
      <c r="WGS28" s="381"/>
      <c r="WGT28" s="381"/>
      <c r="WGU28" s="379"/>
      <c r="WGV28" s="380"/>
      <c r="WGW28" s="380"/>
      <c r="WGX28" s="380"/>
      <c r="WGY28" s="381"/>
      <c r="WGZ28" s="381"/>
      <c r="WHA28" s="381"/>
      <c r="WHB28" s="381"/>
      <c r="WHC28" s="381"/>
      <c r="WHD28" s="381"/>
      <c r="WHE28" s="381"/>
      <c r="WHF28" s="381"/>
      <c r="WHG28" s="381"/>
      <c r="WHH28" s="381"/>
      <c r="WHI28" s="381"/>
      <c r="WHJ28" s="381"/>
      <c r="WHK28" s="381"/>
      <c r="WHL28" s="381"/>
      <c r="WHM28" s="381"/>
      <c r="WHN28" s="381"/>
      <c r="WHO28" s="381"/>
      <c r="WHP28" s="381"/>
      <c r="WHQ28" s="381"/>
      <c r="WHR28" s="381"/>
      <c r="WHS28" s="381"/>
      <c r="WHT28" s="381"/>
      <c r="WHU28" s="381"/>
      <c r="WHV28" s="381"/>
      <c r="WHW28" s="381"/>
      <c r="WHX28" s="381"/>
      <c r="WHY28" s="379"/>
      <c r="WHZ28" s="380"/>
      <c r="WIA28" s="380"/>
      <c r="WIB28" s="380"/>
      <c r="WIC28" s="381"/>
      <c r="WID28" s="381"/>
      <c r="WIE28" s="381"/>
      <c r="WIF28" s="381"/>
      <c r="WIG28" s="381"/>
      <c r="WIH28" s="381"/>
      <c r="WII28" s="381"/>
      <c r="WIJ28" s="381"/>
      <c r="WIK28" s="381"/>
      <c r="WIL28" s="381"/>
      <c r="WIM28" s="381"/>
      <c r="WIN28" s="381"/>
      <c r="WIO28" s="381"/>
      <c r="WIP28" s="381"/>
      <c r="WIQ28" s="381"/>
      <c r="WIR28" s="381"/>
      <c r="WIS28" s="381"/>
      <c r="WIT28" s="381"/>
      <c r="WIU28" s="381"/>
      <c r="WIV28" s="381"/>
      <c r="WIW28" s="381"/>
      <c r="WIX28" s="381"/>
      <c r="WIY28" s="381"/>
      <c r="WIZ28" s="381"/>
      <c r="WJA28" s="381"/>
      <c r="WJB28" s="381"/>
      <c r="WJC28" s="379"/>
      <c r="WJD28" s="380"/>
      <c r="WJE28" s="380"/>
      <c r="WJF28" s="380"/>
      <c r="WJG28" s="381"/>
      <c r="WJH28" s="381"/>
      <c r="WJI28" s="381"/>
      <c r="WJJ28" s="381"/>
      <c r="WJK28" s="381"/>
      <c r="WJL28" s="381"/>
      <c r="WJM28" s="381"/>
      <c r="WJN28" s="381"/>
      <c r="WJO28" s="381"/>
      <c r="WJP28" s="381"/>
      <c r="WJQ28" s="381"/>
      <c r="WJR28" s="381"/>
      <c r="WJS28" s="381"/>
      <c r="WJT28" s="381"/>
      <c r="WJU28" s="381"/>
      <c r="WJV28" s="381"/>
      <c r="WJW28" s="381"/>
      <c r="WJX28" s="381"/>
      <c r="WJY28" s="381"/>
      <c r="WJZ28" s="381"/>
      <c r="WKA28" s="381"/>
      <c r="WKB28" s="381"/>
      <c r="WKC28" s="381"/>
      <c r="WKD28" s="381"/>
      <c r="WKE28" s="381"/>
      <c r="WKF28" s="381"/>
      <c r="WKG28" s="379"/>
      <c r="WKH28" s="380"/>
      <c r="WKI28" s="380"/>
      <c r="WKJ28" s="380"/>
      <c r="WKK28" s="381"/>
      <c r="WKL28" s="381"/>
      <c r="WKM28" s="381"/>
      <c r="WKN28" s="381"/>
      <c r="WKO28" s="381"/>
      <c r="WKP28" s="381"/>
      <c r="WKQ28" s="381"/>
      <c r="WKR28" s="381"/>
      <c r="WKS28" s="381"/>
      <c r="WKT28" s="381"/>
      <c r="WKU28" s="381"/>
      <c r="WKV28" s="381"/>
      <c r="WKW28" s="381"/>
      <c r="WKX28" s="381"/>
      <c r="WKY28" s="381"/>
      <c r="WKZ28" s="381"/>
      <c r="WLA28" s="381"/>
      <c r="WLB28" s="381"/>
      <c r="WLC28" s="381"/>
      <c r="WLD28" s="381"/>
      <c r="WLE28" s="381"/>
      <c r="WLF28" s="381"/>
      <c r="WLG28" s="381"/>
      <c r="WLH28" s="381"/>
      <c r="WLI28" s="381"/>
      <c r="WLJ28" s="381"/>
      <c r="WLK28" s="379"/>
      <c r="WLL28" s="380"/>
      <c r="WLM28" s="380"/>
      <c r="WLN28" s="380"/>
      <c r="WLO28" s="381"/>
      <c r="WLP28" s="381"/>
      <c r="WLQ28" s="381"/>
      <c r="WLR28" s="381"/>
      <c r="WLS28" s="381"/>
      <c r="WLT28" s="381"/>
      <c r="WLU28" s="381"/>
      <c r="WLV28" s="381"/>
      <c r="WLW28" s="381"/>
      <c r="WLX28" s="381"/>
      <c r="WLY28" s="381"/>
      <c r="WLZ28" s="381"/>
      <c r="WMA28" s="381"/>
      <c r="WMB28" s="381"/>
      <c r="WMC28" s="381"/>
      <c r="WMD28" s="381"/>
      <c r="WME28" s="381"/>
      <c r="WMF28" s="381"/>
      <c r="WMG28" s="381"/>
      <c r="WMH28" s="381"/>
      <c r="WMI28" s="381"/>
      <c r="WMJ28" s="381"/>
      <c r="WMK28" s="381"/>
      <c r="WML28" s="381"/>
      <c r="WMM28" s="381"/>
      <c r="WMN28" s="381"/>
      <c r="WMO28" s="379"/>
      <c r="WMP28" s="380"/>
      <c r="WMQ28" s="380"/>
      <c r="WMR28" s="380"/>
      <c r="WMS28" s="381"/>
      <c r="WMT28" s="381"/>
      <c r="WMU28" s="381"/>
      <c r="WMV28" s="381"/>
      <c r="WMW28" s="381"/>
      <c r="WMX28" s="381"/>
      <c r="WMY28" s="381"/>
      <c r="WMZ28" s="381"/>
      <c r="WNA28" s="381"/>
      <c r="WNB28" s="381"/>
      <c r="WNC28" s="381"/>
      <c r="WND28" s="381"/>
      <c r="WNE28" s="381"/>
      <c r="WNF28" s="381"/>
      <c r="WNG28" s="381"/>
      <c r="WNH28" s="381"/>
      <c r="WNI28" s="381"/>
      <c r="WNJ28" s="381"/>
      <c r="WNK28" s="381"/>
      <c r="WNL28" s="381"/>
      <c r="WNM28" s="381"/>
      <c r="WNN28" s="381"/>
      <c r="WNO28" s="381"/>
      <c r="WNP28" s="381"/>
      <c r="WNQ28" s="381"/>
      <c r="WNR28" s="381"/>
      <c r="WNS28" s="379"/>
      <c r="WNT28" s="380"/>
      <c r="WNU28" s="380"/>
      <c r="WNV28" s="380"/>
      <c r="WNW28" s="381"/>
      <c r="WNX28" s="381"/>
      <c r="WNY28" s="381"/>
      <c r="WNZ28" s="381"/>
      <c r="WOA28" s="381"/>
      <c r="WOB28" s="381"/>
      <c r="WOC28" s="381"/>
      <c r="WOD28" s="381"/>
      <c r="WOE28" s="381"/>
      <c r="WOF28" s="381"/>
      <c r="WOG28" s="381"/>
      <c r="WOH28" s="381"/>
      <c r="WOI28" s="381"/>
      <c r="WOJ28" s="381"/>
      <c r="WOK28" s="381"/>
      <c r="WOL28" s="381"/>
      <c r="WOM28" s="381"/>
      <c r="WON28" s="381"/>
      <c r="WOO28" s="381"/>
      <c r="WOP28" s="381"/>
      <c r="WOQ28" s="381"/>
      <c r="WOR28" s="381"/>
      <c r="WOS28" s="381"/>
      <c r="WOT28" s="381"/>
      <c r="WOU28" s="381"/>
      <c r="WOV28" s="381"/>
      <c r="WOW28" s="379"/>
      <c r="WOX28" s="380"/>
      <c r="WOY28" s="380"/>
      <c r="WOZ28" s="380"/>
      <c r="WPA28" s="381"/>
      <c r="WPB28" s="381"/>
      <c r="WPC28" s="381"/>
      <c r="WPD28" s="381"/>
      <c r="WPE28" s="381"/>
      <c r="WPF28" s="381"/>
      <c r="WPG28" s="381"/>
      <c r="WPH28" s="381"/>
      <c r="WPI28" s="381"/>
      <c r="WPJ28" s="381"/>
      <c r="WPK28" s="381"/>
      <c r="WPL28" s="381"/>
      <c r="WPM28" s="381"/>
      <c r="WPN28" s="381"/>
      <c r="WPO28" s="381"/>
      <c r="WPP28" s="381"/>
      <c r="WPQ28" s="381"/>
      <c r="WPR28" s="381"/>
      <c r="WPS28" s="381"/>
      <c r="WPT28" s="381"/>
      <c r="WPU28" s="381"/>
      <c r="WPV28" s="381"/>
      <c r="WPW28" s="381"/>
      <c r="WPX28" s="381"/>
      <c r="WPY28" s="381"/>
      <c r="WPZ28" s="381"/>
      <c r="WQA28" s="379"/>
      <c r="WQB28" s="380"/>
      <c r="WQC28" s="380"/>
      <c r="WQD28" s="380"/>
      <c r="WQE28" s="381"/>
      <c r="WQF28" s="381"/>
      <c r="WQG28" s="381"/>
      <c r="WQH28" s="381"/>
      <c r="WQI28" s="381"/>
      <c r="WQJ28" s="381"/>
      <c r="WQK28" s="381"/>
      <c r="WQL28" s="381"/>
      <c r="WQM28" s="381"/>
      <c r="WQN28" s="381"/>
      <c r="WQO28" s="381"/>
      <c r="WQP28" s="381"/>
      <c r="WQQ28" s="381"/>
      <c r="WQR28" s="381"/>
      <c r="WQS28" s="381"/>
      <c r="WQT28" s="381"/>
      <c r="WQU28" s="381"/>
      <c r="WQV28" s="381"/>
      <c r="WQW28" s="381"/>
      <c r="WQX28" s="381"/>
      <c r="WQY28" s="381"/>
      <c r="WQZ28" s="381"/>
      <c r="WRA28" s="381"/>
      <c r="WRB28" s="381"/>
      <c r="WRC28" s="381"/>
      <c r="WRD28" s="381"/>
      <c r="WRE28" s="379"/>
      <c r="WRF28" s="380"/>
      <c r="WRG28" s="380"/>
      <c r="WRH28" s="380"/>
      <c r="WRI28" s="381"/>
      <c r="WRJ28" s="381"/>
      <c r="WRK28" s="381"/>
      <c r="WRL28" s="381"/>
      <c r="WRM28" s="381"/>
      <c r="WRN28" s="381"/>
      <c r="WRO28" s="381"/>
      <c r="WRP28" s="381"/>
      <c r="WRQ28" s="381"/>
      <c r="WRR28" s="381"/>
      <c r="WRS28" s="381"/>
      <c r="WRT28" s="381"/>
      <c r="WRU28" s="381"/>
      <c r="WRV28" s="381"/>
      <c r="WRW28" s="381"/>
      <c r="WRX28" s="381"/>
      <c r="WRY28" s="381"/>
      <c r="WRZ28" s="381"/>
      <c r="WSA28" s="381"/>
      <c r="WSB28" s="381"/>
      <c r="WSC28" s="381"/>
      <c r="WSD28" s="381"/>
      <c r="WSE28" s="381"/>
      <c r="WSF28" s="381"/>
      <c r="WSG28" s="381"/>
      <c r="WSH28" s="381"/>
      <c r="WSI28" s="379"/>
      <c r="WSJ28" s="380"/>
      <c r="WSK28" s="380"/>
      <c r="WSL28" s="380"/>
      <c r="WSM28" s="381"/>
      <c r="WSN28" s="381"/>
      <c r="WSO28" s="381"/>
      <c r="WSP28" s="381"/>
      <c r="WSQ28" s="381"/>
      <c r="WSR28" s="381"/>
      <c r="WSS28" s="381"/>
      <c r="WST28" s="381"/>
      <c r="WSU28" s="381"/>
      <c r="WSV28" s="381"/>
      <c r="WSW28" s="381"/>
      <c r="WSX28" s="381"/>
      <c r="WSY28" s="381"/>
      <c r="WSZ28" s="381"/>
      <c r="WTA28" s="381"/>
      <c r="WTB28" s="381"/>
      <c r="WTC28" s="381"/>
      <c r="WTD28" s="381"/>
      <c r="WTE28" s="381"/>
      <c r="WTF28" s="381"/>
      <c r="WTG28" s="381"/>
      <c r="WTH28" s="381"/>
      <c r="WTI28" s="381"/>
      <c r="WTJ28" s="381"/>
      <c r="WTK28" s="381"/>
      <c r="WTL28" s="381"/>
      <c r="WTM28" s="379"/>
      <c r="WTN28" s="380"/>
      <c r="WTO28" s="380"/>
      <c r="WTP28" s="380"/>
      <c r="WTQ28" s="381"/>
      <c r="WTR28" s="381"/>
      <c r="WTS28" s="381"/>
      <c r="WTT28" s="381"/>
      <c r="WTU28" s="381"/>
      <c r="WTV28" s="381"/>
      <c r="WTW28" s="381"/>
      <c r="WTX28" s="381"/>
      <c r="WTY28" s="381"/>
      <c r="WTZ28" s="381"/>
      <c r="WUA28" s="381"/>
      <c r="WUB28" s="381"/>
      <c r="WUC28" s="381"/>
      <c r="WUD28" s="381"/>
      <c r="WUE28" s="381"/>
      <c r="WUF28" s="381"/>
      <c r="WUG28" s="381"/>
      <c r="WUH28" s="381"/>
      <c r="WUI28" s="381"/>
      <c r="WUJ28" s="381"/>
      <c r="WUK28" s="381"/>
      <c r="WUL28" s="381"/>
      <c r="WUM28" s="381"/>
      <c r="WUN28" s="381"/>
      <c r="WUO28" s="381"/>
      <c r="WUP28" s="381"/>
      <c r="WUQ28" s="379"/>
      <c r="WUR28" s="380"/>
      <c r="WUS28" s="380"/>
      <c r="WUT28" s="380"/>
      <c r="WUU28" s="381"/>
      <c r="WUV28" s="381"/>
      <c r="WUW28" s="381"/>
      <c r="WUX28" s="381"/>
      <c r="WUY28" s="381"/>
      <c r="WUZ28" s="381"/>
      <c r="WVA28" s="381"/>
      <c r="WVB28" s="381"/>
      <c r="WVC28" s="381"/>
      <c r="WVD28" s="381"/>
      <c r="WVE28" s="381"/>
      <c r="WVF28" s="381"/>
      <c r="WVG28" s="381"/>
      <c r="WVH28" s="381"/>
      <c r="WVI28" s="381"/>
      <c r="WVJ28" s="381"/>
      <c r="WVK28" s="381"/>
      <c r="WVL28" s="381"/>
      <c r="WVM28" s="381"/>
      <c r="WVN28" s="381"/>
      <c r="WVO28" s="381"/>
      <c r="WVP28" s="381"/>
      <c r="WVQ28" s="381"/>
      <c r="WVR28" s="381"/>
      <c r="WVS28" s="381"/>
      <c r="WVT28" s="381"/>
      <c r="WVU28" s="379"/>
      <c r="WVV28" s="380"/>
      <c r="WVW28" s="380"/>
      <c r="WVX28" s="380"/>
      <c r="WVY28" s="381"/>
      <c r="WVZ28" s="381"/>
      <c r="WWA28" s="381"/>
      <c r="WWB28" s="381"/>
      <c r="WWC28" s="381"/>
      <c r="WWD28" s="381"/>
      <c r="WWE28" s="381"/>
      <c r="WWF28" s="381"/>
      <c r="WWG28" s="381"/>
      <c r="WWH28" s="381"/>
      <c r="WWI28" s="381"/>
      <c r="WWJ28" s="381"/>
      <c r="WWK28" s="381"/>
      <c r="WWL28" s="381"/>
      <c r="WWM28" s="381"/>
      <c r="WWN28" s="381"/>
      <c r="WWO28" s="381"/>
      <c r="WWP28" s="381"/>
      <c r="WWQ28" s="381"/>
      <c r="WWR28" s="381"/>
      <c r="WWS28" s="381"/>
      <c r="WWT28" s="381"/>
      <c r="WWU28" s="381"/>
      <c r="WWV28" s="381"/>
      <c r="WWW28" s="381"/>
      <c r="WWX28" s="381"/>
      <c r="WWY28" s="379"/>
      <c r="WWZ28" s="380"/>
      <c r="WXA28" s="380"/>
      <c r="WXB28" s="380"/>
      <c r="WXC28" s="381"/>
      <c r="WXD28" s="381"/>
      <c r="WXE28" s="381"/>
      <c r="WXF28" s="381"/>
      <c r="WXG28" s="381"/>
      <c r="WXH28" s="381"/>
      <c r="WXI28" s="381"/>
      <c r="WXJ28" s="381"/>
      <c r="WXK28" s="381"/>
      <c r="WXL28" s="381"/>
      <c r="WXM28" s="381"/>
      <c r="WXN28" s="381"/>
      <c r="WXO28" s="381"/>
      <c r="WXP28" s="381"/>
      <c r="WXQ28" s="381"/>
      <c r="WXR28" s="381"/>
      <c r="WXS28" s="381"/>
      <c r="WXT28" s="381"/>
      <c r="WXU28" s="381"/>
      <c r="WXV28" s="381"/>
      <c r="WXW28" s="381"/>
      <c r="WXX28" s="381"/>
      <c r="WXY28" s="381"/>
      <c r="WXZ28" s="381"/>
      <c r="WYA28" s="381"/>
      <c r="WYB28" s="381"/>
      <c r="WYC28" s="379"/>
      <c r="WYD28" s="380"/>
      <c r="WYE28" s="380"/>
      <c r="WYF28" s="380"/>
      <c r="WYG28" s="381"/>
      <c r="WYH28" s="381"/>
      <c r="WYI28" s="381"/>
      <c r="WYJ28" s="381"/>
      <c r="WYK28" s="381"/>
      <c r="WYL28" s="381"/>
      <c r="WYM28" s="381"/>
      <c r="WYN28" s="381"/>
      <c r="WYO28" s="381"/>
      <c r="WYP28" s="381"/>
      <c r="WYQ28" s="381"/>
      <c r="WYR28" s="381"/>
      <c r="WYS28" s="381"/>
      <c r="WYT28" s="381"/>
      <c r="WYU28" s="381"/>
      <c r="WYV28" s="381"/>
      <c r="WYW28" s="381"/>
      <c r="WYX28" s="381"/>
      <c r="WYY28" s="381"/>
      <c r="WYZ28" s="381"/>
      <c r="WZA28" s="381"/>
      <c r="WZB28" s="381"/>
      <c r="WZC28" s="381"/>
      <c r="WZD28" s="381"/>
      <c r="WZE28" s="381"/>
      <c r="WZF28" s="381"/>
      <c r="WZG28" s="379"/>
      <c r="WZH28" s="380"/>
      <c r="WZI28" s="380"/>
      <c r="WZJ28" s="380"/>
      <c r="WZK28" s="381"/>
      <c r="WZL28" s="381"/>
      <c r="WZM28" s="381"/>
      <c r="WZN28" s="381"/>
      <c r="WZO28" s="381"/>
      <c r="WZP28" s="381"/>
      <c r="WZQ28" s="381"/>
      <c r="WZR28" s="381"/>
      <c r="WZS28" s="381"/>
      <c r="WZT28" s="381"/>
      <c r="WZU28" s="381"/>
      <c r="WZV28" s="381"/>
      <c r="WZW28" s="381"/>
      <c r="WZX28" s="381"/>
      <c r="WZY28" s="381"/>
      <c r="WZZ28" s="381"/>
      <c r="XAA28" s="381"/>
      <c r="XAB28" s="381"/>
      <c r="XAC28" s="381"/>
      <c r="XAD28" s="381"/>
      <c r="XAE28" s="381"/>
      <c r="XAF28" s="381"/>
      <c r="XAG28" s="381"/>
      <c r="XAH28" s="381"/>
      <c r="XAI28" s="381"/>
      <c r="XAJ28" s="381"/>
      <c r="XAK28" s="379"/>
      <c r="XAL28" s="380"/>
      <c r="XAM28" s="380"/>
      <c r="XAN28" s="380"/>
      <c r="XAO28" s="381"/>
      <c r="XAP28" s="381"/>
      <c r="XAQ28" s="381"/>
      <c r="XAR28" s="381"/>
      <c r="XAS28" s="381"/>
      <c r="XAT28" s="381"/>
      <c r="XAU28" s="381"/>
      <c r="XAV28" s="381"/>
      <c r="XAW28" s="381"/>
      <c r="XAX28" s="381"/>
      <c r="XAY28" s="381"/>
      <c r="XAZ28" s="381"/>
      <c r="XBA28" s="381"/>
      <c r="XBB28" s="381"/>
      <c r="XBC28" s="381"/>
      <c r="XBD28" s="381"/>
      <c r="XBE28" s="381"/>
      <c r="XBF28" s="381"/>
      <c r="XBG28" s="381"/>
      <c r="XBH28" s="381"/>
      <c r="XBI28" s="381"/>
      <c r="XBJ28" s="381"/>
      <c r="XBK28" s="381"/>
      <c r="XBL28" s="381"/>
      <c r="XBM28" s="381"/>
      <c r="XBN28" s="381"/>
      <c r="XBO28" s="379"/>
      <c r="XBP28" s="380"/>
      <c r="XBQ28" s="380"/>
      <c r="XBR28" s="380"/>
      <c r="XBS28" s="381"/>
      <c r="XBT28" s="381"/>
      <c r="XBU28" s="381"/>
      <c r="XBV28" s="381"/>
      <c r="XBW28" s="381"/>
      <c r="XBX28" s="381"/>
      <c r="XBY28" s="381"/>
      <c r="XBZ28" s="381"/>
      <c r="XCA28" s="381"/>
      <c r="XCB28" s="381"/>
      <c r="XCC28" s="381"/>
      <c r="XCD28" s="381"/>
      <c r="XCE28" s="381"/>
      <c r="XCF28" s="381"/>
      <c r="XCG28" s="381"/>
      <c r="XCH28" s="381"/>
      <c r="XCI28" s="381"/>
      <c r="XCJ28" s="381"/>
      <c r="XCK28" s="381"/>
      <c r="XCL28" s="381"/>
      <c r="XCM28" s="381"/>
      <c r="XCN28" s="381"/>
      <c r="XCO28" s="381"/>
      <c r="XCP28" s="381"/>
      <c r="XCQ28" s="381"/>
      <c r="XCR28" s="381"/>
      <c r="XCS28" s="379"/>
      <c r="XCT28" s="380"/>
      <c r="XCU28" s="380"/>
      <c r="XCV28" s="380"/>
      <c r="XCW28" s="381"/>
      <c r="XCX28" s="381"/>
      <c r="XCY28" s="381"/>
      <c r="XCZ28" s="381"/>
      <c r="XDA28" s="381"/>
      <c r="XDB28" s="381"/>
      <c r="XDC28" s="381"/>
      <c r="XDD28" s="381"/>
      <c r="XDE28" s="381"/>
      <c r="XDF28" s="381"/>
      <c r="XDG28" s="381"/>
      <c r="XDH28" s="381"/>
      <c r="XDI28" s="381"/>
      <c r="XDJ28" s="381"/>
      <c r="XDK28" s="381"/>
      <c r="XDL28" s="381"/>
      <c r="XDM28" s="381"/>
      <c r="XDN28" s="381"/>
      <c r="XDO28" s="381"/>
      <c r="XDP28" s="381"/>
      <c r="XDQ28" s="381"/>
      <c r="XDR28" s="381"/>
      <c r="XDS28" s="381"/>
      <c r="XDT28" s="381"/>
      <c r="XDU28" s="381"/>
      <c r="XDV28" s="381"/>
      <c r="XDW28" s="379"/>
      <c r="XDX28" s="380"/>
      <c r="XDY28" s="380"/>
      <c r="XDZ28" s="380"/>
      <c r="XEA28" s="381"/>
      <c r="XEB28" s="381"/>
      <c r="XEC28" s="381"/>
      <c r="XED28" s="381"/>
      <c r="XEE28" s="381"/>
      <c r="XEF28" s="381"/>
      <c r="XEG28" s="381"/>
      <c r="XEH28" s="381"/>
      <c r="XEI28" s="381"/>
      <c r="XEJ28" s="381"/>
      <c r="XEK28" s="381"/>
      <c r="XEL28" s="381"/>
      <c r="XEM28" s="381"/>
      <c r="XEN28" s="381"/>
      <c r="XEO28" s="381"/>
      <c r="XEP28" s="381"/>
      <c r="XEQ28" s="381"/>
      <c r="XER28" s="381"/>
      <c r="XES28" s="381"/>
      <c r="XET28" s="381"/>
      <c r="XEU28" s="381"/>
      <c r="XEV28" s="381"/>
      <c r="XEW28" s="381"/>
      <c r="XEX28" s="381"/>
      <c r="XEY28" s="381"/>
      <c r="XEZ28" s="381"/>
      <c r="XFA28" s="379"/>
      <c r="XFB28" s="380"/>
      <c r="XFC28" s="380"/>
      <c r="XFD28" s="380"/>
    </row>
    <row r="29" spans="1:16384" s="383" customFormat="1" x14ac:dyDescent="0.35">
      <c r="A29" s="386">
        <v>5</v>
      </c>
      <c r="B29" s="383" t="s">
        <v>712</v>
      </c>
      <c r="E29" s="371"/>
      <c r="F29" s="371"/>
      <c r="G29" s="371"/>
      <c r="H29" s="371"/>
      <c r="I29" s="371"/>
      <c r="J29" s="371"/>
      <c r="K29" s="371"/>
      <c r="L29" s="371"/>
      <c r="M29" s="371"/>
      <c r="N29" s="371"/>
      <c r="O29" s="371"/>
      <c r="P29" s="371"/>
      <c r="Q29" s="371"/>
      <c r="R29" s="371"/>
      <c r="S29" s="371"/>
      <c r="T29" s="371"/>
      <c r="U29" s="371"/>
      <c r="V29" s="371"/>
      <c r="W29" s="371"/>
      <c r="X29" s="371"/>
      <c r="Y29" s="371"/>
      <c r="Z29" s="371"/>
      <c r="AA29" s="371"/>
      <c r="AB29" s="371"/>
      <c r="AC29" s="371"/>
      <c r="AD29" s="371"/>
      <c r="AE29" s="382"/>
      <c r="AI29" s="371"/>
      <c r="AJ29" s="371"/>
      <c r="AK29" s="371"/>
      <c r="AL29" s="371"/>
      <c r="AM29" s="371"/>
      <c r="AN29" s="371"/>
      <c r="AO29" s="371"/>
      <c r="AP29" s="371"/>
      <c r="AQ29" s="371"/>
      <c r="AR29" s="371"/>
      <c r="AS29" s="371"/>
      <c r="AT29" s="371"/>
      <c r="AU29" s="371"/>
      <c r="AV29" s="371"/>
      <c r="AW29" s="371"/>
      <c r="AX29" s="371"/>
      <c r="AY29" s="371"/>
      <c r="AZ29" s="371"/>
      <c r="BA29" s="371"/>
      <c r="BB29" s="371"/>
      <c r="BC29" s="371"/>
      <c r="BD29" s="371"/>
      <c r="BE29" s="371"/>
      <c r="BF29" s="371"/>
      <c r="BG29" s="371"/>
      <c r="BH29" s="371"/>
      <c r="BI29" s="382"/>
      <c r="BM29" s="371"/>
      <c r="BN29" s="371"/>
      <c r="BO29" s="371"/>
      <c r="BP29" s="371"/>
      <c r="BQ29" s="371"/>
      <c r="BR29" s="371"/>
      <c r="BS29" s="371"/>
      <c r="BT29" s="371"/>
      <c r="BU29" s="371"/>
      <c r="BV29" s="371"/>
      <c r="BW29" s="371"/>
      <c r="BX29" s="371"/>
      <c r="BY29" s="371"/>
      <c r="BZ29" s="371"/>
      <c r="CA29" s="371"/>
      <c r="CB29" s="371"/>
      <c r="CC29" s="371"/>
      <c r="CD29" s="371"/>
      <c r="CE29" s="371"/>
      <c r="CF29" s="371"/>
      <c r="CG29" s="371"/>
      <c r="CH29" s="371"/>
      <c r="CI29" s="371"/>
      <c r="CJ29" s="371"/>
      <c r="CK29" s="371"/>
      <c r="CL29" s="371"/>
      <c r="CM29" s="382"/>
      <c r="CQ29" s="371"/>
      <c r="CR29" s="371"/>
      <c r="CS29" s="371"/>
      <c r="CT29" s="371"/>
      <c r="CU29" s="371"/>
      <c r="CV29" s="371"/>
      <c r="CW29" s="371"/>
      <c r="CX29" s="371"/>
      <c r="CY29" s="371"/>
      <c r="CZ29" s="371"/>
      <c r="DA29" s="371"/>
      <c r="DB29" s="371"/>
      <c r="DC29" s="371"/>
      <c r="DD29" s="371"/>
      <c r="DE29" s="371"/>
      <c r="DF29" s="371"/>
      <c r="DG29" s="371"/>
      <c r="DH29" s="371"/>
      <c r="DI29" s="371"/>
      <c r="DJ29" s="371"/>
      <c r="DK29" s="371"/>
      <c r="DL29" s="371"/>
      <c r="DM29" s="371"/>
      <c r="DN29" s="371"/>
      <c r="DO29" s="371"/>
      <c r="DP29" s="371"/>
      <c r="DQ29" s="382"/>
      <c r="DU29" s="371"/>
      <c r="DV29" s="371"/>
      <c r="DW29" s="371"/>
      <c r="DX29" s="371"/>
      <c r="DY29" s="371"/>
      <c r="DZ29" s="371"/>
      <c r="EA29" s="371"/>
      <c r="EB29" s="371"/>
      <c r="EC29" s="371"/>
      <c r="ED29" s="371"/>
      <c r="EE29" s="371"/>
      <c r="EF29" s="371"/>
      <c r="EG29" s="371"/>
      <c r="EH29" s="371"/>
      <c r="EI29" s="371"/>
      <c r="EJ29" s="371"/>
      <c r="EK29" s="371"/>
      <c r="EL29" s="371"/>
      <c r="EM29" s="371"/>
      <c r="EN29" s="371"/>
      <c r="EO29" s="371"/>
      <c r="EP29" s="371"/>
      <c r="EQ29" s="371"/>
      <c r="ER29" s="371"/>
      <c r="ES29" s="371"/>
      <c r="ET29" s="371"/>
      <c r="EU29" s="382"/>
      <c r="EY29" s="371"/>
      <c r="EZ29" s="371"/>
      <c r="FA29" s="371"/>
      <c r="FB29" s="371"/>
      <c r="FC29" s="371"/>
      <c r="FD29" s="371"/>
      <c r="FE29" s="371"/>
      <c r="FF29" s="371"/>
      <c r="FG29" s="371"/>
      <c r="FH29" s="371"/>
      <c r="FI29" s="371"/>
      <c r="FJ29" s="371"/>
      <c r="FK29" s="371"/>
      <c r="FL29" s="371"/>
      <c r="FM29" s="371"/>
      <c r="FN29" s="371"/>
      <c r="FO29" s="371"/>
      <c r="FP29" s="371"/>
      <c r="FQ29" s="371"/>
      <c r="FR29" s="371"/>
      <c r="FS29" s="371"/>
      <c r="FT29" s="371"/>
      <c r="FU29" s="371"/>
      <c r="FV29" s="371"/>
      <c r="FW29" s="371"/>
      <c r="FX29" s="371"/>
      <c r="FY29" s="382"/>
      <c r="GC29" s="371"/>
      <c r="GD29" s="371"/>
      <c r="GE29" s="371"/>
      <c r="GF29" s="371"/>
      <c r="GG29" s="371"/>
      <c r="GH29" s="371"/>
      <c r="GI29" s="371"/>
      <c r="GJ29" s="371"/>
      <c r="GK29" s="371"/>
      <c r="GL29" s="371"/>
      <c r="GM29" s="371"/>
      <c r="GN29" s="371"/>
      <c r="GO29" s="371"/>
      <c r="GP29" s="371"/>
      <c r="GQ29" s="371"/>
      <c r="GR29" s="371"/>
      <c r="GS29" s="371"/>
      <c r="GT29" s="371"/>
      <c r="GU29" s="371"/>
      <c r="GV29" s="371"/>
      <c r="GW29" s="371"/>
      <c r="GX29" s="371"/>
      <c r="GY29" s="371"/>
      <c r="GZ29" s="371"/>
      <c r="HA29" s="371"/>
      <c r="HB29" s="371"/>
      <c r="HC29" s="382"/>
      <c r="HG29" s="371"/>
      <c r="HH29" s="371"/>
      <c r="HI29" s="371"/>
      <c r="HJ29" s="371"/>
      <c r="HK29" s="371"/>
      <c r="HL29" s="371"/>
      <c r="HM29" s="371"/>
      <c r="HN29" s="371"/>
      <c r="HO29" s="371"/>
      <c r="HP29" s="371"/>
      <c r="HQ29" s="371"/>
      <c r="HR29" s="371"/>
      <c r="HS29" s="371"/>
      <c r="HT29" s="371"/>
      <c r="HU29" s="371"/>
      <c r="HV29" s="371"/>
      <c r="HW29" s="371"/>
      <c r="HX29" s="371"/>
      <c r="HY29" s="371"/>
      <c r="HZ29" s="371"/>
      <c r="IA29" s="371"/>
      <c r="IB29" s="371"/>
      <c r="IC29" s="371"/>
      <c r="ID29" s="371"/>
      <c r="IE29" s="371"/>
      <c r="IF29" s="371"/>
      <c r="IG29" s="382"/>
      <c r="IK29" s="371"/>
      <c r="IL29" s="371"/>
      <c r="IM29" s="371"/>
      <c r="IN29" s="371"/>
      <c r="IO29" s="371"/>
      <c r="IP29" s="371"/>
      <c r="IQ29" s="371"/>
      <c r="IR29" s="371"/>
      <c r="IS29" s="371"/>
      <c r="IT29" s="371"/>
      <c r="IU29" s="371"/>
      <c r="IV29" s="371"/>
      <c r="IW29" s="371"/>
      <c r="IX29" s="371"/>
      <c r="IY29" s="371"/>
      <c r="IZ29" s="371"/>
      <c r="JA29" s="371"/>
      <c r="JB29" s="371"/>
      <c r="JC29" s="371"/>
      <c r="JD29" s="371"/>
      <c r="JE29" s="371"/>
      <c r="JF29" s="371"/>
      <c r="JG29" s="371"/>
      <c r="JH29" s="371"/>
      <c r="JI29" s="371"/>
      <c r="JJ29" s="371"/>
      <c r="JK29" s="382"/>
      <c r="JO29" s="371"/>
      <c r="JP29" s="371"/>
      <c r="JQ29" s="371"/>
      <c r="JR29" s="371"/>
      <c r="JS29" s="371"/>
      <c r="JT29" s="371"/>
      <c r="JU29" s="371"/>
      <c r="JV29" s="371"/>
      <c r="JW29" s="371"/>
      <c r="JX29" s="371"/>
      <c r="JY29" s="371"/>
      <c r="JZ29" s="371"/>
      <c r="KA29" s="371"/>
      <c r="KB29" s="371"/>
      <c r="KC29" s="371"/>
      <c r="KD29" s="371"/>
      <c r="KE29" s="371"/>
      <c r="KF29" s="371"/>
      <c r="KG29" s="371"/>
      <c r="KH29" s="371"/>
      <c r="KI29" s="371"/>
      <c r="KJ29" s="371"/>
      <c r="KK29" s="371"/>
      <c r="KL29" s="371"/>
      <c r="KM29" s="371"/>
      <c r="KN29" s="371"/>
      <c r="KO29" s="382"/>
      <c r="KS29" s="371"/>
      <c r="KT29" s="371"/>
      <c r="KU29" s="371"/>
      <c r="KV29" s="371"/>
      <c r="KW29" s="371"/>
      <c r="KX29" s="371"/>
      <c r="KY29" s="371"/>
      <c r="KZ29" s="371"/>
      <c r="LA29" s="371"/>
      <c r="LB29" s="371"/>
      <c r="LC29" s="371"/>
      <c r="LD29" s="371"/>
      <c r="LE29" s="371"/>
      <c r="LF29" s="371"/>
      <c r="LG29" s="371"/>
      <c r="LH29" s="371"/>
      <c r="LI29" s="371"/>
      <c r="LJ29" s="371"/>
      <c r="LK29" s="371"/>
      <c r="LL29" s="371"/>
      <c r="LM29" s="371"/>
      <c r="LN29" s="371"/>
      <c r="LO29" s="371"/>
      <c r="LP29" s="371"/>
      <c r="LQ29" s="371"/>
      <c r="LR29" s="371"/>
      <c r="LS29" s="382"/>
      <c r="LW29" s="371"/>
      <c r="LX29" s="371"/>
      <c r="LY29" s="371"/>
      <c r="LZ29" s="371"/>
      <c r="MA29" s="371"/>
      <c r="MB29" s="371"/>
      <c r="MC29" s="371"/>
      <c r="MD29" s="371"/>
      <c r="ME29" s="371"/>
      <c r="MF29" s="371"/>
      <c r="MG29" s="371"/>
      <c r="MH29" s="371"/>
      <c r="MI29" s="371"/>
      <c r="MJ29" s="371"/>
      <c r="MK29" s="371"/>
      <c r="ML29" s="371"/>
      <c r="MM29" s="371"/>
      <c r="MN29" s="371"/>
      <c r="MO29" s="371"/>
      <c r="MP29" s="371"/>
      <c r="MQ29" s="371"/>
      <c r="MR29" s="371"/>
      <c r="MS29" s="371"/>
      <c r="MT29" s="371"/>
      <c r="MU29" s="371"/>
      <c r="MV29" s="371"/>
      <c r="MW29" s="382"/>
      <c r="NA29" s="371"/>
      <c r="NB29" s="371"/>
      <c r="NC29" s="371"/>
      <c r="ND29" s="371"/>
      <c r="NE29" s="371"/>
      <c r="NF29" s="371"/>
      <c r="NG29" s="371"/>
      <c r="NH29" s="371"/>
      <c r="NI29" s="371"/>
      <c r="NJ29" s="371"/>
      <c r="NK29" s="371"/>
      <c r="NL29" s="371"/>
      <c r="NM29" s="371"/>
      <c r="NN29" s="371"/>
      <c r="NO29" s="371"/>
      <c r="NP29" s="371"/>
      <c r="NQ29" s="371"/>
      <c r="NR29" s="371"/>
      <c r="NS29" s="371"/>
      <c r="NT29" s="371"/>
      <c r="NU29" s="371"/>
      <c r="NV29" s="371"/>
      <c r="NW29" s="371"/>
      <c r="NX29" s="371"/>
      <c r="NY29" s="371"/>
      <c r="NZ29" s="371"/>
      <c r="OA29" s="382"/>
      <c r="OE29" s="371"/>
      <c r="OF29" s="371"/>
      <c r="OG29" s="371"/>
      <c r="OH29" s="371"/>
      <c r="OI29" s="371"/>
      <c r="OJ29" s="371"/>
      <c r="OK29" s="371"/>
      <c r="OL29" s="371"/>
      <c r="OM29" s="371"/>
      <c r="ON29" s="371"/>
      <c r="OO29" s="371"/>
      <c r="OP29" s="371"/>
      <c r="OQ29" s="371"/>
      <c r="OR29" s="371"/>
      <c r="OS29" s="371"/>
      <c r="OT29" s="371"/>
      <c r="OU29" s="371"/>
      <c r="OV29" s="371"/>
      <c r="OW29" s="371"/>
      <c r="OX29" s="371"/>
      <c r="OY29" s="371"/>
      <c r="OZ29" s="371"/>
      <c r="PA29" s="371"/>
      <c r="PB29" s="371"/>
      <c r="PC29" s="371"/>
      <c r="PD29" s="371"/>
      <c r="PE29" s="382"/>
      <c r="PI29" s="371"/>
      <c r="PJ29" s="371"/>
      <c r="PK29" s="371"/>
      <c r="PL29" s="371"/>
      <c r="PM29" s="371"/>
      <c r="PN29" s="371"/>
      <c r="PO29" s="371"/>
      <c r="PP29" s="371"/>
      <c r="PQ29" s="371"/>
      <c r="PR29" s="371"/>
      <c r="PS29" s="371"/>
      <c r="PT29" s="371"/>
      <c r="PU29" s="371"/>
      <c r="PV29" s="371"/>
      <c r="PW29" s="371"/>
      <c r="PX29" s="371"/>
      <c r="PY29" s="371"/>
      <c r="PZ29" s="371"/>
      <c r="QA29" s="371"/>
      <c r="QB29" s="371"/>
      <c r="QC29" s="371"/>
      <c r="QD29" s="371"/>
      <c r="QE29" s="371"/>
      <c r="QF29" s="371"/>
      <c r="QG29" s="371"/>
      <c r="QH29" s="371"/>
      <c r="QI29" s="382"/>
      <c r="QM29" s="371"/>
      <c r="QN29" s="371"/>
      <c r="QO29" s="371"/>
      <c r="QP29" s="371"/>
      <c r="QQ29" s="371"/>
      <c r="QR29" s="371"/>
      <c r="QS29" s="371"/>
      <c r="QT29" s="371"/>
      <c r="QU29" s="371"/>
      <c r="QV29" s="371"/>
      <c r="QW29" s="371"/>
      <c r="QX29" s="371"/>
      <c r="QY29" s="371"/>
      <c r="QZ29" s="371"/>
      <c r="RA29" s="371"/>
      <c r="RB29" s="371"/>
      <c r="RC29" s="371"/>
      <c r="RD29" s="371"/>
      <c r="RE29" s="371"/>
      <c r="RF29" s="371"/>
      <c r="RG29" s="371"/>
      <c r="RH29" s="371"/>
      <c r="RI29" s="371"/>
      <c r="RJ29" s="371"/>
      <c r="RK29" s="371"/>
      <c r="RL29" s="371"/>
      <c r="RM29" s="382"/>
      <c r="RQ29" s="371"/>
      <c r="RR29" s="371"/>
      <c r="RS29" s="371"/>
      <c r="RT29" s="371"/>
      <c r="RU29" s="371"/>
      <c r="RV29" s="371"/>
      <c r="RW29" s="371"/>
      <c r="RX29" s="371"/>
      <c r="RY29" s="371"/>
      <c r="RZ29" s="371"/>
      <c r="SA29" s="371"/>
      <c r="SB29" s="371"/>
      <c r="SC29" s="371"/>
      <c r="SD29" s="371"/>
      <c r="SE29" s="371"/>
      <c r="SF29" s="371"/>
      <c r="SG29" s="371"/>
      <c r="SH29" s="371"/>
      <c r="SI29" s="371"/>
      <c r="SJ29" s="371"/>
      <c r="SK29" s="371"/>
      <c r="SL29" s="371"/>
      <c r="SM29" s="371"/>
      <c r="SN29" s="371"/>
      <c r="SO29" s="371"/>
      <c r="SP29" s="371"/>
      <c r="SQ29" s="382"/>
      <c r="SU29" s="371"/>
      <c r="SV29" s="371"/>
      <c r="SW29" s="371"/>
      <c r="SX29" s="371"/>
      <c r="SY29" s="371"/>
      <c r="SZ29" s="371"/>
      <c r="TA29" s="371"/>
      <c r="TB29" s="371"/>
      <c r="TC29" s="371"/>
      <c r="TD29" s="371"/>
      <c r="TE29" s="371"/>
      <c r="TF29" s="371"/>
      <c r="TG29" s="371"/>
      <c r="TH29" s="371"/>
      <c r="TI29" s="371"/>
      <c r="TJ29" s="371"/>
      <c r="TK29" s="371"/>
      <c r="TL29" s="371"/>
      <c r="TM29" s="371"/>
      <c r="TN29" s="371"/>
      <c r="TO29" s="371"/>
      <c r="TP29" s="371"/>
      <c r="TQ29" s="371"/>
      <c r="TR29" s="371"/>
      <c r="TS29" s="371"/>
      <c r="TT29" s="371"/>
      <c r="TU29" s="382"/>
      <c r="TY29" s="371"/>
      <c r="TZ29" s="371"/>
      <c r="UA29" s="371"/>
      <c r="UB29" s="371"/>
      <c r="UC29" s="371"/>
      <c r="UD29" s="371"/>
      <c r="UE29" s="371"/>
      <c r="UF29" s="371"/>
      <c r="UG29" s="371"/>
      <c r="UH29" s="371"/>
      <c r="UI29" s="371"/>
      <c r="UJ29" s="371"/>
      <c r="UK29" s="371"/>
      <c r="UL29" s="371"/>
      <c r="UM29" s="371"/>
      <c r="UN29" s="371"/>
      <c r="UO29" s="371"/>
      <c r="UP29" s="371"/>
      <c r="UQ29" s="371"/>
      <c r="UR29" s="371"/>
      <c r="US29" s="371"/>
      <c r="UT29" s="371"/>
      <c r="UU29" s="371"/>
      <c r="UV29" s="371"/>
      <c r="UW29" s="371"/>
      <c r="UX29" s="371"/>
      <c r="UY29" s="382"/>
      <c r="VC29" s="371"/>
      <c r="VD29" s="371"/>
      <c r="VE29" s="371"/>
      <c r="VF29" s="371"/>
      <c r="VG29" s="371"/>
      <c r="VH29" s="371"/>
      <c r="VI29" s="371"/>
      <c r="VJ29" s="371"/>
      <c r="VK29" s="371"/>
      <c r="VL29" s="371"/>
      <c r="VM29" s="371"/>
      <c r="VN29" s="371"/>
      <c r="VO29" s="371"/>
      <c r="VP29" s="371"/>
      <c r="VQ29" s="371"/>
      <c r="VR29" s="371"/>
      <c r="VS29" s="371"/>
      <c r="VT29" s="371"/>
      <c r="VU29" s="371"/>
      <c r="VV29" s="371"/>
      <c r="VW29" s="371"/>
      <c r="VX29" s="371"/>
      <c r="VY29" s="371"/>
      <c r="VZ29" s="371"/>
      <c r="WA29" s="371"/>
      <c r="WB29" s="371"/>
      <c r="WC29" s="382"/>
      <c r="WG29" s="371"/>
      <c r="WH29" s="371"/>
      <c r="WI29" s="371"/>
      <c r="WJ29" s="371"/>
      <c r="WK29" s="371"/>
      <c r="WL29" s="371"/>
      <c r="WM29" s="371"/>
      <c r="WN29" s="371"/>
      <c r="WO29" s="371"/>
      <c r="WP29" s="371"/>
      <c r="WQ29" s="371"/>
      <c r="WR29" s="371"/>
      <c r="WS29" s="371"/>
      <c r="WT29" s="371"/>
      <c r="WU29" s="371"/>
      <c r="WV29" s="371"/>
      <c r="WW29" s="371"/>
      <c r="WX29" s="371"/>
      <c r="WY29" s="371"/>
      <c r="WZ29" s="371"/>
      <c r="XA29" s="371"/>
      <c r="XB29" s="371"/>
      <c r="XC29" s="371"/>
      <c r="XD29" s="371"/>
      <c r="XE29" s="371"/>
      <c r="XF29" s="371"/>
      <c r="XG29" s="382"/>
      <c r="XK29" s="371"/>
      <c r="XL29" s="371"/>
      <c r="XM29" s="371"/>
      <c r="XN29" s="371"/>
      <c r="XO29" s="371"/>
      <c r="XP29" s="371"/>
      <c r="XQ29" s="371"/>
      <c r="XR29" s="371"/>
      <c r="XS29" s="371"/>
      <c r="XT29" s="371"/>
      <c r="XU29" s="371"/>
      <c r="XV29" s="371"/>
      <c r="XW29" s="371"/>
      <c r="XX29" s="371"/>
      <c r="XY29" s="371"/>
      <c r="XZ29" s="371"/>
      <c r="YA29" s="371"/>
      <c r="YB29" s="371"/>
      <c r="YC29" s="371"/>
      <c r="YD29" s="371"/>
      <c r="YE29" s="371"/>
      <c r="YF29" s="371"/>
      <c r="YG29" s="371"/>
      <c r="YH29" s="371"/>
      <c r="YI29" s="371"/>
      <c r="YJ29" s="371"/>
      <c r="YK29" s="382"/>
      <c r="YO29" s="371"/>
      <c r="YP29" s="371"/>
      <c r="YQ29" s="371"/>
      <c r="YR29" s="371"/>
      <c r="YS29" s="371"/>
      <c r="YT29" s="371"/>
      <c r="YU29" s="371"/>
      <c r="YV29" s="371"/>
      <c r="YW29" s="371"/>
      <c r="YX29" s="371"/>
      <c r="YY29" s="371"/>
      <c r="YZ29" s="371"/>
      <c r="ZA29" s="371"/>
      <c r="ZB29" s="371"/>
      <c r="ZC29" s="371"/>
      <c r="ZD29" s="371"/>
      <c r="ZE29" s="371"/>
      <c r="ZF29" s="371"/>
      <c r="ZG29" s="371"/>
      <c r="ZH29" s="371"/>
      <c r="ZI29" s="371"/>
      <c r="ZJ29" s="371"/>
      <c r="ZK29" s="371"/>
      <c r="ZL29" s="371"/>
      <c r="ZM29" s="371"/>
      <c r="ZN29" s="371"/>
      <c r="ZO29" s="382"/>
      <c r="ZS29" s="371"/>
      <c r="ZT29" s="371"/>
      <c r="ZU29" s="371"/>
      <c r="ZV29" s="371"/>
      <c r="ZW29" s="371"/>
      <c r="ZX29" s="371"/>
      <c r="ZY29" s="371"/>
      <c r="ZZ29" s="371"/>
      <c r="AAA29" s="371"/>
      <c r="AAB29" s="371"/>
      <c r="AAC29" s="371"/>
      <c r="AAD29" s="371"/>
      <c r="AAE29" s="371"/>
      <c r="AAF29" s="371"/>
      <c r="AAG29" s="371"/>
      <c r="AAH29" s="371"/>
      <c r="AAI29" s="371"/>
      <c r="AAJ29" s="371"/>
      <c r="AAK29" s="371"/>
      <c r="AAL29" s="371"/>
      <c r="AAM29" s="371"/>
      <c r="AAN29" s="371"/>
      <c r="AAO29" s="371"/>
      <c r="AAP29" s="371"/>
      <c r="AAQ29" s="371"/>
      <c r="AAR29" s="371"/>
      <c r="AAS29" s="382"/>
      <c r="AAW29" s="371"/>
      <c r="AAX29" s="371"/>
      <c r="AAY29" s="371"/>
      <c r="AAZ29" s="371"/>
      <c r="ABA29" s="371"/>
      <c r="ABB29" s="371"/>
      <c r="ABC29" s="371"/>
      <c r="ABD29" s="371"/>
      <c r="ABE29" s="371"/>
      <c r="ABF29" s="371"/>
      <c r="ABG29" s="371"/>
      <c r="ABH29" s="371"/>
      <c r="ABI29" s="371"/>
      <c r="ABJ29" s="371"/>
      <c r="ABK29" s="371"/>
      <c r="ABL29" s="371"/>
      <c r="ABM29" s="371"/>
      <c r="ABN29" s="371"/>
      <c r="ABO29" s="371"/>
      <c r="ABP29" s="371"/>
      <c r="ABQ29" s="371"/>
      <c r="ABR29" s="371"/>
      <c r="ABS29" s="371"/>
      <c r="ABT29" s="371"/>
      <c r="ABU29" s="371"/>
      <c r="ABV29" s="371"/>
      <c r="ABW29" s="382"/>
      <c r="ACA29" s="371"/>
      <c r="ACB29" s="371"/>
      <c r="ACC29" s="371"/>
      <c r="ACD29" s="371"/>
      <c r="ACE29" s="371"/>
      <c r="ACF29" s="371"/>
      <c r="ACG29" s="371"/>
      <c r="ACH29" s="371"/>
      <c r="ACI29" s="371"/>
      <c r="ACJ29" s="371"/>
      <c r="ACK29" s="371"/>
      <c r="ACL29" s="371"/>
      <c r="ACM29" s="371"/>
      <c r="ACN29" s="371"/>
      <c r="ACO29" s="371"/>
      <c r="ACP29" s="371"/>
      <c r="ACQ29" s="371"/>
      <c r="ACR29" s="371"/>
      <c r="ACS29" s="371"/>
      <c r="ACT29" s="371"/>
      <c r="ACU29" s="371"/>
      <c r="ACV29" s="371"/>
      <c r="ACW29" s="371"/>
      <c r="ACX29" s="371"/>
      <c r="ACY29" s="371"/>
      <c r="ACZ29" s="371"/>
      <c r="ADA29" s="382"/>
      <c r="ADE29" s="371"/>
      <c r="ADF29" s="371"/>
      <c r="ADG29" s="371"/>
      <c r="ADH29" s="371"/>
      <c r="ADI29" s="371"/>
      <c r="ADJ29" s="371"/>
      <c r="ADK29" s="371"/>
      <c r="ADL29" s="371"/>
      <c r="ADM29" s="371"/>
      <c r="ADN29" s="371"/>
      <c r="ADO29" s="371"/>
      <c r="ADP29" s="371"/>
      <c r="ADQ29" s="371"/>
      <c r="ADR29" s="371"/>
      <c r="ADS29" s="371"/>
      <c r="ADT29" s="371"/>
      <c r="ADU29" s="371"/>
      <c r="ADV29" s="371"/>
      <c r="ADW29" s="371"/>
      <c r="ADX29" s="371"/>
      <c r="ADY29" s="371"/>
      <c r="ADZ29" s="371"/>
      <c r="AEA29" s="371"/>
      <c r="AEB29" s="371"/>
      <c r="AEC29" s="371"/>
      <c r="AED29" s="371"/>
      <c r="AEE29" s="382"/>
      <c r="AEI29" s="371"/>
      <c r="AEJ29" s="371"/>
      <c r="AEK29" s="371"/>
      <c r="AEL29" s="371"/>
      <c r="AEM29" s="371"/>
      <c r="AEN29" s="371"/>
      <c r="AEO29" s="371"/>
      <c r="AEP29" s="371"/>
      <c r="AEQ29" s="371"/>
      <c r="AER29" s="371"/>
      <c r="AES29" s="371"/>
      <c r="AET29" s="371"/>
      <c r="AEU29" s="371"/>
      <c r="AEV29" s="371"/>
      <c r="AEW29" s="371"/>
      <c r="AEX29" s="371"/>
      <c r="AEY29" s="371"/>
      <c r="AEZ29" s="371"/>
      <c r="AFA29" s="371"/>
      <c r="AFB29" s="371"/>
      <c r="AFC29" s="371"/>
      <c r="AFD29" s="371"/>
      <c r="AFE29" s="371"/>
      <c r="AFF29" s="371"/>
      <c r="AFG29" s="371"/>
      <c r="AFH29" s="371"/>
      <c r="AFI29" s="382"/>
      <c r="AFM29" s="371"/>
      <c r="AFN29" s="371"/>
      <c r="AFO29" s="371"/>
      <c r="AFP29" s="371"/>
      <c r="AFQ29" s="371"/>
      <c r="AFR29" s="371"/>
      <c r="AFS29" s="371"/>
      <c r="AFT29" s="371"/>
      <c r="AFU29" s="371"/>
      <c r="AFV29" s="371"/>
      <c r="AFW29" s="371"/>
      <c r="AFX29" s="371"/>
      <c r="AFY29" s="371"/>
      <c r="AFZ29" s="371"/>
      <c r="AGA29" s="371"/>
      <c r="AGB29" s="371"/>
      <c r="AGC29" s="371"/>
      <c r="AGD29" s="371"/>
      <c r="AGE29" s="371"/>
      <c r="AGF29" s="371"/>
      <c r="AGG29" s="371"/>
      <c r="AGH29" s="371"/>
      <c r="AGI29" s="371"/>
      <c r="AGJ29" s="371"/>
      <c r="AGK29" s="371"/>
      <c r="AGL29" s="371"/>
      <c r="AGM29" s="382"/>
      <c r="AGQ29" s="371"/>
      <c r="AGR29" s="371"/>
      <c r="AGS29" s="371"/>
      <c r="AGT29" s="371"/>
      <c r="AGU29" s="371"/>
      <c r="AGV29" s="371"/>
      <c r="AGW29" s="371"/>
      <c r="AGX29" s="371"/>
      <c r="AGY29" s="371"/>
      <c r="AGZ29" s="371"/>
      <c r="AHA29" s="371"/>
      <c r="AHB29" s="371"/>
      <c r="AHC29" s="371"/>
      <c r="AHD29" s="371"/>
      <c r="AHE29" s="371"/>
      <c r="AHF29" s="371"/>
      <c r="AHG29" s="371"/>
      <c r="AHH29" s="371"/>
      <c r="AHI29" s="371"/>
      <c r="AHJ29" s="371"/>
      <c r="AHK29" s="371"/>
      <c r="AHL29" s="371"/>
      <c r="AHM29" s="371"/>
      <c r="AHN29" s="371"/>
      <c r="AHO29" s="371"/>
      <c r="AHP29" s="371"/>
      <c r="AHQ29" s="382"/>
      <c r="AHU29" s="371"/>
      <c r="AHV29" s="371"/>
      <c r="AHW29" s="371"/>
      <c r="AHX29" s="371"/>
      <c r="AHY29" s="371"/>
      <c r="AHZ29" s="371"/>
      <c r="AIA29" s="371"/>
      <c r="AIB29" s="371"/>
      <c r="AIC29" s="371"/>
      <c r="AID29" s="371"/>
      <c r="AIE29" s="371"/>
      <c r="AIF29" s="371"/>
      <c r="AIG29" s="371"/>
      <c r="AIH29" s="371"/>
      <c r="AII29" s="371"/>
      <c r="AIJ29" s="371"/>
      <c r="AIK29" s="371"/>
      <c r="AIL29" s="371"/>
      <c r="AIM29" s="371"/>
      <c r="AIN29" s="371"/>
      <c r="AIO29" s="371"/>
      <c r="AIP29" s="371"/>
      <c r="AIQ29" s="371"/>
      <c r="AIR29" s="371"/>
      <c r="AIS29" s="371"/>
      <c r="AIT29" s="371"/>
      <c r="AIU29" s="382"/>
      <c r="AIY29" s="371"/>
      <c r="AIZ29" s="371"/>
      <c r="AJA29" s="371"/>
      <c r="AJB29" s="371"/>
      <c r="AJC29" s="371"/>
      <c r="AJD29" s="371"/>
      <c r="AJE29" s="371"/>
      <c r="AJF29" s="371"/>
      <c r="AJG29" s="371"/>
      <c r="AJH29" s="371"/>
      <c r="AJI29" s="371"/>
      <c r="AJJ29" s="371"/>
      <c r="AJK29" s="371"/>
      <c r="AJL29" s="371"/>
      <c r="AJM29" s="371"/>
      <c r="AJN29" s="371"/>
      <c r="AJO29" s="371"/>
      <c r="AJP29" s="371"/>
      <c r="AJQ29" s="371"/>
      <c r="AJR29" s="371"/>
      <c r="AJS29" s="371"/>
      <c r="AJT29" s="371"/>
      <c r="AJU29" s="371"/>
      <c r="AJV29" s="371"/>
      <c r="AJW29" s="371"/>
      <c r="AJX29" s="371"/>
      <c r="AJY29" s="382"/>
      <c r="AKC29" s="371"/>
      <c r="AKD29" s="371"/>
      <c r="AKE29" s="371"/>
      <c r="AKF29" s="371"/>
      <c r="AKG29" s="371"/>
      <c r="AKH29" s="371"/>
      <c r="AKI29" s="371"/>
      <c r="AKJ29" s="371"/>
      <c r="AKK29" s="371"/>
      <c r="AKL29" s="371"/>
      <c r="AKM29" s="371"/>
      <c r="AKN29" s="371"/>
      <c r="AKO29" s="371"/>
      <c r="AKP29" s="371"/>
      <c r="AKQ29" s="371"/>
      <c r="AKR29" s="371"/>
      <c r="AKS29" s="371"/>
      <c r="AKT29" s="371"/>
      <c r="AKU29" s="371"/>
      <c r="AKV29" s="371"/>
      <c r="AKW29" s="371"/>
      <c r="AKX29" s="371"/>
      <c r="AKY29" s="371"/>
      <c r="AKZ29" s="371"/>
      <c r="ALA29" s="371"/>
      <c r="ALB29" s="371"/>
      <c r="ALC29" s="382"/>
      <c r="ALG29" s="371"/>
      <c r="ALH29" s="371"/>
      <c r="ALI29" s="371"/>
      <c r="ALJ29" s="371"/>
      <c r="ALK29" s="371"/>
      <c r="ALL29" s="371"/>
      <c r="ALM29" s="371"/>
      <c r="ALN29" s="371"/>
      <c r="ALO29" s="371"/>
      <c r="ALP29" s="371"/>
      <c r="ALQ29" s="371"/>
      <c r="ALR29" s="371"/>
      <c r="ALS29" s="371"/>
      <c r="ALT29" s="371"/>
      <c r="ALU29" s="371"/>
      <c r="ALV29" s="371"/>
      <c r="ALW29" s="371"/>
      <c r="ALX29" s="371"/>
      <c r="ALY29" s="371"/>
      <c r="ALZ29" s="371"/>
      <c r="AMA29" s="371"/>
      <c r="AMB29" s="371"/>
      <c r="AMC29" s="371"/>
      <c r="AMD29" s="371"/>
      <c r="AME29" s="371"/>
      <c r="AMF29" s="371"/>
      <c r="AMG29" s="382"/>
      <c r="AMK29" s="371"/>
      <c r="AML29" s="371"/>
      <c r="AMM29" s="371"/>
      <c r="AMN29" s="371"/>
      <c r="AMO29" s="371"/>
      <c r="AMP29" s="371"/>
      <c r="AMQ29" s="371"/>
      <c r="AMR29" s="371"/>
      <c r="AMS29" s="371"/>
      <c r="AMT29" s="371"/>
      <c r="AMU29" s="371"/>
      <c r="AMV29" s="371"/>
      <c r="AMW29" s="371"/>
      <c r="AMX29" s="371"/>
      <c r="AMY29" s="371"/>
      <c r="AMZ29" s="371"/>
      <c r="ANA29" s="371"/>
      <c r="ANB29" s="371"/>
      <c r="ANC29" s="371"/>
      <c r="AND29" s="371"/>
      <c r="ANE29" s="371"/>
      <c r="ANF29" s="371"/>
      <c r="ANG29" s="371"/>
      <c r="ANH29" s="371"/>
      <c r="ANI29" s="371"/>
      <c r="ANJ29" s="371"/>
      <c r="ANK29" s="382"/>
      <c r="ANO29" s="371"/>
      <c r="ANP29" s="371"/>
      <c r="ANQ29" s="371"/>
      <c r="ANR29" s="371"/>
      <c r="ANS29" s="371"/>
      <c r="ANT29" s="371"/>
      <c r="ANU29" s="371"/>
      <c r="ANV29" s="371"/>
      <c r="ANW29" s="371"/>
      <c r="ANX29" s="371"/>
      <c r="ANY29" s="371"/>
      <c r="ANZ29" s="371"/>
      <c r="AOA29" s="371"/>
      <c r="AOB29" s="371"/>
      <c r="AOC29" s="371"/>
      <c r="AOD29" s="371"/>
      <c r="AOE29" s="371"/>
      <c r="AOF29" s="371"/>
      <c r="AOG29" s="371"/>
      <c r="AOH29" s="371"/>
      <c r="AOI29" s="371"/>
      <c r="AOJ29" s="371"/>
      <c r="AOK29" s="371"/>
      <c r="AOL29" s="371"/>
      <c r="AOM29" s="371"/>
      <c r="AON29" s="371"/>
      <c r="AOO29" s="382"/>
      <c r="AOS29" s="371"/>
      <c r="AOT29" s="371"/>
      <c r="AOU29" s="371"/>
      <c r="AOV29" s="371"/>
      <c r="AOW29" s="371"/>
      <c r="AOX29" s="371"/>
      <c r="AOY29" s="371"/>
      <c r="AOZ29" s="371"/>
      <c r="APA29" s="371"/>
      <c r="APB29" s="371"/>
      <c r="APC29" s="371"/>
      <c r="APD29" s="371"/>
      <c r="APE29" s="371"/>
      <c r="APF29" s="371"/>
      <c r="APG29" s="371"/>
      <c r="APH29" s="371"/>
      <c r="API29" s="371"/>
      <c r="APJ29" s="371"/>
      <c r="APK29" s="371"/>
      <c r="APL29" s="371"/>
      <c r="APM29" s="371"/>
      <c r="APN29" s="371"/>
      <c r="APO29" s="371"/>
      <c r="APP29" s="371"/>
      <c r="APQ29" s="371"/>
      <c r="APR29" s="371"/>
      <c r="APS29" s="382"/>
      <c r="APW29" s="371"/>
      <c r="APX29" s="371"/>
      <c r="APY29" s="371"/>
      <c r="APZ29" s="371"/>
      <c r="AQA29" s="371"/>
      <c r="AQB29" s="371"/>
      <c r="AQC29" s="371"/>
      <c r="AQD29" s="371"/>
      <c r="AQE29" s="371"/>
      <c r="AQF29" s="371"/>
      <c r="AQG29" s="371"/>
      <c r="AQH29" s="371"/>
      <c r="AQI29" s="371"/>
      <c r="AQJ29" s="371"/>
      <c r="AQK29" s="371"/>
      <c r="AQL29" s="371"/>
      <c r="AQM29" s="371"/>
      <c r="AQN29" s="371"/>
      <c r="AQO29" s="371"/>
      <c r="AQP29" s="371"/>
      <c r="AQQ29" s="371"/>
      <c r="AQR29" s="371"/>
      <c r="AQS29" s="371"/>
      <c r="AQT29" s="371"/>
      <c r="AQU29" s="371"/>
      <c r="AQV29" s="371"/>
      <c r="AQW29" s="382"/>
      <c r="ARA29" s="371"/>
      <c r="ARB29" s="371"/>
      <c r="ARC29" s="371"/>
      <c r="ARD29" s="371"/>
      <c r="ARE29" s="371"/>
      <c r="ARF29" s="371"/>
      <c r="ARG29" s="371"/>
      <c r="ARH29" s="371"/>
      <c r="ARI29" s="371"/>
      <c r="ARJ29" s="371"/>
      <c r="ARK29" s="371"/>
      <c r="ARL29" s="371"/>
      <c r="ARM29" s="371"/>
      <c r="ARN29" s="371"/>
      <c r="ARO29" s="371"/>
      <c r="ARP29" s="371"/>
      <c r="ARQ29" s="371"/>
      <c r="ARR29" s="371"/>
      <c r="ARS29" s="371"/>
      <c r="ART29" s="371"/>
      <c r="ARU29" s="371"/>
      <c r="ARV29" s="371"/>
      <c r="ARW29" s="371"/>
      <c r="ARX29" s="371"/>
      <c r="ARY29" s="371"/>
      <c r="ARZ29" s="371"/>
      <c r="ASA29" s="382"/>
      <c r="ASE29" s="371"/>
      <c r="ASF29" s="371"/>
      <c r="ASG29" s="371"/>
      <c r="ASH29" s="371"/>
      <c r="ASI29" s="371"/>
      <c r="ASJ29" s="371"/>
      <c r="ASK29" s="371"/>
      <c r="ASL29" s="371"/>
      <c r="ASM29" s="371"/>
      <c r="ASN29" s="371"/>
      <c r="ASO29" s="371"/>
      <c r="ASP29" s="371"/>
      <c r="ASQ29" s="371"/>
      <c r="ASR29" s="371"/>
      <c r="ASS29" s="371"/>
      <c r="AST29" s="371"/>
      <c r="ASU29" s="371"/>
      <c r="ASV29" s="371"/>
      <c r="ASW29" s="371"/>
      <c r="ASX29" s="371"/>
      <c r="ASY29" s="371"/>
      <c r="ASZ29" s="371"/>
      <c r="ATA29" s="371"/>
      <c r="ATB29" s="371"/>
      <c r="ATC29" s="371"/>
      <c r="ATD29" s="371"/>
      <c r="ATE29" s="382"/>
      <c r="ATI29" s="371"/>
      <c r="ATJ29" s="371"/>
      <c r="ATK29" s="371"/>
      <c r="ATL29" s="371"/>
      <c r="ATM29" s="371"/>
      <c r="ATN29" s="371"/>
      <c r="ATO29" s="371"/>
      <c r="ATP29" s="371"/>
      <c r="ATQ29" s="371"/>
      <c r="ATR29" s="371"/>
      <c r="ATS29" s="371"/>
      <c r="ATT29" s="371"/>
      <c r="ATU29" s="371"/>
      <c r="ATV29" s="371"/>
      <c r="ATW29" s="371"/>
      <c r="ATX29" s="371"/>
      <c r="ATY29" s="371"/>
      <c r="ATZ29" s="371"/>
      <c r="AUA29" s="371"/>
      <c r="AUB29" s="371"/>
      <c r="AUC29" s="371"/>
      <c r="AUD29" s="371"/>
      <c r="AUE29" s="371"/>
      <c r="AUF29" s="371"/>
      <c r="AUG29" s="371"/>
      <c r="AUH29" s="371"/>
      <c r="AUI29" s="382"/>
      <c r="AUM29" s="371"/>
      <c r="AUN29" s="371"/>
      <c r="AUO29" s="371"/>
      <c r="AUP29" s="371"/>
      <c r="AUQ29" s="371"/>
      <c r="AUR29" s="371"/>
      <c r="AUS29" s="371"/>
      <c r="AUT29" s="371"/>
      <c r="AUU29" s="371"/>
      <c r="AUV29" s="371"/>
      <c r="AUW29" s="371"/>
      <c r="AUX29" s="371"/>
      <c r="AUY29" s="371"/>
      <c r="AUZ29" s="371"/>
      <c r="AVA29" s="371"/>
      <c r="AVB29" s="371"/>
      <c r="AVC29" s="371"/>
      <c r="AVD29" s="371"/>
      <c r="AVE29" s="371"/>
      <c r="AVF29" s="371"/>
      <c r="AVG29" s="371"/>
      <c r="AVH29" s="371"/>
      <c r="AVI29" s="371"/>
      <c r="AVJ29" s="371"/>
      <c r="AVK29" s="371"/>
      <c r="AVL29" s="371"/>
      <c r="AVM29" s="382"/>
      <c r="AVQ29" s="371"/>
      <c r="AVR29" s="371"/>
      <c r="AVS29" s="371"/>
      <c r="AVT29" s="371"/>
      <c r="AVU29" s="371"/>
      <c r="AVV29" s="371"/>
      <c r="AVW29" s="371"/>
      <c r="AVX29" s="371"/>
      <c r="AVY29" s="371"/>
      <c r="AVZ29" s="371"/>
      <c r="AWA29" s="371"/>
      <c r="AWB29" s="371"/>
      <c r="AWC29" s="371"/>
      <c r="AWD29" s="371"/>
      <c r="AWE29" s="371"/>
      <c r="AWF29" s="371"/>
      <c r="AWG29" s="371"/>
      <c r="AWH29" s="371"/>
      <c r="AWI29" s="371"/>
      <c r="AWJ29" s="371"/>
      <c r="AWK29" s="371"/>
      <c r="AWL29" s="371"/>
      <c r="AWM29" s="371"/>
      <c r="AWN29" s="371"/>
      <c r="AWO29" s="371"/>
      <c r="AWP29" s="371"/>
      <c r="AWQ29" s="382"/>
      <c r="AWU29" s="371"/>
      <c r="AWV29" s="371"/>
      <c r="AWW29" s="371"/>
      <c r="AWX29" s="371"/>
      <c r="AWY29" s="371"/>
      <c r="AWZ29" s="371"/>
      <c r="AXA29" s="371"/>
      <c r="AXB29" s="371"/>
      <c r="AXC29" s="371"/>
      <c r="AXD29" s="371"/>
      <c r="AXE29" s="371"/>
      <c r="AXF29" s="371"/>
      <c r="AXG29" s="371"/>
      <c r="AXH29" s="371"/>
      <c r="AXI29" s="371"/>
      <c r="AXJ29" s="371"/>
      <c r="AXK29" s="371"/>
      <c r="AXL29" s="371"/>
      <c r="AXM29" s="371"/>
      <c r="AXN29" s="371"/>
      <c r="AXO29" s="371"/>
      <c r="AXP29" s="371"/>
      <c r="AXQ29" s="371"/>
      <c r="AXR29" s="371"/>
      <c r="AXS29" s="371"/>
      <c r="AXT29" s="371"/>
      <c r="AXU29" s="382"/>
      <c r="AXY29" s="371"/>
      <c r="AXZ29" s="371"/>
      <c r="AYA29" s="371"/>
      <c r="AYB29" s="371"/>
      <c r="AYC29" s="371"/>
      <c r="AYD29" s="371"/>
      <c r="AYE29" s="371"/>
      <c r="AYF29" s="371"/>
      <c r="AYG29" s="371"/>
      <c r="AYH29" s="371"/>
      <c r="AYI29" s="371"/>
      <c r="AYJ29" s="371"/>
      <c r="AYK29" s="371"/>
      <c r="AYL29" s="371"/>
      <c r="AYM29" s="371"/>
      <c r="AYN29" s="371"/>
      <c r="AYO29" s="371"/>
      <c r="AYP29" s="371"/>
      <c r="AYQ29" s="371"/>
      <c r="AYR29" s="371"/>
      <c r="AYS29" s="371"/>
      <c r="AYT29" s="371"/>
      <c r="AYU29" s="371"/>
      <c r="AYV29" s="371"/>
      <c r="AYW29" s="371"/>
      <c r="AYX29" s="371"/>
      <c r="AYY29" s="382"/>
      <c r="AZC29" s="371"/>
      <c r="AZD29" s="371"/>
      <c r="AZE29" s="371"/>
      <c r="AZF29" s="371"/>
      <c r="AZG29" s="371"/>
      <c r="AZH29" s="371"/>
      <c r="AZI29" s="371"/>
      <c r="AZJ29" s="371"/>
      <c r="AZK29" s="371"/>
      <c r="AZL29" s="371"/>
      <c r="AZM29" s="371"/>
      <c r="AZN29" s="371"/>
      <c r="AZO29" s="371"/>
      <c r="AZP29" s="371"/>
      <c r="AZQ29" s="371"/>
      <c r="AZR29" s="371"/>
      <c r="AZS29" s="371"/>
      <c r="AZT29" s="371"/>
      <c r="AZU29" s="371"/>
      <c r="AZV29" s="371"/>
      <c r="AZW29" s="371"/>
      <c r="AZX29" s="371"/>
      <c r="AZY29" s="371"/>
      <c r="AZZ29" s="371"/>
      <c r="BAA29" s="371"/>
      <c r="BAB29" s="371"/>
      <c r="BAC29" s="382"/>
      <c r="BAG29" s="371"/>
      <c r="BAH29" s="371"/>
      <c r="BAI29" s="371"/>
      <c r="BAJ29" s="371"/>
      <c r="BAK29" s="371"/>
      <c r="BAL29" s="371"/>
      <c r="BAM29" s="371"/>
      <c r="BAN29" s="371"/>
      <c r="BAO29" s="371"/>
      <c r="BAP29" s="371"/>
      <c r="BAQ29" s="371"/>
      <c r="BAR29" s="371"/>
      <c r="BAS29" s="371"/>
      <c r="BAT29" s="371"/>
      <c r="BAU29" s="371"/>
      <c r="BAV29" s="371"/>
      <c r="BAW29" s="371"/>
      <c r="BAX29" s="371"/>
      <c r="BAY29" s="371"/>
      <c r="BAZ29" s="371"/>
      <c r="BBA29" s="371"/>
      <c r="BBB29" s="371"/>
      <c r="BBC29" s="371"/>
      <c r="BBD29" s="371"/>
      <c r="BBE29" s="371"/>
      <c r="BBF29" s="371"/>
      <c r="BBG29" s="382"/>
      <c r="BBK29" s="371"/>
      <c r="BBL29" s="371"/>
      <c r="BBM29" s="371"/>
      <c r="BBN29" s="371"/>
      <c r="BBO29" s="371"/>
      <c r="BBP29" s="371"/>
      <c r="BBQ29" s="371"/>
      <c r="BBR29" s="371"/>
      <c r="BBS29" s="371"/>
      <c r="BBT29" s="371"/>
      <c r="BBU29" s="371"/>
      <c r="BBV29" s="371"/>
      <c r="BBW29" s="371"/>
      <c r="BBX29" s="371"/>
      <c r="BBY29" s="371"/>
      <c r="BBZ29" s="371"/>
      <c r="BCA29" s="371"/>
      <c r="BCB29" s="371"/>
      <c r="BCC29" s="371"/>
      <c r="BCD29" s="371"/>
      <c r="BCE29" s="371"/>
      <c r="BCF29" s="371"/>
      <c r="BCG29" s="371"/>
      <c r="BCH29" s="371"/>
      <c r="BCI29" s="371"/>
      <c r="BCJ29" s="371"/>
      <c r="BCK29" s="382"/>
      <c r="BCO29" s="371"/>
      <c r="BCP29" s="371"/>
      <c r="BCQ29" s="371"/>
      <c r="BCR29" s="371"/>
      <c r="BCS29" s="371"/>
      <c r="BCT29" s="371"/>
      <c r="BCU29" s="371"/>
      <c r="BCV29" s="371"/>
      <c r="BCW29" s="371"/>
      <c r="BCX29" s="371"/>
      <c r="BCY29" s="371"/>
      <c r="BCZ29" s="371"/>
      <c r="BDA29" s="371"/>
      <c r="BDB29" s="371"/>
      <c r="BDC29" s="371"/>
      <c r="BDD29" s="371"/>
      <c r="BDE29" s="371"/>
      <c r="BDF29" s="371"/>
      <c r="BDG29" s="371"/>
      <c r="BDH29" s="371"/>
      <c r="BDI29" s="371"/>
      <c r="BDJ29" s="371"/>
      <c r="BDK29" s="371"/>
      <c r="BDL29" s="371"/>
      <c r="BDM29" s="371"/>
      <c r="BDN29" s="371"/>
      <c r="BDO29" s="382"/>
      <c r="BDS29" s="371"/>
      <c r="BDT29" s="371"/>
      <c r="BDU29" s="371"/>
      <c r="BDV29" s="371"/>
      <c r="BDW29" s="371"/>
      <c r="BDX29" s="371"/>
      <c r="BDY29" s="371"/>
      <c r="BDZ29" s="371"/>
      <c r="BEA29" s="371"/>
      <c r="BEB29" s="371"/>
      <c r="BEC29" s="371"/>
      <c r="BED29" s="371"/>
      <c r="BEE29" s="371"/>
      <c r="BEF29" s="371"/>
      <c r="BEG29" s="371"/>
      <c r="BEH29" s="371"/>
      <c r="BEI29" s="371"/>
      <c r="BEJ29" s="371"/>
      <c r="BEK29" s="371"/>
      <c r="BEL29" s="371"/>
      <c r="BEM29" s="371"/>
      <c r="BEN29" s="371"/>
      <c r="BEO29" s="371"/>
      <c r="BEP29" s="371"/>
      <c r="BEQ29" s="371"/>
      <c r="BER29" s="371"/>
      <c r="BES29" s="382"/>
      <c r="BEW29" s="371"/>
      <c r="BEX29" s="371"/>
      <c r="BEY29" s="371"/>
      <c r="BEZ29" s="371"/>
      <c r="BFA29" s="371"/>
      <c r="BFB29" s="371"/>
      <c r="BFC29" s="371"/>
      <c r="BFD29" s="371"/>
      <c r="BFE29" s="371"/>
      <c r="BFF29" s="371"/>
      <c r="BFG29" s="371"/>
      <c r="BFH29" s="371"/>
      <c r="BFI29" s="371"/>
      <c r="BFJ29" s="371"/>
      <c r="BFK29" s="371"/>
      <c r="BFL29" s="371"/>
      <c r="BFM29" s="371"/>
      <c r="BFN29" s="371"/>
      <c r="BFO29" s="371"/>
      <c r="BFP29" s="371"/>
      <c r="BFQ29" s="371"/>
      <c r="BFR29" s="371"/>
      <c r="BFS29" s="371"/>
      <c r="BFT29" s="371"/>
      <c r="BFU29" s="371"/>
      <c r="BFV29" s="371"/>
      <c r="BFW29" s="382"/>
      <c r="BGA29" s="371"/>
      <c r="BGB29" s="371"/>
      <c r="BGC29" s="371"/>
      <c r="BGD29" s="371"/>
      <c r="BGE29" s="371"/>
      <c r="BGF29" s="371"/>
      <c r="BGG29" s="371"/>
      <c r="BGH29" s="371"/>
      <c r="BGI29" s="371"/>
      <c r="BGJ29" s="371"/>
      <c r="BGK29" s="371"/>
      <c r="BGL29" s="371"/>
      <c r="BGM29" s="371"/>
      <c r="BGN29" s="371"/>
      <c r="BGO29" s="371"/>
      <c r="BGP29" s="371"/>
      <c r="BGQ29" s="371"/>
      <c r="BGR29" s="371"/>
      <c r="BGS29" s="371"/>
      <c r="BGT29" s="371"/>
      <c r="BGU29" s="371"/>
      <c r="BGV29" s="371"/>
      <c r="BGW29" s="371"/>
      <c r="BGX29" s="371"/>
      <c r="BGY29" s="371"/>
      <c r="BGZ29" s="371"/>
      <c r="BHA29" s="382"/>
      <c r="BHE29" s="371"/>
      <c r="BHF29" s="371"/>
      <c r="BHG29" s="371"/>
      <c r="BHH29" s="371"/>
      <c r="BHI29" s="371"/>
      <c r="BHJ29" s="371"/>
      <c r="BHK29" s="371"/>
      <c r="BHL29" s="371"/>
      <c r="BHM29" s="371"/>
      <c r="BHN29" s="371"/>
      <c r="BHO29" s="371"/>
      <c r="BHP29" s="371"/>
      <c r="BHQ29" s="371"/>
      <c r="BHR29" s="371"/>
      <c r="BHS29" s="371"/>
      <c r="BHT29" s="371"/>
      <c r="BHU29" s="371"/>
      <c r="BHV29" s="371"/>
      <c r="BHW29" s="371"/>
      <c r="BHX29" s="371"/>
      <c r="BHY29" s="371"/>
      <c r="BHZ29" s="371"/>
      <c r="BIA29" s="371"/>
      <c r="BIB29" s="371"/>
      <c r="BIC29" s="371"/>
      <c r="BID29" s="371"/>
      <c r="BIE29" s="382"/>
      <c r="BII29" s="371"/>
      <c r="BIJ29" s="371"/>
      <c r="BIK29" s="371"/>
      <c r="BIL29" s="371"/>
      <c r="BIM29" s="371"/>
      <c r="BIN29" s="371"/>
      <c r="BIO29" s="371"/>
      <c r="BIP29" s="371"/>
      <c r="BIQ29" s="371"/>
      <c r="BIR29" s="371"/>
      <c r="BIS29" s="371"/>
      <c r="BIT29" s="371"/>
      <c r="BIU29" s="371"/>
      <c r="BIV29" s="371"/>
      <c r="BIW29" s="371"/>
      <c r="BIX29" s="371"/>
      <c r="BIY29" s="371"/>
      <c r="BIZ29" s="371"/>
      <c r="BJA29" s="371"/>
      <c r="BJB29" s="371"/>
      <c r="BJC29" s="371"/>
      <c r="BJD29" s="371"/>
      <c r="BJE29" s="371"/>
      <c r="BJF29" s="371"/>
      <c r="BJG29" s="371"/>
      <c r="BJH29" s="371"/>
      <c r="BJI29" s="382"/>
      <c r="BJM29" s="371"/>
      <c r="BJN29" s="371"/>
      <c r="BJO29" s="371"/>
      <c r="BJP29" s="371"/>
      <c r="BJQ29" s="371"/>
      <c r="BJR29" s="371"/>
      <c r="BJS29" s="371"/>
      <c r="BJT29" s="371"/>
      <c r="BJU29" s="371"/>
      <c r="BJV29" s="371"/>
      <c r="BJW29" s="371"/>
      <c r="BJX29" s="371"/>
      <c r="BJY29" s="371"/>
      <c r="BJZ29" s="371"/>
      <c r="BKA29" s="371"/>
      <c r="BKB29" s="371"/>
      <c r="BKC29" s="371"/>
      <c r="BKD29" s="371"/>
      <c r="BKE29" s="371"/>
      <c r="BKF29" s="371"/>
      <c r="BKG29" s="371"/>
      <c r="BKH29" s="371"/>
      <c r="BKI29" s="371"/>
      <c r="BKJ29" s="371"/>
      <c r="BKK29" s="371"/>
      <c r="BKL29" s="371"/>
      <c r="BKM29" s="382"/>
      <c r="BKQ29" s="371"/>
      <c r="BKR29" s="371"/>
      <c r="BKS29" s="371"/>
      <c r="BKT29" s="371"/>
      <c r="BKU29" s="371"/>
      <c r="BKV29" s="371"/>
      <c r="BKW29" s="371"/>
      <c r="BKX29" s="371"/>
      <c r="BKY29" s="371"/>
      <c r="BKZ29" s="371"/>
      <c r="BLA29" s="371"/>
      <c r="BLB29" s="371"/>
      <c r="BLC29" s="371"/>
      <c r="BLD29" s="371"/>
      <c r="BLE29" s="371"/>
      <c r="BLF29" s="371"/>
      <c r="BLG29" s="371"/>
      <c r="BLH29" s="371"/>
      <c r="BLI29" s="371"/>
      <c r="BLJ29" s="371"/>
      <c r="BLK29" s="371"/>
      <c r="BLL29" s="371"/>
      <c r="BLM29" s="371"/>
      <c r="BLN29" s="371"/>
      <c r="BLO29" s="371"/>
      <c r="BLP29" s="371"/>
      <c r="BLQ29" s="382"/>
      <c r="BLU29" s="371"/>
      <c r="BLV29" s="371"/>
      <c r="BLW29" s="371"/>
      <c r="BLX29" s="371"/>
      <c r="BLY29" s="371"/>
      <c r="BLZ29" s="371"/>
      <c r="BMA29" s="371"/>
      <c r="BMB29" s="371"/>
      <c r="BMC29" s="371"/>
      <c r="BMD29" s="371"/>
      <c r="BME29" s="371"/>
      <c r="BMF29" s="371"/>
      <c r="BMG29" s="371"/>
      <c r="BMH29" s="371"/>
      <c r="BMI29" s="371"/>
      <c r="BMJ29" s="371"/>
      <c r="BMK29" s="371"/>
      <c r="BML29" s="371"/>
      <c r="BMM29" s="371"/>
      <c r="BMN29" s="371"/>
      <c r="BMO29" s="371"/>
      <c r="BMP29" s="371"/>
      <c r="BMQ29" s="371"/>
      <c r="BMR29" s="371"/>
      <c r="BMS29" s="371"/>
      <c r="BMT29" s="371"/>
      <c r="BMU29" s="382"/>
      <c r="BMY29" s="371"/>
      <c r="BMZ29" s="371"/>
      <c r="BNA29" s="371"/>
      <c r="BNB29" s="371"/>
      <c r="BNC29" s="371"/>
      <c r="BND29" s="371"/>
      <c r="BNE29" s="371"/>
      <c r="BNF29" s="371"/>
      <c r="BNG29" s="371"/>
      <c r="BNH29" s="371"/>
      <c r="BNI29" s="371"/>
      <c r="BNJ29" s="371"/>
      <c r="BNK29" s="371"/>
      <c r="BNL29" s="371"/>
      <c r="BNM29" s="371"/>
      <c r="BNN29" s="371"/>
      <c r="BNO29" s="371"/>
      <c r="BNP29" s="371"/>
      <c r="BNQ29" s="371"/>
      <c r="BNR29" s="371"/>
      <c r="BNS29" s="371"/>
      <c r="BNT29" s="371"/>
      <c r="BNU29" s="371"/>
      <c r="BNV29" s="371"/>
      <c r="BNW29" s="371"/>
      <c r="BNX29" s="371"/>
      <c r="BNY29" s="382"/>
      <c r="BOC29" s="371"/>
      <c r="BOD29" s="371"/>
      <c r="BOE29" s="371"/>
      <c r="BOF29" s="371"/>
      <c r="BOG29" s="371"/>
      <c r="BOH29" s="371"/>
      <c r="BOI29" s="371"/>
      <c r="BOJ29" s="371"/>
      <c r="BOK29" s="371"/>
      <c r="BOL29" s="371"/>
      <c r="BOM29" s="371"/>
      <c r="BON29" s="371"/>
      <c r="BOO29" s="371"/>
      <c r="BOP29" s="371"/>
      <c r="BOQ29" s="371"/>
      <c r="BOR29" s="371"/>
      <c r="BOS29" s="371"/>
      <c r="BOT29" s="371"/>
      <c r="BOU29" s="371"/>
      <c r="BOV29" s="371"/>
      <c r="BOW29" s="371"/>
      <c r="BOX29" s="371"/>
      <c r="BOY29" s="371"/>
      <c r="BOZ29" s="371"/>
      <c r="BPA29" s="371"/>
      <c r="BPB29" s="371"/>
      <c r="BPC29" s="382"/>
      <c r="BPG29" s="371"/>
      <c r="BPH29" s="371"/>
      <c r="BPI29" s="371"/>
      <c r="BPJ29" s="371"/>
      <c r="BPK29" s="371"/>
      <c r="BPL29" s="371"/>
      <c r="BPM29" s="371"/>
      <c r="BPN29" s="371"/>
      <c r="BPO29" s="371"/>
      <c r="BPP29" s="371"/>
      <c r="BPQ29" s="371"/>
      <c r="BPR29" s="371"/>
      <c r="BPS29" s="371"/>
      <c r="BPT29" s="371"/>
      <c r="BPU29" s="371"/>
      <c r="BPV29" s="371"/>
      <c r="BPW29" s="371"/>
      <c r="BPX29" s="371"/>
      <c r="BPY29" s="371"/>
      <c r="BPZ29" s="371"/>
      <c r="BQA29" s="371"/>
      <c r="BQB29" s="371"/>
      <c r="BQC29" s="371"/>
      <c r="BQD29" s="371"/>
      <c r="BQE29" s="371"/>
      <c r="BQF29" s="371"/>
      <c r="BQG29" s="382"/>
      <c r="BQK29" s="371"/>
      <c r="BQL29" s="371"/>
      <c r="BQM29" s="371"/>
      <c r="BQN29" s="371"/>
      <c r="BQO29" s="371"/>
      <c r="BQP29" s="371"/>
      <c r="BQQ29" s="371"/>
      <c r="BQR29" s="371"/>
      <c r="BQS29" s="371"/>
      <c r="BQT29" s="371"/>
      <c r="BQU29" s="371"/>
      <c r="BQV29" s="371"/>
      <c r="BQW29" s="371"/>
      <c r="BQX29" s="371"/>
      <c r="BQY29" s="371"/>
      <c r="BQZ29" s="371"/>
      <c r="BRA29" s="371"/>
      <c r="BRB29" s="371"/>
      <c r="BRC29" s="371"/>
      <c r="BRD29" s="371"/>
      <c r="BRE29" s="371"/>
      <c r="BRF29" s="371"/>
      <c r="BRG29" s="371"/>
      <c r="BRH29" s="371"/>
      <c r="BRI29" s="371"/>
      <c r="BRJ29" s="371"/>
      <c r="BRK29" s="382"/>
      <c r="BRO29" s="371"/>
      <c r="BRP29" s="371"/>
      <c r="BRQ29" s="371"/>
      <c r="BRR29" s="371"/>
      <c r="BRS29" s="371"/>
      <c r="BRT29" s="371"/>
      <c r="BRU29" s="371"/>
      <c r="BRV29" s="371"/>
      <c r="BRW29" s="371"/>
      <c r="BRX29" s="371"/>
      <c r="BRY29" s="371"/>
      <c r="BRZ29" s="371"/>
      <c r="BSA29" s="371"/>
      <c r="BSB29" s="371"/>
      <c r="BSC29" s="371"/>
      <c r="BSD29" s="371"/>
      <c r="BSE29" s="371"/>
      <c r="BSF29" s="371"/>
      <c r="BSG29" s="371"/>
      <c r="BSH29" s="371"/>
      <c r="BSI29" s="371"/>
      <c r="BSJ29" s="371"/>
      <c r="BSK29" s="371"/>
      <c r="BSL29" s="371"/>
      <c r="BSM29" s="371"/>
      <c r="BSN29" s="371"/>
      <c r="BSO29" s="382"/>
      <c r="BSS29" s="371"/>
      <c r="BST29" s="371"/>
      <c r="BSU29" s="371"/>
      <c r="BSV29" s="371"/>
      <c r="BSW29" s="371"/>
      <c r="BSX29" s="371"/>
      <c r="BSY29" s="371"/>
      <c r="BSZ29" s="371"/>
      <c r="BTA29" s="371"/>
      <c r="BTB29" s="371"/>
      <c r="BTC29" s="371"/>
      <c r="BTD29" s="371"/>
      <c r="BTE29" s="371"/>
      <c r="BTF29" s="371"/>
      <c r="BTG29" s="371"/>
      <c r="BTH29" s="371"/>
      <c r="BTI29" s="371"/>
      <c r="BTJ29" s="371"/>
      <c r="BTK29" s="371"/>
      <c r="BTL29" s="371"/>
      <c r="BTM29" s="371"/>
      <c r="BTN29" s="371"/>
      <c r="BTO29" s="371"/>
      <c r="BTP29" s="371"/>
      <c r="BTQ29" s="371"/>
      <c r="BTR29" s="371"/>
      <c r="BTS29" s="382"/>
      <c r="BTW29" s="371"/>
      <c r="BTX29" s="371"/>
      <c r="BTY29" s="371"/>
      <c r="BTZ29" s="371"/>
      <c r="BUA29" s="371"/>
      <c r="BUB29" s="371"/>
      <c r="BUC29" s="371"/>
      <c r="BUD29" s="371"/>
      <c r="BUE29" s="371"/>
      <c r="BUF29" s="371"/>
      <c r="BUG29" s="371"/>
      <c r="BUH29" s="371"/>
      <c r="BUI29" s="371"/>
      <c r="BUJ29" s="371"/>
      <c r="BUK29" s="371"/>
      <c r="BUL29" s="371"/>
      <c r="BUM29" s="371"/>
      <c r="BUN29" s="371"/>
      <c r="BUO29" s="371"/>
      <c r="BUP29" s="371"/>
      <c r="BUQ29" s="371"/>
      <c r="BUR29" s="371"/>
      <c r="BUS29" s="371"/>
      <c r="BUT29" s="371"/>
      <c r="BUU29" s="371"/>
      <c r="BUV29" s="371"/>
      <c r="BUW29" s="382"/>
      <c r="BVA29" s="371"/>
      <c r="BVB29" s="371"/>
      <c r="BVC29" s="371"/>
      <c r="BVD29" s="371"/>
      <c r="BVE29" s="371"/>
      <c r="BVF29" s="371"/>
      <c r="BVG29" s="371"/>
      <c r="BVH29" s="371"/>
      <c r="BVI29" s="371"/>
      <c r="BVJ29" s="371"/>
      <c r="BVK29" s="371"/>
      <c r="BVL29" s="371"/>
      <c r="BVM29" s="371"/>
      <c r="BVN29" s="371"/>
      <c r="BVO29" s="371"/>
      <c r="BVP29" s="371"/>
      <c r="BVQ29" s="371"/>
      <c r="BVR29" s="371"/>
      <c r="BVS29" s="371"/>
      <c r="BVT29" s="371"/>
      <c r="BVU29" s="371"/>
      <c r="BVV29" s="371"/>
      <c r="BVW29" s="371"/>
      <c r="BVX29" s="371"/>
      <c r="BVY29" s="371"/>
      <c r="BVZ29" s="371"/>
      <c r="BWA29" s="382"/>
      <c r="BWE29" s="371"/>
      <c r="BWF29" s="371"/>
      <c r="BWG29" s="371"/>
      <c r="BWH29" s="371"/>
      <c r="BWI29" s="371"/>
      <c r="BWJ29" s="371"/>
      <c r="BWK29" s="371"/>
      <c r="BWL29" s="371"/>
      <c r="BWM29" s="371"/>
      <c r="BWN29" s="371"/>
      <c r="BWO29" s="371"/>
      <c r="BWP29" s="371"/>
      <c r="BWQ29" s="371"/>
      <c r="BWR29" s="371"/>
      <c r="BWS29" s="371"/>
      <c r="BWT29" s="371"/>
      <c r="BWU29" s="371"/>
      <c r="BWV29" s="371"/>
      <c r="BWW29" s="371"/>
      <c r="BWX29" s="371"/>
      <c r="BWY29" s="371"/>
      <c r="BWZ29" s="371"/>
      <c r="BXA29" s="371"/>
      <c r="BXB29" s="371"/>
      <c r="BXC29" s="371"/>
      <c r="BXD29" s="371"/>
      <c r="BXE29" s="382"/>
      <c r="BXI29" s="371"/>
      <c r="BXJ29" s="371"/>
      <c r="BXK29" s="371"/>
      <c r="BXL29" s="371"/>
      <c r="BXM29" s="371"/>
      <c r="BXN29" s="371"/>
      <c r="BXO29" s="371"/>
      <c r="BXP29" s="371"/>
      <c r="BXQ29" s="371"/>
      <c r="BXR29" s="371"/>
      <c r="BXS29" s="371"/>
      <c r="BXT29" s="371"/>
      <c r="BXU29" s="371"/>
      <c r="BXV29" s="371"/>
      <c r="BXW29" s="371"/>
      <c r="BXX29" s="371"/>
      <c r="BXY29" s="371"/>
      <c r="BXZ29" s="371"/>
      <c r="BYA29" s="371"/>
      <c r="BYB29" s="371"/>
      <c r="BYC29" s="371"/>
      <c r="BYD29" s="371"/>
      <c r="BYE29" s="371"/>
      <c r="BYF29" s="371"/>
      <c r="BYG29" s="371"/>
      <c r="BYH29" s="371"/>
      <c r="BYI29" s="382"/>
      <c r="BYM29" s="371"/>
      <c r="BYN29" s="371"/>
      <c r="BYO29" s="371"/>
      <c r="BYP29" s="371"/>
      <c r="BYQ29" s="371"/>
      <c r="BYR29" s="371"/>
      <c r="BYS29" s="371"/>
      <c r="BYT29" s="371"/>
      <c r="BYU29" s="371"/>
      <c r="BYV29" s="371"/>
      <c r="BYW29" s="371"/>
      <c r="BYX29" s="371"/>
      <c r="BYY29" s="371"/>
      <c r="BYZ29" s="371"/>
      <c r="BZA29" s="371"/>
      <c r="BZB29" s="371"/>
      <c r="BZC29" s="371"/>
      <c r="BZD29" s="371"/>
      <c r="BZE29" s="371"/>
      <c r="BZF29" s="371"/>
      <c r="BZG29" s="371"/>
      <c r="BZH29" s="371"/>
      <c r="BZI29" s="371"/>
      <c r="BZJ29" s="371"/>
      <c r="BZK29" s="371"/>
      <c r="BZL29" s="371"/>
      <c r="BZM29" s="382"/>
      <c r="BZQ29" s="371"/>
      <c r="BZR29" s="371"/>
      <c r="BZS29" s="371"/>
      <c r="BZT29" s="371"/>
      <c r="BZU29" s="371"/>
      <c r="BZV29" s="371"/>
      <c r="BZW29" s="371"/>
      <c r="BZX29" s="371"/>
      <c r="BZY29" s="371"/>
      <c r="BZZ29" s="371"/>
      <c r="CAA29" s="371"/>
      <c r="CAB29" s="371"/>
      <c r="CAC29" s="371"/>
      <c r="CAD29" s="371"/>
      <c r="CAE29" s="371"/>
      <c r="CAF29" s="371"/>
      <c r="CAG29" s="371"/>
      <c r="CAH29" s="371"/>
      <c r="CAI29" s="371"/>
      <c r="CAJ29" s="371"/>
      <c r="CAK29" s="371"/>
      <c r="CAL29" s="371"/>
      <c r="CAM29" s="371"/>
      <c r="CAN29" s="371"/>
      <c r="CAO29" s="371"/>
      <c r="CAP29" s="371"/>
      <c r="CAQ29" s="382"/>
      <c r="CAU29" s="371"/>
      <c r="CAV29" s="371"/>
      <c r="CAW29" s="371"/>
      <c r="CAX29" s="371"/>
      <c r="CAY29" s="371"/>
      <c r="CAZ29" s="371"/>
      <c r="CBA29" s="371"/>
      <c r="CBB29" s="371"/>
      <c r="CBC29" s="371"/>
      <c r="CBD29" s="371"/>
      <c r="CBE29" s="371"/>
      <c r="CBF29" s="371"/>
      <c r="CBG29" s="371"/>
      <c r="CBH29" s="371"/>
      <c r="CBI29" s="371"/>
      <c r="CBJ29" s="371"/>
      <c r="CBK29" s="371"/>
      <c r="CBL29" s="371"/>
      <c r="CBM29" s="371"/>
      <c r="CBN29" s="371"/>
      <c r="CBO29" s="371"/>
      <c r="CBP29" s="371"/>
      <c r="CBQ29" s="371"/>
      <c r="CBR29" s="371"/>
      <c r="CBS29" s="371"/>
      <c r="CBT29" s="371"/>
      <c r="CBU29" s="382"/>
      <c r="CBY29" s="371"/>
      <c r="CBZ29" s="371"/>
      <c r="CCA29" s="371"/>
      <c r="CCB29" s="371"/>
      <c r="CCC29" s="371"/>
      <c r="CCD29" s="371"/>
      <c r="CCE29" s="371"/>
      <c r="CCF29" s="371"/>
      <c r="CCG29" s="371"/>
      <c r="CCH29" s="371"/>
      <c r="CCI29" s="371"/>
      <c r="CCJ29" s="371"/>
      <c r="CCK29" s="371"/>
      <c r="CCL29" s="371"/>
      <c r="CCM29" s="371"/>
      <c r="CCN29" s="371"/>
      <c r="CCO29" s="371"/>
      <c r="CCP29" s="371"/>
      <c r="CCQ29" s="371"/>
      <c r="CCR29" s="371"/>
      <c r="CCS29" s="371"/>
      <c r="CCT29" s="371"/>
      <c r="CCU29" s="371"/>
      <c r="CCV29" s="371"/>
      <c r="CCW29" s="371"/>
      <c r="CCX29" s="371"/>
      <c r="CCY29" s="382"/>
      <c r="CDC29" s="371"/>
      <c r="CDD29" s="371"/>
      <c r="CDE29" s="371"/>
      <c r="CDF29" s="371"/>
      <c r="CDG29" s="371"/>
      <c r="CDH29" s="371"/>
      <c r="CDI29" s="371"/>
      <c r="CDJ29" s="371"/>
      <c r="CDK29" s="371"/>
      <c r="CDL29" s="371"/>
      <c r="CDM29" s="371"/>
      <c r="CDN29" s="371"/>
      <c r="CDO29" s="371"/>
      <c r="CDP29" s="371"/>
      <c r="CDQ29" s="371"/>
      <c r="CDR29" s="371"/>
      <c r="CDS29" s="371"/>
      <c r="CDT29" s="371"/>
      <c r="CDU29" s="371"/>
      <c r="CDV29" s="371"/>
      <c r="CDW29" s="371"/>
      <c r="CDX29" s="371"/>
      <c r="CDY29" s="371"/>
      <c r="CDZ29" s="371"/>
      <c r="CEA29" s="371"/>
      <c r="CEB29" s="371"/>
      <c r="CEC29" s="382"/>
      <c r="CEG29" s="371"/>
      <c r="CEH29" s="371"/>
      <c r="CEI29" s="371"/>
      <c r="CEJ29" s="371"/>
      <c r="CEK29" s="371"/>
      <c r="CEL29" s="371"/>
      <c r="CEM29" s="371"/>
      <c r="CEN29" s="371"/>
      <c r="CEO29" s="371"/>
      <c r="CEP29" s="371"/>
      <c r="CEQ29" s="371"/>
      <c r="CER29" s="371"/>
      <c r="CES29" s="371"/>
      <c r="CET29" s="371"/>
      <c r="CEU29" s="371"/>
      <c r="CEV29" s="371"/>
      <c r="CEW29" s="371"/>
      <c r="CEX29" s="371"/>
      <c r="CEY29" s="371"/>
      <c r="CEZ29" s="371"/>
      <c r="CFA29" s="371"/>
      <c r="CFB29" s="371"/>
      <c r="CFC29" s="371"/>
      <c r="CFD29" s="371"/>
      <c r="CFE29" s="371"/>
      <c r="CFF29" s="371"/>
      <c r="CFG29" s="382"/>
      <c r="CFK29" s="371"/>
      <c r="CFL29" s="371"/>
      <c r="CFM29" s="371"/>
      <c r="CFN29" s="371"/>
      <c r="CFO29" s="371"/>
      <c r="CFP29" s="371"/>
      <c r="CFQ29" s="371"/>
      <c r="CFR29" s="371"/>
      <c r="CFS29" s="371"/>
      <c r="CFT29" s="371"/>
      <c r="CFU29" s="371"/>
      <c r="CFV29" s="371"/>
      <c r="CFW29" s="371"/>
      <c r="CFX29" s="371"/>
      <c r="CFY29" s="371"/>
      <c r="CFZ29" s="371"/>
      <c r="CGA29" s="371"/>
      <c r="CGB29" s="371"/>
      <c r="CGC29" s="371"/>
      <c r="CGD29" s="371"/>
      <c r="CGE29" s="371"/>
      <c r="CGF29" s="371"/>
      <c r="CGG29" s="371"/>
      <c r="CGH29" s="371"/>
      <c r="CGI29" s="371"/>
      <c r="CGJ29" s="371"/>
      <c r="CGK29" s="382"/>
      <c r="CGO29" s="371"/>
      <c r="CGP29" s="371"/>
      <c r="CGQ29" s="371"/>
      <c r="CGR29" s="371"/>
      <c r="CGS29" s="371"/>
      <c r="CGT29" s="371"/>
      <c r="CGU29" s="371"/>
      <c r="CGV29" s="371"/>
      <c r="CGW29" s="371"/>
      <c r="CGX29" s="371"/>
      <c r="CGY29" s="371"/>
      <c r="CGZ29" s="371"/>
      <c r="CHA29" s="371"/>
      <c r="CHB29" s="371"/>
      <c r="CHC29" s="371"/>
      <c r="CHD29" s="371"/>
      <c r="CHE29" s="371"/>
      <c r="CHF29" s="371"/>
      <c r="CHG29" s="371"/>
      <c r="CHH29" s="371"/>
      <c r="CHI29" s="371"/>
      <c r="CHJ29" s="371"/>
      <c r="CHK29" s="371"/>
      <c r="CHL29" s="371"/>
      <c r="CHM29" s="371"/>
      <c r="CHN29" s="371"/>
      <c r="CHO29" s="382"/>
      <c r="CHS29" s="371"/>
      <c r="CHT29" s="371"/>
      <c r="CHU29" s="371"/>
      <c r="CHV29" s="371"/>
      <c r="CHW29" s="371"/>
      <c r="CHX29" s="371"/>
      <c r="CHY29" s="371"/>
      <c r="CHZ29" s="371"/>
      <c r="CIA29" s="371"/>
      <c r="CIB29" s="371"/>
      <c r="CIC29" s="371"/>
      <c r="CID29" s="371"/>
      <c r="CIE29" s="371"/>
      <c r="CIF29" s="371"/>
      <c r="CIG29" s="371"/>
      <c r="CIH29" s="371"/>
      <c r="CII29" s="371"/>
      <c r="CIJ29" s="371"/>
      <c r="CIK29" s="371"/>
      <c r="CIL29" s="371"/>
      <c r="CIM29" s="371"/>
      <c r="CIN29" s="371"/>
      <c r="CIO29" s="371"/>
      <c r="CIP29" s="371"/>
      <c r="CIQ29" s="371"/>
      <c r="CIR29" s="371"/>
      <c r="CIS29" s="382"/>
      <c r="CIW29" s="371"/>
      <c r="CIX29" s="371"/>
      <c r="CIY29" s="371"/>
      <c r="CIZ29" s="371"/>
      <c r="CJA29" s="371"/>
      <c r="CJB29" s="371"/>
      <c r="CJC29" s="371"/>
      <c r="CJD29" s="371"/>
      <c r="CJE29" s="371"/>
      <c r="CJF29" s="371"/>
      <c r="CJG29" s="371"/>
      <c r="CJH29" s="371"/>
      <c r="CJI29" s="371"/>
      <c r="CJJ29" s="371"/>
      <c r="CJK29" s="371"/>
      <c r="CJL29" s="371"/>
      <c r="CJM29" s="371"/>
      <c r="CJN29" s="371"/>
      <c r="CJO29" s="371"/>
      <c r="CJP29" s="371"/>
      <c r="CJQ29" s="371"/>
      <c r="CJR29" s="371"/>
      <c r="CJS29" s="371"/>
      <c r="CJT29" s="371"/>
      <c r="CJU29" s="371"/>
      <c r="CJV29" s="371"/>
      <c r="CJW29" s="382"/>
      <c r="CKA29" s="371"/>
      <c r="CKB29" s="371"/>
      <c r="CKC29" s="371"/>
      <c r="CKD29" s="371"/>
      <c r="CKE29" s="371"/>
      <c r="CKF29" s="371"/>
      <c r="CKG29" s="371"/>
      <c r="CKH29" s="371"/>
      <c r="CKI29" s="371"/>
      <c r="CKJ29" s="371"/>
      <c r="CKK29" s="371"/>
      <c r="CKL29" s="371"/>
      <c r="CKM29" s="371"/>
      <c r="CKN29" s="371"/>
      <c r="CKO29" s="371"/>
      <c r="CKP29" s="371"/>
      <c r="CKQ29" s="371"/>
      <c r="CKR29" s="371"/>
      <c r="CKS29" s="371"/>
      <c r="CKT29" s="371"/>
      <c r="CKU29" s="371"/>
      <c r="CKV29" s="371"/>
      <c r="CKW29" s="371"/>
      <c r="CKX29" s="371"/>
      <c r="CKY29" s="371"/>
      <c r="CKZ29" s="371"/>
      <c r="CLA29" s="382"/>
      <c r="CLE29" s="371"/>
      <c r="CLF29" s="371"/>
      <c r="CLG29" s="371"/>
      <c r="CLH29" s="371"/>
      <c r="CLI29" s="371"/>
      <c r="CLJ29" s="371"/>
      <c r="CLK29" s="371"/>
      <c r="CLL29" s="371"/>
      <c r="CLM29" s="371"/>
      <c r="CLN29" s="371"/>
      <c r="CLO29" s="371"/>
      <c r="CLP29" s="371"/>
      <c r="CLQ29" s="371"/>
      <c r="CLR29" s="371"/>
      <c r="CLS29" s="371"/>
      <c r="CLT29" s="371"/>
      <c r="CLU29" s="371"/>
      <c r="CLV29" s="371"/>
      <c r="CLW29" s="371"/>
      <c r="CLX29" s="371"/>
      <c r="CLY29" s="371"/>
      <c r="CLZ29" s="371"/>
      <c r="CMA29" s="371"/>
      <c r="CMB29" s="371"/>
      <c r="CMC29" s="371"/>
      <c r="CMD29" s="371"/>
      <c r="CME29" s="382"/>
      <c r="CMI29" s="371"/>
      <c r="CMJ29" s="371"/>
      <c r="CMK29" s="371"/>
      <c r="CML29" s="371"/>
      <c r="CMM29" s="371"/>
      <c r="CMN29" s="371"/>
      <c r="CMO29" s="371"/>
      <c r="CMP29" s="371"/>
      <c r="CMQ29" s="371"/>
      <c r="CMR29" s="371"/>
      <c r="CMS29" s="371"/>
      <c r="CMT29" s="371"/>
      <c r="CMU29" s="371"/>
      <c r="CMV29" s="371"/>
      <c r="CMW29" s="371"/>
      <c r="CMX29" s="371"/>
      <c r="CMY29" s="371"/>
      <c r="CMZ29" s="371"/>
      <c r="CNA29" s="371"/>
      <c r="CNB29" s="371"/>
      <c r="CNC29" s="371"/>
      <c r="CND29" s="371"/>
      <c r="CNE29" s="371"/>
      <c r="CNF29" s="371"/>
      <c r="CNG29" s="371"/>
      <c r="CNH29" s="371"/>
      <c r="CNI29" s="382"/>
      <c r="CNM29" s="371"/>
      <c r="CNN29" s="371"/>
      <c r="CNO29" s="371"/>
      <c r="CNP29" s="371"/>
      <c r="CNQ29" s="371"/>
      <c r="CNR29" s="371"/>
      <c r="CNS29" s="371"/>
      <c r="CNT29" s="371"/>
      <c r="CNU29" s="371"/>
      <c r="CNV29" s="371"/>
      <c r="CNW29" s="371"/>
      <c r="CNX29" s="371"/>
      <c r="CNY29" s="371"/>
      <c r="CNZ29" s="371"/>
      <c r="COA29" s="371"/>
      <c r="COB29" s="371"/>
      <c r="COC29" s="371"/>
      <c r="COD29" s="371"/>
      <c r="COE29" s="371"/>
      <c r="COF29" s="371"/>
      <c r="COG29" s="371"/>
      <c r="COH29" s="371"/>
      <c r="COI29" s="371"/>
      <c r="COJ29" s="371"/>
      <c r="COK29" s="371"/>
      <c r="COL29" s="371"/>
      <c r="COM29" s="382"/>
      <c r="COQ29" s="371"/>
      <c r="COR29" s="371"/>
      <c r="COS29" s="371"/>
      <c r="COT29" s="371"/>
      <c r="COU29" s="371"/>
      <c r="COV29" s="371"/>
      <c r="COW29" s="371"/>
      <c r="COX29" s="371"/>
      <c r="COY29" s="371"/>
      <c r="COZ29" s="371"/>
      <c r="CPA29" s="371"/>
      <c r="CPB29" s="371"/>
      <c r="CPC29" s="371"/>
      <c r="CPD29" s="371"/>
      <c r="CPE29" s="371"/>
      <c r="CPF29" s="371"/>
      <c r="CPG29" s="371"/>
      <c r="CPH29" s="371"/>
      <c r="CPI29" s="371"/>
      <c r="CPJ29" s="371"/>
      <c r="CPK29" s="371"/>
      <c r="CPL29" s="371"/>
      <c r="CPM29" s="371"/>
      <c r="CPN29" s="371"/>
      <c r="CPO29" s="371"/>
      <c r="CPP29" s="371"/>
      <c r="CPQ29" s="382"/>
      <c r="CPU29" s="371"/>
      <c r="CPV29" s="371"/>
      <c r="CPW29" s="371"/>
      <c r="CPX29" s="371"/>
      <c r="CPY29" s="371"/>
      <c r="CPZ29" s="371"/>
      <c r="CQA29" s="371"/>
      <c r="CQB29" s="371"/>
      <c r="CQC29" s="371"/>
      <c r="CQD29" s="371"/>
      <c r="CQE29" s="371"/>
      <c r="CQF29" s="371"/>
      <c r="CQG29" s="371"/>
      <c r="CQH29" s="371"/>
      <c r="CQI29" s="371"/>
      <c r="CQJ29" s="371"/>
      <c r="CQK29" s="371"/>
      <c r="CQL29" s="371"/>
      <c r="CQM29" s="371"/>
      <c r="CQN29" s="371"/>
      <c r="CQO29" s="371"/>
      <c r="CQP29" s="371"/>
      <c r="CQQ29" s="371"/>
      <c r="CQR29" s="371"/>
      <c r="CQS29" s="371"/>
      <c r="CQT29" s="371"/>
      <c r="CQU29" s="382"/>
      <c r="CQY29" s="371"/>
      <c r="CQZ29" s="371"/>
      <c r="CRA29" s="371"/>
      <c r="CRB29" s="371"/>
      <c r="CRC29" s="371"/>
      <c r="CRD29" s="371"/>
      <c r="CRE29" s="371"/>
      <c r="CRF29" s="371"/>
      <c r="CRG29" s="371"/>
      <c r="CRH29" s="371"/>
      <c r="CRI29" s="371"/>
      <c r="CRJ29" s="371"/>
      <c r="CRK29" s="371"/>
      <c r="CRL29" s="371"/>
      <c r="CRM29" s="371"/>
      <c r="CRN29" s="371"/>
      <c r="CRO29" s="371"/>
      <c r="CRP29" s="371"/>
      <c r="CRQ29" s="371"/>
      <c r="CRR29" s="371"/>
      <c r="CRS29" s="371"/>
      <c r="CRT29" s="371"/>
      <c r="CRU29" s="371"/>
      <c r="CRV29" s="371"/>
      <c r="CRW29" s="371"/>
      <c r="CRX29" s="371"/>
      <c r="CRY29" s="382"/>
      <c r="CSC29" s="371"/>
      <c r="CSD29" s="371"/>
      <c r="CSE29" s="371"/>
      <c r="CSF29" s="371"/>
      <c r="CSG29" s="371"/>
      <c r="CSH29" s="371"/>
      <c r="CSI29" s="371"/>
      <c r="CSJ29" s="371"/>
      <c r="CSK29" s="371"/>
      <c r="CSL29" s="371"/>
      <c r="CSM29" s="371"/>
      <c r="CSN29" s="371"/>
      <c r="CSO29" s="371"/>
      <c r="CSP29" s="371"/>
      <c r="CSQ29" s="371"/>
      <c r="CSR29" s="371"/>
      <c r="CSS29" s="371"/>
      <c r="CST29" s="371"/>
      <c r="CSU29" s="371"/>
      <c r="CSV29" s="371"/>
      <c r="CSW29" s="371"/>
      <c r="CSX29" s="371"/>
      <c r="CSY29" s="371"/>
      <c r="CSZ29" s="371"/>
      <c r="CTA29" s="371"/>
      <c r="CTB29" s="371"/>
      <c r="CTC29" s="382"/>
      <c r="CTG29" s="371"/>
      <c r="CTH29" s="371"/>
      <c r="CTI29" s="371"/>
      <c r="CTJ29" s="371"/>
      <c r="CTK29" s="371"/>
      <c r="CTL29" s="371"/>
      <c r="CTM29" s="371"/>
      <c r="CTN29" s="371"/>
      <c r="CTO29" s="371"/>
      <c r="CTP29" s="371"/>
      <c r="CTQ29" s="371"/>
      <c r="CTR29" s="371"/>
      <c r="CTS29" s="371"/>
      <c r="CTT29" s="371"/>
      <c r="CTU29" s="371"/>
      <c r="CTV29" s="371"/>
      <c r="CTW29" s="371"/>
      <c r="CTX29" s="371"/>
      <c r="CTY29" s="371"/>
      <c r="CTZ29" s="371"/>
      <c r="CUA29" s="371"/>
      <c r="CUB29" s="371"/>
      <c r="CUC29" s="371"/>
      <c r="CUD29" s="371"/>
      <c r="CUE29" s="371"/>
      <c r="CUF29" s="371"/>
      <c r="CUG29" s="382"/>
      <c r="CUK29" s="371"/>
      <c r="CUL29" s="371"/>
      <c r="CUM29" s="371"/>
      <c r="CUN29" s="371"/>
      <c r="CUO29" s="371"/>
      <c r="CUP29" s="371"/>
      <c r="CUQ29" s="371"/>
      <c r="CUR29" s="371"/>
      <c r="CUS29" s="371"/>
      <c r="CUT29" s="371"/>
      <c r="CUU29" s="371"/>
      <c r="CUV29" s="371"/>
      <c r="CUW29" s="371"/>
      <c r="CUX29" s="371"/>
      <c r="CUY29" s="371"/>
      <c r="CUZ29" s="371"/>
      <c r="CVA29" s="371"/>
      <c r="CVB29" s="371"/>
      <c r="CVC29" s="371"/>
      <c r="CVD29" s="371"/>
      <c r="CVE29" s="371"/>
      <c r="CVF29" s="371"/>
      <c r="CVG29" s="371"/>
      <c r="CVH29" s="371"/>
      <c r="CVI29" s="371"/>
      <c r="CVJ29" s="371"/>
      <c r="CVK29" s="382"/>
      <c r="CVO29" s="371"/>
      <c r="CVP29" s="371"/>
      <c r="CVQ29" s="371"/>
      <c r="CVR29" s="371"/>
      <c r="CVS29" s="371"/>
      <c r="CVT29" s="371"/>
      <c r="CVU29" s="371"/>
      <c r="CVV29" s="371"/>
      <c r="CVW29" s="371"/>
      <c r="CVX29" s="371"/>
      <c r="CVY29" s="371"/>
      <c r="CVZ29" s="371"/>
      <c r="CWA29" s="371"/>
      <c r="CWB29" s="371"/>
      <c r="CWC29" s="371"/>
      <c r="CWD29" s="371"/>
      <c r="CWE29" s="371"/>
      <c r="CWF29" s="371"/>
      <c r="CWG29" s="371"/>
      <c r="CWH29" s="371"/>
      <c r="CWI29" s="371"/>
      <c r="CWJ29" s="371"/>
      <c r="CWK29" s="371"/>
      <c r="CWL29" s="371"/>
      <c r="CWM29" s="371"/>
      <c r="CWN29" s="371"/>
      <c r="CWO29" s="382"/>
      <c r="CWS29" s="371"/>
      <c r="CWT29" s="371"/>
      <c r="CWU29" s="371"/>
      <c r="CWV29" s="371"/>
      <c r="CWW29" s="371"/>
      <c r="CWX29" s="371"/>
      <c r="CWY29" s="371"/>
      <c r="CWZ29" s="371"/>
      <c r="CXA29" s="371"/>
      <c r="CXB29" s="371"/>
      <c r="CXC29" s="371"/>
      <c r="CXD29" s="371"/>
      <c r="CXE29" s="371"/>
      <c r="CXF29" s="371"/>
      <c r="CXG29" s="371"/>
      <c r="CXH29" s="371"/>
      <c r="CXI29" s="371"/>
      <c r="CXJ29" s="371"/>
      <c r="CXK29" s="371"/>
      <c r="CXL29" s="371"/>
      <c r="CXM29" s="371"/>
      <c r="CXN29" s="371"/>
      <c r="CXO29" s="371"/>
      <c r="CXP29" s="371"/>
      <c r="CXQ29" s="371"/>
      <c r="CXR29" s="371"/>
      <c r="CXS29" s="382"/>
      <c r="CXW29" s="371"/>
      <c r="CXX29" s="371"/>
      <c r="CXY29" s="371"/>
      <c r="CXZ29" s="371"/>
      <c r="CYA29" s="371"/>
      <c r="CYB29" s="371"/>
      <c r="CYC29" s="371"/>
      <c r="CYD29" s="371"/>
      <c r="CYE29" s="371"/>
      <c r="CYF29" s="371"/>
      <c r="CYG29" s="371"/>
      <c r="CYH29" s="371"/>
      <c r="CYI29" s="371"/>
      <c r="CYJ29" s="371"/>
      <c r="CYK29" s="371"/>
      <c r="CYL29" s="371"/>
      <c r="CYM29" s="371"/>
      <c r="CYN29" s="371"/>
      <c r="CYO29" s="371"/>
      <c r="CYP29" s="371"/>
      <c r="CYQ29" s="371"/>
      <c r="CYR29" s="371"/>
      <c r="CYS29" s="371"/>
      <c r="CYT29" s="371"/>
      <c r="CYU29" s="371"/>
      <c r="CYV29" s="371"/>
      <c r="CYW29" s="382"/>
      <c r="CZA29" s="371"/>
      <c r="CZB29" s="371"/>
      <c r="CZC29" s="371"/>
      <c r="CZD29" s="371"/>
      <c r="CZE29" s="371"/>
      <c r="CZF29" s="371"/>
      <c r="CZG29" s="371"/>
      <c r="CZH29" s="371"/>
      <c r="CZI29" s="371"/>
      <c r="CZJ29" s="371"/>
      <c r="CZK29" s="371"/>
      <c r="CZL29" s="371"/>
      <c r="CZM29" s="371"/>
      <c r="CZN29" s="371"/>
      <c r="CZO29" s="371"/>
      <c r="CZP29" s="371"/>
      <c r="CZQ29" s="371"/>
      <c r="CZR29" s="371"/>
      <c r="CZS29" s="371"/>
      <c r="CZT29" s="371"/>
      <c r="CZU29" s="371"/>
      <c r="CZV29" s="371"/>
      <c r="CZW29" s="371"/>
      <c r="CZX29" s="371"/>
      <c r="CZY29" s="371"/>
      <c r="CZZ29" s="371"/>
      <c r="DAA29" s="382"/>
      <c r="DAE29" s="371"/>
      <c r="DAF29" s="371"/>
      <c r="DAG29" s="371"/>
      <c r="DAH29" s="371"/>
      <c r="DAI29" s="371"/>
      <c r="DAJ29" s="371"/>
      <c r="DAK29" s="371"/>
      <c r="DAL29" s="371"/>
      <c r="DAM29" s="371"/>
      <c r="DAN29" s="371"/>
      <c r="DAO29" s="371"/>
      <c r="DAP29" s="371"/>
      <c r="DAQ29" s="371"/>
      <c r="DAR29" s="371"/>
      <c r="DAS29" s="371"/>
      <c r="DAT29" s="371"/>
      <c r="DAU29" s="371"/>
      <c r="DAV29" s="371"/>
      <c r="DAW29" s="371"/>
      <c r="DAX29" s="371"/>
      <c r="DAY29" s="371"/>
      <c r="DAZ29" s="371"/>
      <c r="DBA29" s="371"/>
      <c r="DBB29" s="371"/>
      <c r="DBC29" s="371"/>
      <c r="DBD29" s="371"/>
      <c r="DBE29" s="382"/>
      <c r="DBI29" s="371"/>
      <c r="DBJ29" s="371"/>
      <c r="DBK29" s="371"/>
      <c r="DBL29" s="371"/>
      <c r="DBM29" s="371"/>
      <c r="DBN29" s="371"/>
      <c r="DBO29" s="371"/>
      <c r="DBP29" s="371"/>
      <c r="DBQ29" s="371"/>
      <c r="DBR29" s="371"/>
      <c r="DBS29" s="371"/>
      <c r="DBT29" s="371"/>
      <c r="DBU29" s="371"/>
      <c r="DBV29" s="371"/>
      <c r="DBW29" s="371"/>
      <c r="DBX29" s="371"/>
      <c r="DBY29" s="371"/>
      <c r="DBZ29" s="371"/>
      <c r="DCA29" s="371"/>
      <c r="DCB29" s="371"/>
      <c r="DCC29" s="371"/>
      <c r="DCD29" s="371"/>
      <c r="DCE29" s="371"/>
      <c r="DCF29" s="371"/>
      <c r="DCG29" s="371"/>
      <c r="DCH29" s="371"/>
      <c r="DCI29" s="382"/>
      <c r="DCM29" s="371"/>
      <c r="DCN29" s="371"/>
      <c r="DCO29" s="371"/>
      <c r="DCP29" s="371"/>
      <c r="DCQ29" s="371"/>
      <c r="DCR29" s="371"/>
      <c r="DCS29" s="371"/>
      <c r="DCT29" s="371"/>
      <c r="DCU29" s="371"/>
      <c r="DCV29" s="371"/>
      <c r="DCW29" s="371"/>
      <c r="DCX29" s="371"/>
      <c r="DCY29" s="371"/>
      <c r="DCZ29" s="371"/>
      <c r="DDA29" s="371"/>
      <c r="DDB29" s="371"/>
      <c r="DDC29" s="371"/>
      <c r="DDD29" s="371"/>
      <c r="DDE29" s="371"/>
      <c r="DDF29" s="371"/>
      <c r="DDG29" s="371"/>
      <c r="DDH29" s="371"/>
      <c r="DDI29" s="371"/>
      <c r="DDJ29" s="371"/>
      <c r="DDK29" s="371"/>
      <c r="DDL29" s="371"/>
      <c r="DDM29" s="382"/>
      <c r="DDQ29" s="371"/>
      <c r="DDR29" s="371"/>
      <c r="DDS29" s="371"/>
      <c r="DDT29" s="371"/>
      <c r="DDU29" s="371"/>
      <c r="DDV29" s="371"/>
      <c r="DDW29" s="371"/>
      <c r="DDX29" s="371"/>
      <c r="DDY29" s="371"/>
      <c r="DDZ29" s="371"/>
      <c r="DEA29" s="371"/>
      <c r="DEB29" s="371"/>
      <c r="DEC29" s="371"/>
      <c r="DED29" s="371"/>
      <c r="DEE29" s="371"/>
      <c r="DEF29" s="371"/>
      <c r="DEG29" s="371"/>
      <c r="DEH29" s="371"/>
      <c r="DEI29" s="371"/>
      <c r="DEJ29" s="371"/>
      <c r="DEK29" s="371"/>
      <c r="DEL29" s="371"/>
      <c r="DEM29" s="371"/>
      <c r="DEN29" s="371"/>
      <c r="DEO29" s="371"/>
      <c r="DEP29" s="371"/>
      <c r="DEQ29" s="382"/>
      <c r="DEU29" s="371"/>
      <c r="DEV29" s="371"/>
      <c r="DEW29" s="371"/>
      <c r="DEX29" s="371"/>
      <c r="DEY29" s="371"/>
      <c r="DEZ29" s="371"/>
      <c r="DFA29" s="371"/>
      <c r="DFB29" s="371"/>
      <c r="DFC29" s="371"/>
      <c r="DFD29" s="371"/>
      <c r="DFE29" s="371"/>
      <c r="DFF29" s="371"/>
      <c r="DFG29" s="371"/>
      <c r="DFH29" s="371"/>
      <c r="DFI29" s="371"/>
      <c r="DFJ29" s="371"/>
      <c r="DFK29" s="371"/>
      <c r="DFL29" s="371"/>
      <c r="DFM29" s="371"/>
      <c r="DFN29" s="371"/>
      <c r="DFO29" s="371"/>
      <c r="DFP29" s="371"/>
      <c r="DFQ29" s="371"/>
      <c r="DFR29" s="371"/>
      <c r="DFS29" s="371"/>
      <c r="DFT29" s="371"/>
      <c r="DFU29" s="382"/>
      <c r="DFY29" s="371"/>
      <c r="DFZ29" s="371"/>
      <c r="DGA29" s="371"/>
      <c r="DGB29" s="371"/>
      <c r="DGC29" s="371"/>
      <c r="DGD29" s="371"/>
      <c r="DGE29" s="371"/>
      <c r="DGF29" s="371"/>
      <c r="DGG29" s="371"/>
      <c r="DGH29" s="371"/>
      <c r="DGI29" s="371"/>
      <c r="DGJ29" s="371"/>
      <c r="DGK29" s="371"/>
      <c r="DGL29" s="371"/>
      <c r="DGM29" s="371"/>
      <c r="DGN29" s="371"/>
      <c r="DGO29" s="371"/>
      <c r="DGP29" s="371"/>
      <c r="DGQ29" s="371"/>
      <c r="DGR29" s="371"/>
      <c r="DGS29" s="371"/>
      <c r="DGT29" s="371"/>
      <c r="DGU29" s="371"/>
      <c r="DGV29" s="371"/>
      <c r="DGW29" s="371"/>
      <c r="DGX29" s="371"/>
      <c r="DGY29" s="382"/>
      <c r="DHC29" s="371"/>
      <c r="DHD29" s="371"/>
      <c r="DHE29" s="371"/>
      <c r="DHF29" s="371"/>
      <c r="DHG29" s="371"/>
      <c r="DHH29" s="371"/>
      <c r="DHI29" s="371"/>
      <c r="DHJ29" s="371"/>
      <c r="DHK29" s="371"/>
      <c r="DHL29" s="371"/>
      <c r="DHM29" s="371"/>
      <c r="DHN29" s="371"/>
      <c r="DHO29" s="371"/>
      <c r="DHP29" s="371"/>
      <c r="DHQ29" s="371"/>
      <c r="DHR29" s="371"/>
      <c r="DHS29" s="371"/>
      <c r="DHT29" s="371"/>
      <c r="DHU29" s="371"/>
      <c r="DHV29" s="371"/>
      <c r="DHW29" s="371"/>
      <c r="DHX29" s="371"/>
      <c r="DHY29" s="371"/>
      <c r="DHZ29" s="371"/>
      <c r="DIA29" s="371"/>
      <c r="DIB29" s="371"/>
      <c r="DIC29" s="382"/>
      <c r="DIG29" s="371"/>
      <c r="DIH29" s="371"/>
      <c r="DII29" s="371"/>
      <c r="DIJ29" s="371"/>
      <c r="DIK29" s="371"/>
      <c r="DIL29" s="371"/>
      <c r="DIM29" s="371"/>
      <c r="DIN29" s="371"/>
      <c r="DIO29" s="371"/>
      <c r="DIP29" s="371"/>
      <c r="DIQ29" s="371"/>
      <c r="DIR29" s="371"/>
      <c r="DIS29" s="371"/>
      <c r="DIT29" s="371"/>
      <c r="DIU29" s="371"/>
      <c r="DIV29" s="371"/>
      <c r="DIW29" s="371"/>
      <c r="DIX29" s="371"/>
      <c r="DIY29" s="371"/>
      <c r="DIZ29" s="371"/>
      <c r="DJA29" s="371"/>
      <c r="DJB29" s="371"/>
      <c r="DJC29" s="371"/>
      <c r="DJD29" s="371"/>
      <c r="DJE29" s="371"/>
      <c r="DJF29" s="371"/>
      <c r="DJG29" s="382"/>
      <c r="DJK29" s="371"/>
      <c r="DJL29" s="371"/>
      <c r="DJM29" s="371"/>
      <c r="DJN29" s="371"/>
      <c r="DJO29" s="371"/>
      <c r="DJP29" s="371"/>
      <c r="DJQ29" s="371"/>
      <c r="DJR29" s="371"/>
      <c r="DJS29" s="371"/>
      <c r="DJT29" s="371"/>
      <c r="DJU29" s="371"/>
      <c r="DJV29" s="371"/>
      <c r="DJW29" s="371"/>
      <c r="DJX29" s="371"/>
      <c r="DJY29" s="371"/>
      <c r="DJZ29" s="371"/>
      <c r="DKA29" s="371"/>
      <c r="DKB29" s="371"/>
      <c r="DKC29" s="371"/>
      <c r="DKD29" s="371"/>
      <c r="DKE29" s="371"/>
      <c r="DKF29" s="371"/>
      <c r="DKG29" s="371"/>
      <c r="DKH29" s="371"/>
      <c r="DKI29" s="371"/>
      <c r="DKJ29" s="371"/>
      <c r="DKK29" s="382"/>
      <c r="DKO29" s="371"/>
      <c r="DKP29" s="371"/>
      <c r="DKQ29" s="371"/>
      <c r="DKR29" s="371"/>
      <c r="DKS29" s="371"/>
      <c r="DKT29" s="371"/>
      <c r="DKU29" s="371"/>
      <c r="DKV29" s="371"/>
      <c r="DKW29" s="371"/>
      <c r="DKX29" s="371"/>
      <c r="DKY29" s="371"/>
      <c r="DKZ29" s="371"/>
      <c r="DLA29" s="371"/>
      <c r="DLB29" s="371"/>
      <c r="DLC29" s="371"/>
      <c r="DLD29" s="371"/>
      <c r="DLE29" s="371"/>
      <c r="DLF29" s="371"/>
      <c r="DLG29" s="371"/>
      <c r="DLH29" s="371"/>
      <c r="DLI29" s="371"/>
      <c r="DLJ29" s="371"/>
      <c r="DLK29" s="371"/>
      <c r="DLL29" s="371"/>
      <c r="DLM29" s="371"/>
      <c r="DLN29" s="371"/>
      <c r="DLO29" s="382"/>
      <c r="DLS29" s="371"/>
      <c r="DLT29" s="371"/>
      <c r="DLU29" s="371"/>
      <c r="DLV29" s="371"/>
      <c r="DLW29" s="371"/>
      <c r="DLX29" s="371"/>
      <c r="DLY29" s="371"/>
      <c r="DLZ29" s="371"/>
      <c r="DMA29" s="371"/>
      <c r="DMB29" s="371"/>
      <c r="DMC29" s="371"/>
      <c r="DMD29" s="371"/>
      <c r="DME29" s="371"/>
      <c r="DMF29" s="371"/>
      <c r="DMG29" s="371"/>
      <c r="DMH29" s="371"/>
      <c r="DMI29" s="371"/>
      <c r="DMJ29" s="371"/>
      <c r="DMK29" s="371"/>
      <c r="DML29" s="371"/>
      <c r="DMM29" s="371"/>
      <c r="DMN29" s="371"/>
      <c r="DMO29" s="371"/>
      <c r="DMP29" s="371"/>
      <c r="DMQ29" s="371"/>
      <c r="DMR29" s="371"/>
      <c r="DMS29" s="382"/>
      <c r="DMW29" s="371"/>
      <c r="DMX29" s="371"/>
      <c r="DMY29" s="371"/>
      <c r="DMZ29" s="371"/>
      <c r="DNA29" s="371"/>
      <c r="DNB29" s="371"/>
      <c r="DNC29" s="371"/>
      <c r="DND29" s="371"/>
      <c r="DNE29" s="371"/>
      <c r="DNF29" s="371"/>
      <c r="DNG29" s="371"/>
      <c r="DNH29" s="371"/>
      <c r="DNI29" s="371"/>
      <c r="DNJ29" s="371"/>
      <c r="DNK29" s="371"/>
      <c r="DNL29" s="371"/>
      <c r="DNM29" s="371"/>
      <c r="DNN29" s="371"/>
      <c r="DNO29" s="371"/>
      <c r="DNP29" s="371"/>
      <c r="DNQ29" s="371"/>
      <c r="DNR29" s="371"/>
      <c r="DNS29" s="371"/>
      <c r="DNT29" s="371"/>
      <c r="DNU29" s="371"/>
      <c r="DNV29" s="371"/>
      <c r="DNW29" s="382"/>
      <c r="DOA29" s="371"/>
      <c r="DOB29" s="371"/>
      <c r="DOC29" s="371"/>
      <c r="DOD29" s="371"/>
      <c r="DOE29" s="371"/>
      <c r="DOF29" s="371"/>
      <c r="DOG29" s="371"/>
      <c r="DOH29" s="371"/>
      <c r="DOI29" s="371"/>
      <c r="DOJ29" s="371"/>
      <c r="DOK29" s="371"/>
      <c r="DOL29" s="371"/>
      <c r="DOM29" s="371"/>
      <c r="DON29" s="371"/>
      <c r="DOO29" s="371"/>
      <c r="DOP29" s="371"/>
      <c r="DOQ29" s="371"/>
      <c r="DOR29" s="371"/>
      <c r="DOS29" s="371"/>
      <c r="DOT29" s="371"/>
      <c r="DOU29" s="371"/>
      <c r="DOV29" s="371"/>
      <c r="DOW29" s="371"/>
      <c r="DOX29" s="371"/>
      <c r="DOY29" s="371"/>
      <c r="DOZ29" s="371"/>
      <c r="DPA29" s="382"/>
      <c r="DPE29" s="371"/>
      <c r="DPF29" s="371"/>
      <c r="DPG29" s="371"/>
      <c r="DPH29" s="371"/>
      <c r="DPI29" s="371"/>
      <c r="DPJ29" s="371"/>
      <c r="DPK29" s="371"/>
      <c r="DPL29" s="371"/>
      <c r="DPM29" s="371"/>
      <c r="DPN29" s="371"/>
      <c r="DPO29" s="371"/>
      <c r="DPP29" s="371"/>
      <c r="DPQ29" s="371"/>
      <c r="DPR29" s="371"/>
      <c r="DPS29" s="371"/>
      <c r="DPT29" s="371"/>
      <c r="DPU29" s="371"/>
      <c r="DPV29" s="371"/>
      <c r="DPW29" s="371"/>
      <c r="DPX29" s="371"/>
      <c r="DPY29" s="371"/>
      <c r="DPZ29" s="371"/>
      <c r="DQA29" s="371"/>
      <c r="DQB29" s="371"/>
      <c r="DQC29" s="371"/>
      <c r="DQD29" s="371"/>
      <c r="DQE29" s="382"/>
      <c r="DQI29" s="371"/>
      <c r="DQJ29" s="371"/>
      <c r="DQK29" s="371"/>
      <c r="DQL29" s="371"/>
      <c r="DQM29" s="371"/>
      <c r="DQN29" s="371"/>
      <c r="DQO29" s="371"/>
      <c r="DQP29" s="371"/>
      <c r="DQQ29" s="371"/>
      <c r="DQR29" s="371"/>
      <c r="DQS29" s="371"/>
      <c r="DQT29" s="371"/>
      <c r="DQU29" s="371"/>
      <c r="DQV29" s="371"/>
      <c r="DQW29" s="371"/>
      <c r="DQX29" s="371"/>
      <c r="DQY29" s="371"/>
      <c r="DQZ29" s="371"/>
      <c r="DRA29" s="371"/>
      <c r="DRB29" s="371"/>
      <c r="DRC29" s="371"/>
      <c r="DRD29" s="371"/>
      <c r="DRE29" s="371"/>
      <c r="DRF29" s="371"/>
      <c r="DRG29" s="371"/>
      <c r="DRH29" s="371"/>
      <c r="DRI29" s="382"/>
      <c r="DRM29" s="371"/>
      <c r="DRN29" s="371"/>
      <c r="DRO29" s="371"/>
      <c r="DRP29" s="371"/>
      <c r="DRQ29" s="371"/>
      <c r="DRR29" s="371"/>
      <c r="DRS29" s="371"/>
      <c r="DRT29" s="371"/>
      <c r="DRU29" s="371"/>
      <c r="DRV29" s="371"/>
      <c r="DRW29" s="371"/>
      <c r="DRX29" s="371"/>
      <c r="DRY29" s="371"/>
      <c r="DRZ29" s="371"/>
      <c r="DSA29" s="371"/>
      <c r="DSB29" s="371"/>
      <c r="DSC29" s="371"/>
      <c r="DSD29" s="371"/>
      <c r="DSE29" s="371"/>
      <c r="DSF29" s="371"/>
      <c r="DSG29" s="371"/>
      <c r="DSH29" s="371"/>
      <c r="DSI29" s="371"/>
      <c r="DSJ29" s="371"/>
      <c r="DSK29" s="371"/>
      <c r="DSL29" s="371"/>
      <c r="DSM29" s="382"/>
      <c r="DSQ29" s="371"/>
      <c r="DSR29" s="371"/>
      <c r="DSS29" s="371"/>
      <c r="DST29" s="371"/>
      <c r="DSU29" s="371"/>
      <c r="DSV29" s="371"/>
      <c r="DSW29" s="371"/>
      <c r="DSX29" s="371"/>
      <c r="DSY29" s="371"/>
      <c r="DSZ29" s="371"/>
      <c r="DTA29" s="371"/>
      <c r="DTB29" s="371"/>
      <c r="DTC29" s="371"/>
      <c r="DTD29" s="371"/>
      <c r="DTE29" s="371"/>
      <c r="DTF29" s="371"/>
      <c r="DTG29" s="371"/>
      <c r="DTH29" s="371"/>
      <c r="DTI29" s="371"/>
      <c r="DTJ29" s="371"/>
      <c r="DTK29" s="371"/>
      <c r="DTL29" s="371"/>
      <c r="DTM29" s="371"/>
      <c r="DTN29" s="371"/>
      <c r="DTO29" s="371"/>
      <c r="DTP29" s="371"/>
      <c r="DTQ29" s="382"/>
      <c r="DTU29" s="371"/>
      <c r="DTV29" s="371"/>
      <c r="DTW29" s="371"/>
      <c r="DTX29" s="371"/>
      <c r="DTY29" s="371"/>
      <c r="DTZ29" s="371"/>
      <c r="DUA29" s="371"/>
      <c r="DUB29" s="371"/>
      <c r="DUC29" s="371"/>
      <c r="DUD29" s="371"/>
      <c r="DUE29" s="371"/>
      <c r="DUF29" s="371"/>
      <c r="DUG29" s="371"/>
      <c r="DUH29" s="371"/>
      <c r="DUI29" s="371"/>
      <c r="DUJ29" s="371"/>
      <c r="DUK29" s="371"/>
      <c r="DUL29" s="371"/>
      <c r="DUM29" s="371"/>
      <c r="DUN29" s="371"/>
      <c r="DUO29" s="371"/>
      <c r="DUP29" s="371"/>
      <c r="DUQ29" s="371"/>
      <c r="DUR29" s="371"/>
      <c r="DUS29" s="371"/>
      <c r="DUT29" s="371"/>
      <c r="DUU29" s="382"/>
      <c r="DUY29" s="371"/>
      <c r="DUZ29" s="371"/>
      <c r="DVA29" s="371"/>
      <c r="DVB29" s="371"/>
      <c r="DVC29" s="371"/>
      <c r="DVD29" s="371"/>
      <c r="DVE29" s="371"/>
      <c r="DVF29" s="371"/>
      <c r="DVG29" s="371"/>
      <c r="DVH29" s="371"/>
      <c r="DVI29" s="371"/>
      <c r="DVJ29" s="371"/>
      <c r="DVK29" s="371"/>
      <c r="DVL29" s="371"/>
      <c r="DVM29" s="371"/>
      <c r="DVN29" s="371"/>
      <c r="DVO29" s="371"/>
      <c r="DVP29" s="371"/>
      <c r="DVQ29" s="371"/>
      <c r="DVR29" s="371"/>
      <c r="DVS29" s="371"/>
      <c r="DVT29" s="371"/>
      <c r="DVU29" s="371"/>
      <c r="DVV29" s="371"/>
      <c r="DVW29" s="371"/>
      <c r="DVX29" s="371"/>
      <c r="DVY29" s="382"/>
      <c r="DWC29" s="371"/>
      <c r="DWD29" s="371"/>
      <c r="DWE29" s="371"/>
      <c r="DWF29" s="371"/>
      <c r="DWG29" s="371"/>
      <c r="DWH29" s="371"/>
      <c r="DWI29" s="371"/>
      <c r="DWJ29" s="371"/>
      <c r="DWK29" s="371"/>
      <c r="DWL29" s="371"/>
      <c r="DWM29" s="371"/>
      <c r="DWN29" s="371"/>
      <c r="DWO29" s="371"/>
      <c r="DWP29" s="371"/>
      <c r="DWQ29" s="371"/>
      <c r="DWR29" s="371"/>
      <c r="DWS29" s="371"/>
      <c r="DWT29" s="371"/>
      <c r="DWU29" s="371"/>
      <c r="DWV29" s="371"/>
      <c r="DWW29" s="371"/>
      <c r="DWX29" s="371"/>
      <c r="DWY29" s="371"/>
      <c r="DWZ29" s="371"/>
      <c r="DXA29" s="371"/>
      <c r="DXB29" s="371"/>
      <c r="DXC29" s="382"/>
      <c r="DXG29" s="371"/>
      <c r="DXH29" s="371"/>
      <c r="DXI29" s="371"/>
      <c r="DXJ29" s="371"/>
      <c r="DXK29" s="371"/>
      <c r="DXL29" s="371"/>
      <c r="DXM29" s="371"/>
      <c r="DXN29" s="371"/>
      <c r="DXO29" s="371"/>
      <c r="DXP29" s="371"/>
      <c r="DXQ29" s="371"/>
      <c r="DXR29" s="371"/>
      <c r="DXS29" s="371"/>
      <c r="DXT29" s="371"/>
      <c r="DXU29" s="371"/>
      <c r="DXV29" s="371"/>
      <c r="DXW29" s="371"/>
      <c r="DXX29" s="371"/>
      <c r="DXY29" s="371"/>
      <c r="DXZ29" s="371"/>
      <c r="DYA29" s="371"/>
      <c r="DYB29" s="371"/>
      <c r="DYC29" s="371"/>
      <c r="DYD29" s="371"/>
      <c r="DYE29" s="371"/>
      <c r="DYF29" s="371"/>
      <c r="DYG29" s="382"/>
      <c r="DYK29" s="371"/>
      <c r="DYL29" s="371"/>
      <c r="DYM29" s="371"/>
      <c r="DYN29" s="371"/>
      <c r="DYO29" s="371"/>
      <c r="DYP29" s="371"/>
      <c r="DYQ29" s="371"/>
      <c r="DYR29" s="371"/>
      <c r="DYS29" s="371"/>
      <c r="DYT29" s="371"/>
      <c r="DYU29" s="371"/>
      <c r="DYV29" s="371"/>
      <c r="DYW29" s="371"/>
      <c r="DYX29" s="371"/>
      <c r="DYY29" s="371"/>
      <c r="DYZ29" s="371"/>
      <c r="DZA29" s="371"/>
      <c r="DZB29" s="371"/>
      <c r="DZC29" s="371"/>
      <c r="DZD29" s="371"/>
      <c r="DZE29" s="371"/>
      <c r="DZF29" s="371"/>
      <c r="DZG29" s="371"/>
      <c r="DZH29" s="371"/>
      <c r="DZI29" s="371"/>
      <c r="DZJ29" s="371"/>
      <c r="DZK29" s="382"/>
      <c r="DZO29" s="371"/>
      <c r="DZP29" s="371"/>
      <c r="DZQ29" s="371"/>
      <c r="DZR29" s="371"/>
      <c r="DZS29" s="371"/>
      <c r="DZT29" s="371"/>
      <c r="DZU29" s="371"/>
      <c r="DZV29" s="371"/>
      <c r="DZW29" s="371"/>
      <c r="DZX29" s="371"/>
      <c r="DZY29" s="371"/>
      <c r="DZZ29" s="371"/>
      <c r="EAA29" s="371"/>
      <c r="EAB29" s="371"/>
      <c r="EAC29" s="371"/>
      <c r="EAD29" s="371"/>
      <c r="EAE29" s="371"/>
      <c r="EAF29" s="371"/>
      <c r="EAG29" s="371"/>
      <c r="EAH29" s="371"/>
      <c r="EAI29" s="371"/>
      <c r="EAJ29" s="371"/>
      <c r="EAK29" s="371"/>
      <c r="EAL29" s="371"/>
      <c r="EAM29" s="371"/>
      <c r="EAN29" s="371"/>
      <c r="EAO29" s="382"/>
      <c r="EAS29" s="371"/>
      <c r="EAT29" s="371"/>
      <c r="EAU29" s="371"/>
      <c r="EAV29" s="371"/>
      <c r="EAW29" s="371"/>
      <c r="EAX29" s="371"/>
      <c r="EAY29" s="371"/>
      <c r="EAZ29" s="371"/>
      <c r="EBA29" s="371"/>
      <c r="EBB29" s="371"/>
      <c r="EBC29" s="371"/>
      <c r="EBD29" s="371"/>
      <c r="EBE29" s="371"/>
      <c r="EBF29" s="371"/>
      <c r="EBG29" s="371"/>
      <c r="EBH29" s="371"/>
      <c r="EBI29" s="371"/>
      <c r="EBJ29" s="371"/>
      <c r="EBK29" s="371"/>
      <c r="EBL29" s="371"/>
      <c r="EBM29" s="371"/>
      <c r="EBN29" s="371"/>
      <c r="EBO29" s="371"/>
      <c r="EBP29" s="371"/>
      <c r="EBQ29" s="371"/>
      <c r="EBR29" s="371"/>
      <c r="EBS29" s="382"/>
      <c r="EBW29" s="371"/>
      <c r="EBX29" s="371"/>
      <c r="EBY29" s="371"/>
      <c r="EBZ29" s="371"/>
      <c r="ECA29" s="371"/>
      <c r="ECB29" s="371"/>
      <c r="ECC29" s="371"/>
      <c r="ECD29" s="371"/>
      <c r="ECE29" s="371"/>
      <c r="ECF29" s="371"/>
      <c r="ECG29" s="371"/>
      <c r="ECH29" s="371"/>
      <c r="ECI29" s="371"/>
      <c r="ECJ29" s="371"/>
      <c r="ECK29" s="371"/>
      <c r="ECL29" s="371"/>
      <c r="ECM29" s="371"/>
      <c r="ECN29" s="371"/>
      <c r="ECO29" s="371"/>
      <c r="ECP29" s="371"/>
      <c r="ECQ29" s="371"/>
      <c r="ECR29" s="371"/>
      <c r="ECS29" s="371"/>
      <c r="ECT29" s="371"/>
      <c r="ECU29" s="371"/>
      <c r="ECV29" s="371"/>
      <c r="ECW29" s="382"/>
      <c r="EDA29" s="371"/>
      <c r="EDB29" s="371"/>
      <c r="EDC29" s="371"/>
      <c r="EDD29" s="371"/>
      <c r="EDE29" s="371"/>
      <c r="EDF29" s="371"/>
      <c r="EDG29" s="371"/>
      <c r="EDH29" s="371"/>
      <c r="EDI29" s="371"/>
      <c r="EDJ29" s="371"/>
      <c r="EDK29" s="371"/>
      <c r="EDL29" s="371"/>
      <c r="EDM29" s="371"/>
      <c r="EDN29" s="371"/>
      <c r="EDO29" s="371"/>
      <c r="EDP29" s="371"/>
      <c r="EDQ29" s="371"/>
      <c r="EDR29" s="371"/>
      <c r="EDS29" s="371"/>
      <c r="EDT29" s="371"/>
      <c r="EDU29" s="371"/>
      <c r="EDV29" s="371"/>
      <c r="EDW29" s="371"/>
      <c r="EDX29" s="371"/>
      <c r="EDY29" s="371"/>
      <c r="EDZ29" s="371"/>
      <c r="EEA29" s="382"/>
      <c r="EEE29" s="371"/>
      <c r="EEF29" s="371"/>
      <c r="EEG29" s="371"/>
      <c r="EEH29" s="371"/>
      <c r="EEI29" s="371"/>
      <c r="EEJ29" s="371"/>
      <c r="EEK29" s="371"/>
      <c r="EEL29" s="371"/>
      <c r="EEM29" s="371"/>
      <c r="EEN29" s="371"/>
      <c r="EEO29" s="371"/>
      <c r="EEP29" s="371"/>
      <c r="EEQ29" s="371"/>
      <c r="EER29" s="371"/>
      <c r="EES29" s="371"/>
      <c r="EET29" s="371"/>
      <c r="EEU29" s="371"/>
      <c r="EEV29" s="371"/>
      <c r="EEW29" s="371"/>
      <c r="EEX29" s="371"/>
      <c r="EEY29" s="371"/>
      <c r="EEZ29" s="371"/>
      <c r="EFA29" s="371"/>
      <c r="EFB29" s="371"/>
      <c r="EFC29" s="371"/>
      <c r="EFD29" s="371"/>
      <c r="EFE29" s="382"/>
      <c r="EFI29" s="371"/>
      <c r="EFJ29" s="371"/>
      <c r="EFK29" s="371"/>
      <c r="EFL29" s="371"/>
      <c r="EFM29" s="371"/>
      <c r="EFN29" s="371"/>
      <c r="EFO29" s="371"/>
      <c r="EFP29" s="371"/>
      <c r="EFQ29" s="371"/>
      <c r="EFR29" s="371"/>
      <c r="EFS29" s="371"/>
      <c r="EFT29" s="371"/>
      <c r="EFU29" s="371"/>
      <c r="EFV29" s="371"/>
      <c r="EFW29" s="371"/>
      <c r="EFX29" s="371"/>
      <c r="EFY29" s="371"/>
      <c r="EFZ29" s="371"/>
      <c r="EGA29" s="371"/>
      <c r="EGB29" s="371"/>
      <c r="EGC29" s="371"/>
      <c r="EGD29" s="371"/>
      <c r="EGE29" s="371"/>
      <c r="EGF29" s="371"/>
      <c r="EGG29" s="371"/>
      <c r="EGH29" s="371"/>
      <c r="EGI29" s="382"/>
      <c r="EGM29" s="371"/>
      <c r="EGN29" s="371"/>
      <c r="EGO29" s="371"/>
      <c r="EGP29" s="371"/>
      <c r="EGQ29" s="371"/>
      <c r="EGR29" s="371"/>
      <c r="EGS29" s="371"/>
      <c r="EGT29" s="371"/>
      <c r="EGU29" s="371"/>
      <c r="EGV29" s="371"/>
      <c r="EGW29" s="371"/>
      <c r="EGX29" s="371"/>
      <c r="EGY29" s="371"/>
      <c r="EGZ29" s="371"/>
      <c r="EHA29" s="371"/>
      <c r="EHB29" s="371"/>
      <c r="EHC29" s="371"/>
      <c r="EHD29" s="371"/>
      <c r="EHE29" s="371"/>
      <c r="EHF29" s="371"/>
      <c r="EHG29" s="371"/>
      <c r="EHH29" s="371"/>
      <c r="EHI29" s="371"/>
      <c r="EHJ29" s="371"/>
      <c r="EHK29" s="371"/>
      <c r="EHL29" s="371"/>
      <c r="EHM29" s="382"/>
      <c r="EHQ29" s="371"/>
      <c r="EHR29" s="371"/>
      <c r="EHS29" s="371"/>
      <c r="EHT29" s="371"/>
      <c r="EHU29" s="371"/>
      <c r="EHV29" s="371"/>
      <c r="EHW29" s="371"/>
      <c r="EHX29" s="371"/>
      <c r="EHY29" s="371"/>
      <c r="EHZ29" s="371"/>
      <c r="EIA29" s="371"/>
      <c r="EIB29" s="371"/>
      <c r="EIC29" s="371"/>
      <c r="EID29" s="371"/>
      <c r="EIE29" s="371"/>
      <c r="EIF29" s="371"/>
      <c r="EIG29" s="371"/>
      <c r="EIH29" s="371"/>
      <c r="EII29" s="371"/>
      <c r="EIJ29" s="371"/>
      <c r="EIK29" s="371"/>
      <c r="EIL29" s="371"/>
      <c r="EIM29" s="371"/>
      <c r="EIN29" s="371"/>
      <c r="EIO29" s="371"/>
      <c r="EIP29" s="371"/>
      <c r="EIQ29" s="382"/>
      <c r="EIU29" s="371"/>
      <c r="EIV29" s="371"/>
      <c r="EIW29" s="371"/>
      <c r="EIX29" s="371"/>
      <c r="EIY29" s="371"/>
      <c r="EIZ29" s="371"/>
      <c r="EJA29" s="371"/>
      <c r="EJB29" s="371"/>
      <c r="EJC29" s="371"/>
      <c r="EJD29" s="371"/>
      <c r="EJE29" s="371"/>
      <c r="EJF29" s="371"/>
      <c r="EJG29" s="371"/>
      <c r="EJH29" s="371"/>
      <c r="EJI29" s="371"/>
      <c r="EJJ29" s="371"/>
      <c r="EJK29" s="371"/>
      <c r="EJL29" s="371"/>
      <c r="EJM29" s="371"/>
      <c r="EJN29" s="371"/>
      <c r="EJO29" s="371"/>
      <c r="EJP29" s="371"/>
      <c r="EJQ29" s="371"/>
      <c r="EJR29" s="371"/>
      <c r="EJS29" s="371"/>
      <c r="EJT29" s="371"/>
      <c r="EJU29" s="382"/>
      <c r="EJY29" s="371"/>
      <c r="EJZ29" s="371"/>
      <c r="EKA29" s="371"/>
      <c r="EKB29" s="371"/>
      <c r="EKC29" s="371"/>
      <c r="EKD29" s="371"/>
      <c r="EKE29" s="371"/>
      <c r="EKF29" s="371"/>
      <c r="EKG29" s="371"/>
      <c r="EKH29" s="371"/>
      <c r="EKI29" s="371"/>
      <c r="EKJ29" s="371"/>
      <c r="EKK29" s="371"/>
      <c r="EKL29" s="371"/>
      <c r="EKM29" s="371"/>
      <c r="EKN29" s="371"/>
      <c r="EKO29" s="371"/>
      <c r="EKP29" s="371"/>
      <c r="EKQ29" s="371"/>
      <c r="EKR29" s="371"/>
      <c r="EKS29" s="371"/>
      <c r="EKT29" s="371"/>
      <c r="EKU29" s="371"/>
      <c r="EKV29" s="371"/>
      <c r="EKW29" s="371"/>
      <c r="EKX29" s="371"/>
      <c r="EKY29" s="382"/>
      <c r="ELC29" s="371"/>
      <c r="ELD29" s="371"/>
      <c r="ELE29" s="371"/>
      <c r="ELF29" s="371"/>
      <c r="ELG29" s="371"/>
      <c r="ELH29" s="371"/>
      <c r="ELI29" s="371"/>
      <c r="ELJ29" s="371"/>
      <c r="ELK29" s="371"/>
      <c r="ELL29" s="371"/>
      <c r="ELM29" s="371"/>
      <c r="ELN29" s="371"/>
      <c r="ELO29" s="371"/>
      <c r="ELP29" s="371"/>
      <c r="ELQ29" s="371"/>
      <c r="ELR29" s="371"/>
      <c r="ELS29" s="371"/>
      <c r="ELT29" s="371"/>
      <c r="ELU29" s="371"/>
      <c r="ELV29" s="371"/>
      <c r="ELW29" s="371"/>
      <c r="ELX29" s="371"/>
      <c r="ELY29" s="371"/>
      <c r="ELZ29" s="371"/>
      <c r="EMA29" s="371"/>
      <c r="EMB29" s="371"/>
      <c r="EMC29" s="382"/>
      <c r="EMG29" s="371"/>
      <c r="EMH29" s="371"/>
      <c r="EMI29" s="371"/>
      <c r="EMJ29" s="371"/>
      <c r="EMK29" s="371"/>
      <c r="EML29" s="371"/>
      <c r="EMM29" s="371"/>
      <c r="EMN29" s="371"/>
      <c r="EMO29" s="371"/>
      <c r="EMP29" s="371"/>
      <c r="EMQ29" s="371"/>
      <c r="EMR29" s="371"/>
      <c r="EMS29" s="371"/>
      <c r="EMT29" s="371"/>
      <c r="EMU29" s="371"/>
      <c r="EMV29" s="371"/>
      <c r="EMW29" s="371"/>
      <c r="EMX29" s="371"/>
      <c r="EMY29" s="371"/>
      <c r="EMZ29" s="371"/>
      <c r="ENA29" s="371"/>
      <c r="ENB29" s="371"/>
      <c r="ENC29" s="371"/>
      <c r="END29" s="371"/>
      <c r="ENE29" s="371"/>
      <c r="ENF29" s="371"/>
      <c r="ENG29" s="382"/>
      <c r="ENK29" s="371"/>
      <c r="ENL29" s="371"/>
      <c r="ENM29" s="371"/>
      <c r="ENN29" s="371"/>
      <c r="ENO29" s="371"/>
      <c r="ENP29" s="371"/>
      <c r="ENQ29" s="371"/>
      <c r="ENR29" s="371"/>
      <c r="ENS29" s="371"/>
      <c r="ENT29" s="371"/>
      <c r="ENU29" s="371"/>
      <c r="ENV29" s="371"/>
      <c r="ENW29" s="371"/>
      <c r="ENX29" s="371"/>
      <c r="ENY29" s="371"/>
      <c r="ENZ29" s="371"/>
      <c r="EOA29" s="371"/>
      <c r="EOB29" s="371"/>
      <c r="EOC29" s="371"/>
      <c r="EOD29" s="371"/>
      <c r="EOE29" s="371"/>
      <c r="EOF29" s="371"/>
      <c r="EOG29" s="371"/>
      <c r="EOH29" s="371"/>
      <c r="EOI29" s="371"/>
      <c r="EOJ29" s="371"/>
      <c r="EOK29" s="382"/>
      <c r="EOO29" s="371"/>
      <c r="EOP29" s="371"/>
      <c r="EOQ29" s="371"/>
      <c r="EOR29" s="371"/>
      <c r="EOS29" s="371"/>
      <c r="EOT29" s="371"/>
      <c r="EOU29" s="371"/>
      <c r="EOV29" s="371"/>
      <c r="EOW29" s="371"/>
      <c r="EOX29" s="371"/>
      <c r="EOY29" s="371"/>
      <c r="EOZ29" s="371"/>
      <c r="EPA29" s="371"/>
      <c r="EPB29" s="371"/>
      <c r="EPC29" s="371"/>
      <c r="EPD29" s="371"/>
      <c r="EPE29" s="371"/>
      <c r="EPF29" s="371"/>
      <c r="EPG29" s="371"/>
      <c r="EPH29" s="371"/>
      <c r="EPI29" s="371"/>
      <c r="EPJ29" s="371"/>
      <c r="EPK29" s="371"/>
      <c r="EPL29" s="371"/>
      <c r="EPM29" s="371"/>
      <c r="EPN29" s="371"/>
      <c r="EPO29" s="382"/>
      <c r="EPS29" s="371"/>
      <c r="EPT29" s="371"/>
      <c r="EPU29" s="371"/>
      <c r="EPV29" s="371"/>
      <c r="EPW29" s="371"/>
      <c r="EPX29" s="371"/>
      <c r="EPY29" s="371"/>
      <c r="EPZ29" s="371"/>
      <c r="EQA29" s="371"/>
      <c r="EQB29" s="371"/>
      <c r="EQC29" s="371"/>
      <c r="EQD29" s="371"/>
      <c r="EQE29" s="371"/>
      <c r="EQF29" s="371"/>
      <c r="EQG29" s="371"/>
      <c r="EQH29" s="371"/>
      <c r="EQI29" s="371"/>
      <c r="EQJ29" s="371"/>
      <c r="EQK29" s="371"/>
      <c r="EQL29" s="371"/>
      <c r="EQM29" s="371"/>
      <c r="EQN29" s="371"/>
      <c r="EQO29" s="371"/>
      <c r="EQP29" s="371"/>
      <c r="EQQ29" s="371"/>
      <c r="EQR29" s="371"/>
      <c r="EQS29" s="382"/>
      <c r="EQW29" s="371"/>
      <c r="EQX29" s="371"/>
      <c r="EQY29" s="371"/>
      <c r="EQZ29" s="371"/>
      <c r="ERA29" s="371"/>
      <c r="ERB29" s="371"/>
      <c r="ERC29" s="371"/>
      <c r="ERD29" s="371"/>
      <c r="ERE29" s="371"/>
      <c r="ERF29" s="371"/>
      <c r="ERG29" s="371"/>
      <c r="ERH29" s="371"/>
      <c r="ERI29" s="371"/>
      <c r="ERJ29" s="371"/>
      <c r="ERK29" s="371"/>
      <c r="ERL29" s="371"/>
      <c r="ERM29" s="371"/>
      <c r="ERN29" s="371"/>
      <c r="ERO29" s="371"/>
      <c r="ERP29" s="371"/>
      <c r="ERQ29" s="371"/>
      <c r="ERR29" s="371"/>
      <c r="ERS29" s="371"/>
      <c r="ERT29" s="371"/>
      <c r="ERU29" s="371"/>
      <c r="ERV29" s="371"/>
      <c r="ERW29" s="382"/>
      <c r="ESA29" s="371"/>
      <c r="ESB29" s="371"/>
      <c r="ESC29" s="371"/>
      <c r="ESD29" s="371"/>
      <c r="ESE29" s="371"/>
      <c r="ESF29" s="371"/>
      <c r="ESG29" s="371"/>
      <c r="ESH29" s="371"/>
      <c r="ESI29" s="371"/>
      <c r="ESJ29" s="371"/>
      <c r="ESK29" s="371"/>
      <c r="ESL29" s="371"/>
      <c r="ESM29" s="371"/>
      <c r="ESN29" s="371"/>
      <c r="ESO29" s="371"/>
      <c r="ESP29" s="371"/>
      <c r="ESQ29" s="371"/>
      <c r="ESR29" s="371"/>
      <c r="ESS29" s="371"/>
      <c r="EST29" s="371"/>
      <c r="ESU29" s="371"/>
      <c r="ESV29" s="371"/>
      <c r="ESW29" s="371"/>
      <c r="ESX29" s="371"/>
      <c r="ESY29" s="371"/>
      <c r="ESZ29" s="371"/>
      <c r="ETA29" s="382"/>
      <c r="ETE29" s="371"/>
      <c r="ETF29" s="371"/>
      <c r="ETG29" s="371"/>
      <c r="ETH29" s="371"/>
      <c r="ETI29" s="371"/>
      <c r="ETJ29" s="371"/>
      <c r="ETK29" s="371"/>
      <c r="ETL29" s="371"/>
      <c r="ETM29" s="371"/>
      <c r="ETN29" s="371"/>
      <c r="ETO29" s="371"/>
      <c r="ETP29" s="371"/>
      <c r="ETQ29" s="371"/>
      <c r="ETR29" s="371"/>
      <c r="ETS29" s="371"/>
      <c r="ETT29" s="371"/>
      <c r="ETU29" s="371"/>
      <c r="ETV29" s="371"/>
      <c r="ETW29" s="371"/>
      <c r="ETX29" s="371"/>
      <c r="ETY29" s="371"/>
      <c r="ETZ29" s="371"/>
      <c r="EUA29" s="371"/>
      <c r="EUB29" s="371"/>
      <c r="EUC29" s="371"/>
      <c r="EUD29" s="371"/>
      <c r="EUE29" s="382"/>
      <c r="EUI29" s="371"/>
      <c r="EUJ29" s="371"/>
      <c r="EUK29" s="371"/>
      <c r="EUL29" s="371"/>
      <c r="EUM29" s="371"/>
      <c r="EUN29" s="371"/>
      <c r="EUO29" s="371"/>
      <c r="EUP29" s="371"/>
      <c r="EUQ29" s="371"/>
      <c r="EUR29" s="371"/>
      <c r="EUS29" s="371"/>
      <c r="EUT29" s="371"/>
      <c r="EUU29" s="371"/>
      <c r="EUV29" s="371"/>
      <c r="EUW29" s="371"/>
      <c r="EUX29" s="371"/>
      <c r="EUY29" s="371"/>
      <c r="EUZ29" s="371"/>
      <c r="EVA29" s="371"/>
      <c r="EVB29" s="371"/>
      <c r="EVC29" s="371"/>
      <c r="EVD29" s="371"/>
      <c r="EVE29" s="371"/>
      <c r="EVF29" s="371"/>
      <c r="EVG29" s="371"/>
      <c r="EVH29" s="371"/>
      <c r="EVI29" s="382"/>
      <c r="EVM29" s="371"/>
      <c r="EVN29" s="371"/>
      <c r="EVO29" s="371"/>
      <c r="EVP29" s="371"/>
      <c r="EVQ29" s="371"/>
      <c r="EVR29" s="371"/>
      <c r="EVS29" s="371"/>
      <c r="EVT29" s="371"/>
      <c r="EVU29" s="371"/>
      <c r="EVV29" s="371"/>
      <c r="EVW29" s="371"/>
      <c r="EVX29" s="371"/>
      <c r="EVY29" s="371"/>
      <c r="EVZ29" s="371"/>
      <c r="EWA29" s="371"/>
      <c r="EWB29" s="371"/>
      <c r="EWC29" s="371"/>
      <c r="EWD29" s="371"/>
      <c r="EWE29" s="371"/>
      <c r="EWF29" s="371"/>
      <c r="EWG29" s="371"/>
      <c r="EWH29" s="371"/>
      <c r="EWI29" s="371"/>
      <c r="EWJ29" s="371"/>
      <c r="EWK29" s="371"/>
      <c r="EWL29" s="371"/>
      <c r="EWM29" s="382"/>
      <c r="EWQ29" s="371"/>
      <c r="EWR29" s="371"/>
      <c r="EWS29" s="371"/>
      <c r="EWT29" s="371"/>
      <c r="EWU29" s="371"/>
      <c r="EWV29" s="371"/>
      <c r="EWW29" s="371"/>
      <c r="EWX29" s="371"/>
      <c r="EWY29" s="371"/>
      <c r="EWZ29" s="371"/>
      <c r="EXA29" s="371"/>
      <c r="EXB29" s="371"/>
      <c r="EXC29" s="371"/>
      <c r="EXD29" s="371"/>
      <c r="EXE29" s="371"/>
      <c r="EXF29" s="371"/>
      <c r="EXG29" s="371"/>
      <c r="EXH29" s="371"/>
      <c r="EXI29" s="371"/>
      <c r="EXJ29" s="371"/>
      <c r="EXK29" s="371"/>
      <c r="EXL29" s="371"/>
      <c r="EXM29" s="371"/>
      <c r="EXN29" s="371"/>
      <c r="EXO29" s="371"/>
      <c r="EXP29" s="371"/>
      <c r="EXQ29" s="382"/>
      <c r="EXU29" s="371"/>
      <c r="EXV29" s="371"/>
      <c r="EXW29" s="371"/>
      <c r="EXX29" s="371"/>
      <c r="EXY29" s="371"/>
      <c r="EXZ29" s="371"/>
      <c r="EYA29" s="371"/>
      <c r="EYB29" s="371"/>
      <c r="EYC29" s="371"/>
      <c r="EYD29" s="371"/>
      <c r="EYE29" s="371"/>
      <c r="EYF29" s="371"/>
      <c r="EYG29" s="371"/>
      <c r="EYH29" s="371"/>
      <c r="EYI29" s="371"/>
      <c r="EYJ29" s="371"/>
      <c r="EYK29" s="371"/>
      <c r="EYL29" s="371"/>
      <c r="EYM29" s="371"/>
      <c r="EYN29" s="371"/>
      <c r="EYO29" s="371"/>
      <c r="EYP29" s="371"/>
      <c r="EYQ29" s="371"/>
      <c r="EYR29" s="371"/>
      <c r="EYS29" s="371"/>
      <c r="EYT29" s="371"/>
      <c r="EYU29" s="382"/>
      <c r="EYY29" s="371"/>
      <c r="EYZ29" s="371"/>
      <c r="EZA29" s="371"/>
      <c r="EZB29" s="371"/>
      <c r="EZC29" s="371"/>
      <c r="EZD29" s="371"/>
      <c r="EZE29" s="371"/>
      <c r="EZF29" s="371"/>
      <c r="EZG29" s="371"/>
      <c r="EZH29" s="371"/>
      <c r="EZI29" s="371"/>
      <c r="EZJ29" s="371"/>
      <c r="EZK29" s="371"/>
      <c r="EZL29" s="371"/>
      <c r="EZM29" s="371"/>
      <c r="EZN29" s="371"/>
      <c r="EZO29" s="371"/>
      <c r="EZP29" s="371"/>
      <c r="EZQ29" s="371"/>
      <c r="EZR29" s="371"/>
      <c r="EZS29" s="371"/>
      <c r="EZT29" s="371"/>
      <c r="EZU29" s="371"/>
      <c r="EZV29" s="371"/>
      <c r="EZW29" s="371"/>
      <c r="EZX29" s="371"/>
      <c r="EZY29" s="382"/>
      <c r="FAC29" s="371"/>
      <c r="FAD29" s="371"/>
      <c r="FAE29" s="371"/>
      <c r="FAF29" s="371"/>
      <c r="FAG29" s="371"/>
      <c r="FAH29" s="371"/>
      <c r="FAI29" s="371"/>
      <c r="FAJ29" s="371"/>
      <c r="FAK29" s="371"/>
      <c r="FAL29" s="371"/>
      <c r="FAM29" s="371"/>
      <c r="FAN29" s="371"/>
      <c r="FAO29" s="371"/>
      <c r="FAP29" s="371"/>
      <c r="FAQ29" s="371"/>
      <c r="FAR29" s="371"/>
      <c r="FAS29" s="371"/>
      <c r="FAT29" s="371"/>
      <c r="FAU29" s="371"/>
      <c r="FAV29" s="371"/>
      <c r="FAW29" s="371"/>
      <c r="FAX29" s="371"/>
      <c r="FAY29" s="371"/>
      <c r="FAZ29" s="371"/>
      <c r="FBA29" s="371"/>
      <c r="FBB29" s="371"/>
      <c r="FBC29" s="382"/>
      <c r="FBG29" s="371"/>
      <c r="FBH29" s="371"/>
      <c r="FBI29" s="371"/>
      <c r="FBJ29" s="371"/>
      <c r="FBK29" s="371"/>
      <c r="FBL29" s="371"/>
      <c r="FBM29" s="371"/>
      <c r="FBN29" s="371"/>
      <c r="FBO29" s="371"/>
      <c r="FBP29" s="371"/>
      <c r="FBQ29" s="371"/>
      <c r="FBR29" s="371"/>
      <c r="FBS29" s="371"/>
      <c r="FBT29" s="371"/>
      <c r="FBU29" s="371"/>
      <c r="FBV29" s="371"/>
      <c r="FBW29" s="371"/>
      <c r="FBX29" s="371"/>
      <c r="FBY29" s="371"/>
      <c r="FBZ29" s="371"/>
      <c r="FCA29" s="371"/>
      <c r="FCB29" s="371"/>
      <c r="FCC29" s="371"/>
      <c r="FCD29" s="371"/>
      <c r="FCE29" s="371"/>
      <c r="FCF29" s="371"/>
      <c r="FCG29" s="382"/>
      <c r="FCK29" s="371"/>
      <c r="FCL29" s="371"/>
      <c r="FCM29" s="371"/>
      <c r="FCN29" s="371"/>
      <c r="FCO29" s="371"/>
      <c r="FCP29" s="371"/>
      <c r="FCQ29" s="371"/>
      <c r="FCR29" s="371"/>
      <c r="FCS29" s="371"/>
      <c r="FCT29" s="371"/>
      <c r="FCU29" s="371"/>
      <c r="FCV29" s="371"/>
      <c r="FCW29" s="371"/>
      <c r="FCX29" s="371"/>
      <c r="FCY29" s="371"/>
      <c r="FCZ29" s="371"/>
      <c r="FDA29" s="371"/>
      <c r="FDB29" s="371"/>
      <c r="FDC29" s="371"/>
      <c r="FDD29" s="371"/>
      <c r="FDE29" s="371"/>
      <c r="FDF29" s="371"/>
      <c r="FDG29" s="371"/>
      <c r="FDH29" s="371"/>
      <c r="FDI29" s="371"/>
      <c r="FDJ29" s="371"/>
      <c r="FDK29" s="382"/>
      <c r="FDO29" s="371"/>
      <c r="FDP29" s="371"/>
      <c r="FDQ29" s="371"/>
      <c r="FDR29" s="371"/>
      <c r="FDS29" s="371"/>
      <c r="FDT29" s="371"/>
      <c r="FDU29" s="371"/>
      <c r="FDV29" s="371"/>
      <c r="FDW29" s="371"/>
      <c r="FDX29" s="371"/>
      <c r="FDY29" s="371"/>
      <c r="FDZ29" s="371"/>
      <c r="FEA29" s="371"/>
      <c r="FEB29" s="371"/>
      <c r="FEC29" s="371"/>
      <c r="FED29" s="371"/>
      <c r="FEE29" s="371"/>
      <c r="FEF29" s="371"/>
      <c r="FEG29" s="371"/>
      <c r="FEH29" s="371"/>
      <c r="FEI29" s="371"/>
      <c r="FEJ29" s="371"/>
      <c r="FEK29" s="371"/>
      <c r="FEL29" s="371"/>
      <c r="FEM29" s="371"/>
      <c r="FEN29" s="371"/>
      <c r="FEO29" s="382"/>
      <c r="FES29" s="371"/>
      <c r="FET29" s="371"/>
      <c r="FEU29" s="371"/>
      <c r="FEV29" s="371"/>
      <c r="FEW29" s="371"/>
      <c r="FEX29" s="371"/>
      <c r="FEY29" s="371"/>
      <c r="FEZ29" s="371"/>
      <c r="FFA29" s="371"/>
      <c r="FFB29" s="371"/>
      <c r="FFC29" s="371"/>
      <c r="FFD29" s="371"/>
      <c r="FFE29" s="371"/>
      <c r="FFF29" s="371"/>
      <c r="FFG29" s="371"/>
      <c r="FFH29" s="371"/>
      <c r="FFI29" s="371"/>
      <c r="FFJ29" s="371"/>
      <c r="FFK29" s="371"/>
      <c r="FFL29" s="371"/>
      <c r="FFM29" s="371"/>
      <c r="FFN29" s="371"/>
      <c r="FFO29" s="371"/>
      <c r="FFP29" s="371"/>
      <c r="FFQ29" s="371"/>
      <c r="FFR29" s="371"/>
      <c r="FFS29" s="382"/>
      <c r="FFW29" s="371"/>
      <c r="FFX29" s="371"/>
      <c r="FFY29" s="371"/>
      <c r="FFZ29" s="371"/>
      <c r="FGA29" s="371"/>
      <c r="FGB29" s="371"/>
      <c r="FGC29" s="371"/>
      <c r="FGD29" s="371"/>
      <c r="FGE29" s="371"/>
      <c r="FGF29" s="371"/>
      <c r="FGG29" s="371"/>
      <c r="FGH29" s="371"/>
      <c r="FGI29" s="371"/>
      <c r="FGJ29" s="371"/>
      <c r="FGK29" s="371"/>
      <c r="FGL29" s="371"/>
      <c r="FGM29" s="371"/>
      <c r="FGN29" s="371"/>
      <c r="FGO29" s="371"/>
      <c r="FGP29" s="371"/>
      <c r="FGQ29" s="371"/>
      <c r="FGR29" s="371"/>
      <c r="FGS29" s="371"/>
      <c r="FGT29" s="371"/>
      <c r="FGU29" s="371"/>
      <c r="FGV29" s="371"/>
      <c r="FGW29" s="382"/>
      <c r="FHA29" s="371"/>
      <c r="FHB29" s="371"/>
      <c r="FHC29" s="371"/>
      <c r="FHD29" s="371"/>
      <c r="FHE29" s="371"/>
      <c r="FHF29" s="371"/>
      <c r="FHG29" s="371"/>
      <c r="FHH29" s="371"/>
      <c r="FHI29" s="371"/>
      <c r="FHJ29" s="371"/>
      <c r="FHK29" s="371"/>
      <c r="FHL29" s="371"/>
      <c r="FHM29" s="371"/>
      <c r="FHN29" s="371"/>
      <c r="FHO29" s="371"/>
      <c r="FHP29" s="371"/>
      <c r="FHQ29" s="371"/>
      <c r="FHR29" s="371"/>
      <c r="FHS29" s="371"/>
      <c r="FHT29" s="371"/>
      <c r="FHU29" s="371"/>
      <c r="FHV29" s="371"/>
      <c r="FHW29" s="371"/>
      <c r="FHX29" s="371"/>
      <c r="FHY29" s="371"/>
      <c r="FHZ29" s="371"/>
      <c r="FIA29" s="382"/>
      <c r="FIE29" s="371"/>
      <c r="FIF29" s="371"/>
      <c r="FIG29" s="371"/>
      <c r="FIH29" s="371"/>
      <c r="FII29" s="371"/>
      <c r="FIJ29" s="371"/>
      <c r="FIK29" s="371"/>
      <c r="FIL29" s="371"/>
      <c r="FIM29" s="371"/>
      <c r="FIN29" s="371"/>
      <c r="FIO29" s="371"/>
      <c r="FIP29" s="371"/>
      <c r="FIQ29" s="371"/>
      <c r="FIR29" s="371"/>
      <c r="FIS29" s="371"/>
      <c r="FIT29" s="371"/>
      <c r="FIU29" s="371"/>
      <c r="FIV29" s="371"/>
      <c r="FIW29" s="371"/>
      <c r="FIX29" s="371"/>
      <c r="FIY29" s="371"/>
      <c r="FIZ29" s="371"/>
      <c r="FJA29" s="371"/>
      <c r="FJB29" s="371"/>
      <c r="FJC29" s="371"/>
      <c r="FJD29" s="371"/>
      <c r="FJE29" s="382"/>
      <c r="FJI29" s="371"/>
      <c r="FJJ29" s="371"/>
      <c r="FJK29" s="371"/>
      <c r="FJL29" s="371"/>
      <c r="FJM29" s="371"/>
      <c r="FJN29" s="371"/>
      <c r="FJO29" s="371"/>
      <c r="FJP29" s="371"/>
      <c r="FJQ29" s="371"/>
      <c r="FJR29" s="371"/>
      <c r="FJS29" s="371"/>
      <c r="FJT29" s="371"/>
      <c r="FJU29" s="371"/>
      <c r="FJV29" s="371"/>
      <c r="FJW29" s="371"/>
      <c r="FJX29" s="371"/>
      <c r="FJY29" s="371"/>
      <c r="FJZ29" s="371"/>
      <c r="FKA29" s="371"/>
      <c r="FKB29" s="371"/>
      <c r="FKC29" s="371"/>
      <c r="FKD29" s="371"/>
      <c r="FKE29" s="371"/>
      <c r="FKF29" s="371"/>
      <c r="FKG29" s="371"/>
      <c r="FKH29" s="371"/>
      <c r="FKI29" s="382"/>
      <c r="FKM29" s="371"/>
      <c r="FKN29" s="371"/>
      <c r="FKO29" s="371"/>
      <c r="FKP29" s="371"/>
      <c r="FKQ29" s="371"/>
      <c r="FKR29" s="371"/>
      <c r="FKS29" s="371"/>
      <c r="FKT29" s="371"/>
      <c r="FKU29" s="371"/>
      <c r="FKV29" s="371"/>
      <c r="FKW29" s="371"/>
      <c r="FKX29" s="371"/>
      <c r="FKY29" s="371"/>
      <c r="FKZ29" s="371"/>
      <c r="FLA29" s="371"/>
      <c r="FLB29" s="371"/>
      <c r="FLC29" s="371"/>
      <c r="FLD29" s="371"/>
      <c r="FLE29" s="371"/>
      <c r="FLF29" s="371"/>
      <c r="FLG29" s="371"/>
      <c r="FLH29" s="371"/>
      <c r="FLI29" s="371"/>
      <c r="FLJ29" s="371"/>
      <c r="FLK29" s="371"/>
      <c r="FLL29" s="371"/>
      <c r="FLM29" s="382"/>
      <c r="FLQ29" s="371"/>
      <c r="FLR29" s="371"/>
      <c r="FLS29" s="371"/>
      <c r="FLT29" s="371"/>
      <c r="FLU29" s="371"/>
      <c r="FLV29" s="371"/>
      <c r="FLW29" s="371"/>
      <c r="FLX29" s="371"/>
      <c r="FLY29" s="371"/>
      <c r="FLZ29" s="371"/>
      <c r="FMA29" s="371"/>
      <c r="FMB29" s="371"/>
      <c r="FMC29" s="371"/>
      <c r="FMD29" s="371"/>
      <c r="FME29" s="371"/>
      <c r="FMF29" s="371"/>
      <c r="FMG29" s="371"/>
      <c r="FMH29" s="371"/>
      <c r="FMI29" s="371"/>
      <c r="FMJ29" s="371"/>
      <c r="FMK29" s="371"/>
      <c r="FML29" s="371"/>
      <c r="FMM29" s="371"/>
      <c r="FMN29" s="371"/>
      <c r="FMO29" s="371"/>
      <c r="FMP29" s="371"/>
      <c r="FMQ29" s="382"/>
      <c r="FMU29" s="371"/>
      <c r="FMV29" s="371"/>
      <c r="FMW29" s="371"/>
      <c r="FMX29" s="371"/>
      <c r="FMY29" s="371"/>
      <c r="FMZ29" s="371"/>
      <c r="FNA29" s="371"/>
      <c r="FNB29" s="371"/>
      <c r="FNC29" s="371"/>
      <c r="FND29" s="371"/>
      <c r="FNE29" s="371"/>
      <c r="FNF29" s="371"/>
      <c r="FNG29" s="371"/>
      <c r="FNH29" s="371"/>
      <c r="FNI29" s="371"/>
      <c r="FNJ29" s="371"/>
      <c r="FNK29" s="371"/>
      <c r="FNL29" s="371"/>
      <c r="FNM29" s="371"/>
      <c r="FNN29" s="371"/>
      <c r="FNO29" s="371"/>
      <c r="FNP29" s="371"/>
      <c r="FNQ29" s="371"/>
      <c r="FNR29" s="371"/>
      <c r="FNS29" s="371"/>
      <c r="FNT29" s="371"/>
      <c r="FNU29" s="382"/>
      <c r="FNY29" s="371"/>
      <c r="FNZ29" s="371"/>
      <c r="FOA29" s="371"/>
      <c r="FOB29" s="371"/>
      <c r="FOC29" s="371"/>
      <c r="FOD29" s="371"/>
      <c r="FOE29" s="371"/>
      <c r="FOF29" s="371"/>
      <c r="FOG29" s="371"/>
      <c r="FOH29" s="371"/>
      <c r="FOI29" s="371"/>
      <c r="FOJ29" s="371"/>
      <c r="FOK29" s="371"/>
      <c r="FOL29" s="371"/>
      <c r="FOM29" s="371"/>
      <c r="FON29" s="371"/>
      <c r="FOO29" s="371"/>
      <c r="FOP29" s="371"/>
      <c r="FOQ29" s="371"/>
      <c r="FOR29" s="371"/>
      <c r="FOS29" s="371"/>
      <c r="FOT29" s="371"/>
      <c r="FOU29" s="371"/>
      <c r="FOV29" s="371"/>
      <c r="FOW29" s="371"/>
      <c r="FOX29" s="371"/>
      <c r="FOY29" s="382"/>
      <c r="FPC29" s="371"/>
      <c r="FPD29" s="371"/>
      <c r="FPE29" s="371"/>
      <c r="FPF29" s="371"/>
      <c r="FPG29" s="371"/>
      <c r="FPH29" s="371"/>
      <c r="FPI29" s="371"/>
      <c r="FPJ29" s="371"/>
      <c r="FPK29" s="371"/>
      <c r="FPL29" s="371"/>
      <c r="FPM29" s="371"/>
      <c r="FPN29" s="371"/>
      <c r="FPO29" s="371"/>
      <c r="FPP29" s="371"/>
      <c r="FPQ29" s="371"/>
      <c r="FPR29" s="371"/>
      <c r="FPS29" s="371"/>
      <c r="FPT29" s="371"/>
      <c r="FPU29" s="371"/>
      <c r="FPV29" s="371"/>
      <c r="FPW29" s="371"/>
      <c r="FPX29" s="371"/>
      <c r="FPY29" s="371"/>
      <c r="FPZ29" s="371"/>
      <c r="FQA29" s="371"/>
      <c r="FQB29" s="371"/>
      <c r="FQC29" s="382"/>
      <c r="FQG29" s="371"/>
      <c r="FQH29" s="371"/>
      <c r="FQI29" s="371"/>
      <c r="FQJ29" s="371"/>
      <c r="FQK29" s="371"/>
      <c r="FQL29" s="371"/>
      <c r="FQM29" s="371"/>
      <c r="FQN29" s="371"/>
      <c r="FQO29" s="371"/>
      <c r="FQP29" s="371"/>
      <c r="FQQ29" s="371"/>
      <c r="FQR29" s="371"/>
      <c r="FQS29" s="371"/>
      <c r="FQT29" s="371"/>
      <c r="FQU29" s="371"/>
      <c r="FQV29" s="371"/>
      <c r="FQW29" s="371"/>
      <c r="FQX29" s="371"/>
      <c r="FQY29" s="371"/>
      <c r="FQZ29" s="371"/>
      <c r="FRA29" s="371"/>
      <c r="FRB29" s="371"/>
      <c r="FRC29" s="371"/>
      <c r="FRD29" s="371"/>
      <c r="FRE29" s="371"/>
      <c r="FRF29" s="371"/>
      <c r="FRG29" s="382"/>
      <c r="FRK29" s="371"/>
      <c r="FRL29" s="371"/>
      <c r="FRM29" s="371"/>
      <c r="FRN29" s="371"/>
      <c r="FRO29" s="371"/>
      <c r="FRP29" s="371"/>
      <c r="FRQ29" s="371"/>
      <c r="FRR29" s="371"/>
      <c r="FRS29" s="371"/>
      <c r="FRT29" s="371"/>
      <c r="FRU29" s="371"/>
      <c r="FRV29" s="371"/>
      <c r="FRW29" s="371"/>
      <c r="FRX29" s="371"/>
      <c r="FRY29" s="371"/>
      <c r="FRZ29" s="371"/>
      <c r="FSA29" s="371"/>
      <c r="FSB29" s="371"/>
      <c r="FSC29" s="371"/>
      <c r="FSD29" s="371"/>
      <c r="FSE29" s="371"/>
      <c r="FSF29" s="371"/>
      <c r="FSG29" s="371"/>
      <c r="FSH29" s="371"/>
      <c r="FSI29" s="371"/>
      <c r="FSJ29" s="371"/>
      <c r="FSK29" s="382"/>
      <c r="FSO29" s="371"/>
      <c r="FSP29" s="371"/>
      <c r="FSQ29" s="371"/>
      <c r="FSR29" s="371"/>
      <c r="FSS29" s="371"/>
      <c r="FST29" s="371"/>
      <c r="FSU29" s="371"/>
      <c r="FSV29" s="371"/>
      <c r="FSW29" s="371"/>
      <c r="FSX29" s="371"/>
      <c r="FSY29" s="371"/>
      <c r="FSZ29" s="371"/>
      <c r="FTA29" s="371"/>
      <c r="FTB29" s="371"/>
      <c r="FTC29" s="371"/>
      <c r="FTD29" s="371"/>
      <c r="FTE29" s="371"/>
      <c r="FTF29" s="371"/>
      <c r="FTG29" s="371"/>
      <c r="FTH29" s="371"/>
      <c r="FTI29" s="371"/>
      <c r="FTJ29" s="371"/>
      <c r="FTK29" s="371"/>
      <c r="FTL29" s="371"/>
      <c r="FTM29" s="371"/>
      <c r="FTN29" s="371"/>
      <c r="FTO29" s="382"/>
      <c r="FTS29" s="371"/>
      <c r="FTT29" s="371"/>
      <c r="FTU29" s="371"/>
      <c r="FTV29" s="371"/>
      <c r="FTW29" s="371"/>
      <c r="FTX29" s="371"/>
      <c r="FTY29" s="371"/>
      <c r="FTZ29" s="371"/>
      <c r="FUA29" s="371"/>
      <c r="FUB29" s="371"/>
      <c r="FUC29" s="371"/>
      <c r="FUD29" s="371"/>
      <c r="FUE29" s="371"/>
      <c r="FUF29" s="371"/>
      <c r="FUG29" s="371"/>
      <c r="FUH29" s="371"/>
      <c r="FUI29" s="371"/>
      <c r="FUJ29" s="371"/>
      <c r="FUK29" s="371"/>
      <c r="FUL29" s="371"/>
      <c r="FUM29" s="371"/>
      <c r="FUN29" s="371"/>
      <c r="FUO29" s="371"/>
      <c r="FUP29" s="371"/>
      <c r="FUQ29" s="371"/>
      <c r="FUR29" s="371"/>
      <c r="FUS29" s="382"/>
      <c r="FUW29" s="371"/>
      <c r="FUX29" s="371"/>
      <c r="FUY29" s="371"/>
      <c r="FUZ29" s="371"/>
      <c r="FVA29" s="371"/>
      <c r="FVB29" s="371"/>
      <c r="FVC29" s="371"/>
      <c r="FVD29" s="371"/>
      <c r="FVE29" s="371"/>
      <c r="FVF29" s="371"/>
      <c r="FVG29" s="371"/>
      <c r="FVH29" s="371"/>
      <c r="FVI29" s="371"/>
      <c r="FVJ29" s="371"/>
      <c r="FVK29" s="371"/>
      <c r="FVL29" s="371"/>
      <c r="FVM29" s="371"/>
      <c r="FVN29" s="371"/>
      <c r="FVO29" s="371"/>
      <c r="FVP29" s="371"/>
      <c r="FVQ29" s="371"/>
      <c r="FVR29" s="371"/>
      <c r="FVS29" s="371"/>
      <c r="FVT29" s="371"/>
      <c r="FVU29" s="371"/>
      <c r="FVV29" s="371"/>
      <c r="FVW29" s="382"/>
      <c r="FWA29" s="371"/>
      <c r="FWB29" s="371"/>
      <c r="FWC29" s="371"/>
      <c r="FWD29" s="371"/>
      <c r="FWE29" s="371"/>
      <c r="FWF29" s="371"/>
      <c r="FWG29" s="371"/>
      <c r="FWH29" s="371"/>
      <c r="FWI29" s="371"/>
      <c r="FWJ29" s="371"/>
      <c r="FWK29" s="371"/>
      <c r="FWL29" s="371"/>
      <c r="FWM29" s="371"/>
      <c r="FWN29" s="371"/>
      <c r="FWO29" s="371"/>
      <c r="FWP29" s="371"/>
      <c r="FWQ29" s="371"/>
      <c r="FWR29" s="371"/>
      <c r="FWS29" s="371"/>
      <c r="FWT29" s="371"/>
      <c r="FWU29" s="371"/>
      <c r="FWV29" s="371"/>
      <c r="FWW29" s="371"/>
      <c r="FWX29" s="371"/>
      <c r="FWY29" s="371"/>
      <c r="FWZ29" s="371"/>
      <c r="FXA29" s="382"/>
      <c r="FXE29" s="371"/>
      <c r="FXF29" s="371"/>
      <c r="FXG29" s="371"/>
      <c r="FXH29" s="371"/>
      <c r="FXI29" s="371"/>
      <c r="FXJ29" s="371"/>
      <c r="FXK29" s="371"/>
      <c r="FXL29" s="371"/>
      <c r="FXM29" s="371"/>
      <c r="FXN29" s="371"/>
      <c r="FXO29" s="371"/>
      <c r="FXP29" s="371"/>
      <c r="FXQ29" s="371"/>
      <c r="FXR29" s="371"/>
      <c r="FXS29" s="371"/>
      <c r="FXT29" s="371"/>
      <c r="FXU29" s="371"/>
      <c r="FXV29" s="371"/>
      <c r="FXW29" s="371"/>
      <c r="FXX29" s="371"/>
      <c r="FXY29" s="371"/>
      <c r="FXZ29" s="371"/>
      <c r="FYA29" s="371"/>
      <c r="FYB29" s="371"/>
      <c r="FYC29" s="371"/>
      <c r="FYD29" s="371"/>
      <c r="FYE29" s="382"/>
      <c r="FYI29" s="371"/>
      <c r="FYJ29" s="371"/>
      <c r="FYK29" s="371"/>
      <c r="FYL29" s="371"/>
      <c r="FYM29" s="371"/>
      <c r="FYN29" s="371"/>
      <c r="FYO29" s="371"/>
      <c r="FYP29" s="371"/>
      <c r="FYQ29" s="371"/>
      <c r="FYR29" s="371"/>
      <c r="FYS29" s="371"/>
      <c r="FYT29" s="371"/>
      <c r="FYU29" s="371"/>
      <c r="FYV29" s="371"/>
      <c r="FYW29" s="371"/>
      <c r="FYX29" s="371"/>
      <c r="FYY29" s="371"/>
      <c r="FYZ29" s="371"/>
      <c r="FZA29" s="371"/>
      <c r="FZB29" s="371"/>
      <c r="FZC29" s="371"/>
      <c r="FZD29" s="371"/>
      <c r="FZE29" s="371"/>
      <c r="FZF29" s="371"/>
      <c r="FZG29" s="371"/>
      <c r="FZH29" s="371"/>
      <c r="FZI29" s="382"/>
      <c r="FZM29" s="371"/>
      <c r="FZN29" s="371"/>
      <c r="FZO29" s="371"/>
      <c r="FZP29" s="371"/>
      <c r="FZQ29" s="371"/>
      <c r="FZR29" s="371"/>
      <c r="FZS29" s="371"/>
      <c r="FZT29" s="371"/>
      <c r="FZU29" s="371"/>
      <c r="FZV29" s="371"/>
      <c r="FZW29" s="371"/>
      <c r="FZX29" s="371"/>
      <c r="FZY29" s="371"/>
      <c r="FZZ29" s="371"/>
      <c r="GAA29" s="371"/>
      <c r="GAB29" s="371"/>
      <c r="GAC29" s="371"/>
      <c r="GAD29" s="371"/>
      <c r="GAE29" s="371"/>
      <c r="GAF29" s="371"/>
      <c r="GAG29" s="371"/>
      <c r="GAH29" s="371"/>
      <c r="GAI29" s="371"/>
      <c r="GAJ29" s="371"/>
      <c r="GAK29" s="371"/>
      <c r="GAL29" s="371"/>
      <c r="GAM29" s="382"/>
      <c r="GAQ29" s="371"/>
      <c r="GAR29" s="371"/>
      <c r="GAS29" s="371"/>
      <c r="GAT29" s="371"/>
      <c r="GAU29" s="371"/>
      <c r="GAV29" s="371"/>
      <c r="GAW29" s="371"/>
      <c r="GAX29" s="371"/>
      <c r="GAY29" s="371"/>
      <c r="GAZ29" s="371"/>
      <c r="GBA29" s="371"/>
      <c r="GBB29" s="371"/>
      <c r="GBC29" s="371"/>
      <c r="GBD29" s="371"/>
      <c r="GBE29" s="371"/>
      <c r="GBF29" s="371"/>
      <c r="GBG29" s="371"/>
      <c r="GBH29" s="371"/>
      <c r="GBI29" s="371"/>
      <c r="GBJ29" s="371"/>
      <c r="GBK29" s="371"/>
      <c r="GBL29" s="371"/>
      <c r="GBM29" s="371"/>
      <c r="GBN29" s="371"/>
      <c r="GBO29" s="371"/>
      <c r="GBP29" s="371"/>
      <c r="GBQ29" s="382"/>
      <c r="GBU29" s="371"/>
      <c r="GBV29" s="371"/>
      <c r="GBW29" s="371"/>
      <c r="GBX29" s="371"/>
      <c r="GBY29" s="371"/>
      <c r="GBZ29" s="371"/>
      <c r="GCA29" s="371"/>
      <c r="GCB29" s="371"/>
      <c r="GCC29" s="371"/>
      <c r="GCD29" s="371"/>
      <c r="GCE29" s="371"/>
      <c r="GCF29" s="371"/>
      <c r="GCG29" s="371"/>
      <c r="GCH29" s="371"/>
      <c r="GCI29" s="371"/>
      <c r="GCJ29" s="371"/>
      <c r="GCK29" s="371"/>
      <c r="GCL29" s="371"/>
      <c r="GCM29" s="371"/>
      <c r="GCN29" s="371"/>
      <c r="GCO29" s="371"/>
      <c r="GCP29" s="371"/>
      <c r="GCQ29" s="371"/>
      <c r="GCR29" s="371"/>
      <c r="GCS29" s="371"/>
      <c r="GCT29" s="371"/>
      <c r="GCU29" s="382"/>
      <c r="GCY29" s="371"/>
      <c r="GCZ29" s="371"/>
      <c r="GDA29" s="371"/>
      <c r="GDB29" s="371"/>
      <c r="GDC29" s="371"/>
      <c r="GDD29" s="371"/>
      <c r="GDE29" s="371"/>
      <c r="GDF29" s="371"/>
      <c r="GDG29" s="371"/>
      <c r="GDH29" s="371"/>
      <c r="GDI29" s="371"/>
      <c r="GDJ29" s="371"/>
      <c r="GDK29" s="371"/>
      <c r="GDL29" s="371"/>
      <c r="GDM29" s="371"/>
      <c r="GDN29" s="371"/>
      <c r="GDO29" s="371"/>
      <c r="GDP29" s="371"/>
      <c r="GDQ29" s="371"/>
      <c r="GDR29" s="371"/>
      <c r="GDS29" s="371"/>
      <c r="GDT29" s="371"/>
      <c r="GDU29" s="371"/>
      <c r="GDV29" s="371"/>
      <c r="GDW29" s="371"/>
      <c r="GDX29" s="371"/>
      <c r="GDY29" s="382"/>
      <c r="GEC29" s="371"/>
      <c r="GED29" s="371"/>
      <c r="GEE29" s="371"/>
      <c r="GEF29" s="371"/>
      <c r="GEG29" s="371"/>
      <c r="GEH29" s="371"/>
      <c r="GEI29" s="371"/>
      <c r="GEJ29" s="371"/>
      <c r="GEK29" s="371"/>
      <c r="GEL29" s="371"/>
      <c r="GEM29" s="371"/>
      <c r="GEN29" s="371"/>
      <c r="GEO29" s="371"/>
      <c r="GEP29" s="371"/>
      <c r="GEQ29" s="371"/>
      <c r="GER29" s="371"/>
      <c r="GES29" s="371"/>
      <c r="GET29" s="371"/>
      <c r="GEU29" s="371"/>
      <c r="GEV29" s="371"/>
      <c r="GEW29" s="371"/>
      <c r="GEX29" s="371"/>
      <c r="GEY29" s="371"/>
      <c r="GEZ29" s="371"/>
      <c r="GFA29" s="371"/>
      <c r="GFB29" s="371"/>
      <c r="GFC29" s="382"/>
      <c r="GFG29" s="371"/>
      <c r="GFH29" s="371"/>
      <c r="GFI29" s="371"/>
      <c r="GFJ29" s="371"/>
      <c r="GFK29" s="371"/>
      <c r="GFL29" s="371"/>
      <c r="GFM29" s="371"/>
      <c r="GFN29" s="371"/>
      <c r="GFO29" s="371"/>
      <c r="GFP29" s="371"/>
      <c r="GFQ29" s="371"/>
      <c r="GFR29" s="371"/>
      <c r="GFS29" s="371"/>
      <c r="GFT29" s="371"/>
      <c r="GFU29" s="371"/>
      <c r="GFV29" s="371"/>
      <c r="GFW29" s="371"/>
      <c r="GFX29" s="371"/>
      <c r="GFY29" s="371"/>
      <c r="GFZ29" s="371"/>
      <c r="GGA29" s="371"/>
      <c r="GGB29" s="371"/>
      <c r="GGC29" s="371"/>
      <c r="GGD29" s="371"/>
      <c r="GGE29" s="371"/>
      <c r="GGF29" s="371"/>
      <c r="GGG29" s="382"/>
      <c r="GGK29" s="371"/>
      <c r="GGL29" s="371"/>
      <c r="GGM29" s="371"/>
      <c r="GGN29" s="371"/>
      <c r="GGO29" s="371"/>
      <c r="GGP29" s="371"/>
      <c r="GGQ29" s="371"/>
      <c r="GGR29" s="371"/>
      <c r="GGS29" s="371"/>
      <c r="GGT29" s="371"/>
      <c r="GGU29" s="371"/>
      <c r="GGV29" s="371"/>
      <c r="GGW29" s="371"/>
      <c r="GGX29" s="371"/>
      <c r="GGY29" s="371"/>
      <c r="GGZ29" s="371"/>
      <c r="GHA29" s="371"/>
      <c r="GHB29" s="371"/>
      <c r="GHC29" s="371"/>
      <c r="GHD29" s="371"/>
      <c r="GHE29" s="371"/>
      <c r="GHF29" s="371"/>
      <c r="GHG29" s="371"/>
      <c r="GHH29" s="371"/>
      <c r="GHI29" s="371"/>
      <c r="GHJ29" s="371"/>
      <c r="GHK29" s="382"/>
      <c r="GHO29" s="371"/>
      <c r="GHP29" s="371"/>
      <c r="GHQ29" s="371"/>
      <c r="GHR29" s="371"/>
      <c r="GHS29" s="371"/>
      <c r="GHT29" s="371"/>
      <c r="GHU29" s="371"/>
      <c r="GHV29" s="371"/>
      <c r="GHW29" s="371"/>
      <c r="GHX29" s="371"/>
      <c r="GHY29" s="371"/>
      <c r="GHZ29" s="371"/>
      <c r="GIA29" s="371"/>
      <c r="GIB29" s="371"/>
      <c r="GIC29" s="371"/>
      <c r="GID29" s="371"/>
      <c r="GIE29" s="371"/>
      <c r="GIF29" s="371"/>
      <c r="GIG29" s="371"/>
      <c r="GIH29" s="371"/>
      <c r="GII29" s="371"/>
      <c r="GIJ29" s="371"/>
      <c r="GIK29" s="371"/>
      <c r="GIL29" s="371"/>
      <c r="GIM29" s="371"/>
      <c r="GIN29" s="371"/>
      <c r="GIO29" s="382"/>
      <c r="GIS29" s="371"/>
      <c r="GIT29" s="371"/>
      <c r="GIU29" s="371"/>
      <c r="GIV29" s="371"/>
      <c r="GIW29" s="371"/>
      <c r="GIX29" s="371"/>
      <c r="GIY29" s="371"/>
      <c r="GIZ29" s="371"/>
      <c r="GJA29" s="371"/>
      <c r="GJB29" s="371"/>
      <c r="GJC29" s="371"/>
      <c r="GJD29" s="371"/>
      <c r="GJE29" s="371"/>
      <c r="GJF29" s="371"/>
      <c r="GJG29" s="371"/>
      <c r="GJH29" s="371"/>
      <c r="GJI29" s="371"/>
      <c r="GJJ29" s="371"/>
      <c r="GJK29" s="371"/>
      <c r="GJL29" s="371"/>
      <c r="GJM29" s="371"/>
      <c r="GJN29" s="371"/>
      <c r="GJO29" s="371"/>
      <c r="GJP29" s="371"/>
      <c r="GJQ29" s="371"/>
      <c r="GJR29" s="371"/>
      <c r="GJS29" s="382"/>
      <c r="GJW29" s="371"/>
      <c r="GJX29" s="371"/>
      <c r="GJY29" s="371"/>
      <c r="GJZ29" s="371"/>
      <c r="GKA29" s="371"/>
      <c r="GKB29" s="371"/>
      <c r="GKC29" s="371"/>
      <c r="GKD29" s="371"/>
      <c r="GKE29" s="371"/>
      <c r="GKF29" s="371"/>
      <c r="GKG29" s="371"/>
      <c r="GKH29" s="371"/>
      <c r="GKI29" s="371"/>
      <c r="GKJ29" s="371"/>
      <c r="GKK29" s="371"/>
      <c r="GKL29" s="371"/>
      <c r="GKM29" s="371"/>
      <c r="GKN29" s="371"/>
      <c r="GKO29" s="371"/>
      <c r="GKP29" s="371"/>
      <c r="GKQ29" s="371"/>
      <c r="GKR29" s="371"/>
      <c r="GKS29" s="371"/>
      <c r="GKT29" s="371"/>
      <c r="GKU29" s="371"/>
      <c r="GKV29" s="371"/>
      <c r="GKW29" s="382"/>
      <c r="GLA29" s="371"/>
      <c r="GLB29" s="371"/>
      <c r="GLC29" s="371"/>
      <c r="GLD29" s="371"/>
      <c r="GLE29" s="371"/>
      <c r="GLF29" s="371"/>
      <c r="GLG29" s="371"/>
      <c r="GLH29" s="371"/>
      <c r="GLI29" s="371"/>
      <c r="GLJ29" s="371"/>
      <c r="GLK29" s="371"/>
      <c r="GLL29" s="371"/>
      <c r="GLM29" s="371"/>
      <c r="GLN29" s="371"/>
      <c r="GLO29" s="371"/>
      <c r="GLP29" s="371"/>
      <c r="GLQ29" s="371"/>
      <c r="GLR29" s="371"/>
      <c r="GLS29" s="371"/>
      <c r="GLT29" s="371"/>
      <c r="GLU29" s="371"/>
      <c r="GLV29" s="371"/>
      <c r="GLW29" s="371"/>
      <c r="GLX29" s="371"/>
      <c r="GLY29" s="371"/>
      <c r="GLZ29" s="371"/>
      <c r="GMA29" s="382"/>
      <c r="GME29" s="371"/>
      <c r="GMF29" s="371"/>
      <c r="GMG29" s="371"/>
      <c r="GMH29" s="371"/>
      <c r="GMI29" s="371"/>
      <c r="GMJ29" s="371"/>
      <c r="GMK29" s="371"/>
      <c r="GML29" s="371"/>
      <c r="GMM29" s="371"/>
      <c r="GMN29" s="371"/>
      <c r="GMO29" s="371"/>
      <c r="GMP29" s="371"/>
      <c r="GMQ29" s="371"/>
      <c r="GMR29" s="371"/>
      <c r="GMS29" s="371"/>
      <c r="GMT29" s="371"/>
      <c r="GMU29" s="371"/>
      <c r="GMV29" s="371"/>
      <c r="GMW29" s="371"/>
      <c r="GMX29" s="371"/>
      <c r="GMY29" s="371"/>
      <c r="GMZ29" s="371"/>
      <c r="GNA29" s="371"/>
      <c r="GNB29" s="371"/>
      <c r="GNC29" s="371"/>
      <c r="GND29" s="371"/>
      <c r="GNE29" s="382"/>
      <c r="GNI29" s="371"/>
      <c r="GNJ29" s="371"/>
      <c r="GNK29" s="371"/>
      <c r="GNL29" s="371"/>
      <c r="GNM29" s="371"/>
      <c r="GNN29" s="371"/>
      <c r="GNO29" s="371"/>
      <c r="GNP29" s="371"/>
      <c r="GNQ29" s="371"/>
      <c r="GNR29" s="371"/>
      <c r="GNS29" s="371"/>
      <c r="GNT29" s="371"/>
      <c r="GNU29" s="371"/>
      <c r="GNV29" s="371"/>
      <c r="GNW29" s="371"/>
      <c r="GNX29" s="371"/>
      <c r="GNY29" s="371"/>
      <c r="GNZ29" s="371"/>
      <c r="GOA29" s="371"/>
      <c r="GOB29" s="371"/>
      <c r="GOC29" s="371"/>
      <c r="GOD29" s="371"/>
      <c r="GOE29" s="371"/>
      <c r="GOF29" s="371"/>
      <c r="GOG29" s="371"/>
      <c r="GOH29" s="371"/>
      <c r="GOI29" s="382"/>
      <c r="GOM29" s="371"/>
      <c r="GON29" s="371"/>
      <c r="GOO29" s="371"/>
      <c r="GOP29" s="371"/>
      <c r="GOQ29" s="371"/>
      <c r="GOR29" s="371"/>
      <c r="GOS29" s="371"/>
      <c r="GOT29" s="371"/>
      <c r="GOU29" s="371"/>
      <c r="GOV29" s="371"/>
      <c r="GOW29" s="371"/>
      <c r="GOX29" s="371"/>
      <c r="GOY29" s="371"/>
      <c r="GOZ29" s="371"/>
      <c r="GPA29" s="371"/>
      <c r="GPB29" s="371"/>
      <c r="GPC29" s="371"/>
      <c r="GPD29" s="371"/>
      <c r="GPE29" s="371"/>
      <c r="GPF29" s="371"/>
      <c r="GPG29" s="371"/>
      <c r="GPH29" s="371"/>
      <c r="GPI29" s="371"/>
      <c r="GPJ29" s="371"/>
      <c r="GPK29" s="371"/>
      <c r="GPL29" s="371"/>
      <c r="GPM29" s="382"/>
      <c r="GPQ29" s="371"/>
      <c r="GPR29" s="371"/>
      <c r="GPS29" s="371"/>
      <c r="GPT29" s="371"/>
      <c r="GPU29" s="371"/>
      <c r="GPV29" s="371"/>
      <c r="GPW29" s="371"/>
      <c r="GPX29" s="371"/>
      <c r="GPY29" s="371"/>
      <c r="GPZ29" s="371"/>
      <c r="GQA29" s="371"/>
      <c r="GQB29" s="371"/>
      <c r="GQC29" s="371"/>
      <c r="GQD29" s="371"/>
      <c r="GQE29" s="371"/>
      <c r="GQF29" s="371"/>
      <c r="GQG29" s="371"/>
      <c r="GQH29" s="371"/>
      <c r="GQI29" s="371"/>
      <c r="GQJ29" s="371"/>
      <c r="GQK29" s="371"/>
      <c r="GQL29" s="371"/>
      <c r="GQM29" s="371"/>
      <c r="GQN29" s="371"/>
      <c r="GQO29" s="371"/>
      <c r="GQP29" s="371"/>
      <c r="GQQ29" s="382"/>
      <c r="GQU29" s="371"/>
      <c r="GQV29" s="371"/>
      <c r="GQW29" s="371"/>
      <c r="GQX29" s="371"/>
      <c r="GQY29" s="371"/>
      <c r="GQZ29" s="371"/>
      <c r="GRA29" s="371"/>
      <c r="GRB29" s="371"/>
      <c r="GRC29" s="371"/>
      <c r="GRD29" s="371"/>
      <c r="GRE29" s="371"/>
      <c r="GRF29" s="371"/>
      <c r="GRG29" s="371"/>
      <c r="GRH29" s="371"/>
      <c r="GRI29" s="371"/>
      <c r="GRJ29" s="371"/>
      <c r="GRK29" s="371"/>
      <c r="GRL29" s="371"/>
      <c r="GRM29" s="371"/>
      <c r="GRN29" s="371"/>
      <c r="GRO29" s="371"/>
      <c r="GRP29" s="371"/>
      <c r="GRQ29" s="371"/>
      <c r="GRR29" s="371"/>
      <c r="GRS29" s="371"/>
      <c r="GRT29" s="371"/>
      <c r="GRU29" s="382"/>
      <c r="GRY29" s="371"/>
      <c r="GRZ29" s="371"/>
      <c r="GSA29" s="371"/>
      <c r="GSB29" s="371"/>
      <c r="GSC29" s="371"/>
      <c r="GSD29" s="371"/>
      <c r="GSE29" s="371"/>
      <c r="GSF29" s="371"/>
      <c r="GSG29" s="371"/>
      <c r="GSH29" s="371"/>
      <c r="GSI29" s="371"/>
      <c r="GSJ29" s="371"/>
      <c r="GSK29" s="371"/>
      <c r="GSL29" s="371"/>
      <c r="GSM29" s="371"/>
      <c r="GSN29" s="371"/>
      <c r="GSO29" s="371"/>
      <c r="GSP29" s="371"/>
      <c r="GSQ29" s="371"/>
      <c r="GSR29" s="371"/>
      <c r="GSS29" s="371"/>
      <c r="GST29" s="371"/>
      <c r="GSU29" s="371"/>
      <c r="GSV29" s="371"/>
      <c r="GSW29" s="371"/>
      <c r="GSX29" s="371"/>
      <c r="GSY29" s="382"/>
      <c r="GTC29" s="371"/>
      <c r="GTD29" s="371"/>
      <c r="GTE29" s="371"/>
      <c r="GTF29" s="371"/>
      <c r="GTG29" s="371"/>
      <c r="GTH29" s="371"/>
      <c r="GTI29" s="371"/>
      <c r="GTJ29" s="371"/>
      <c r="GTK29" s="371"/>
      <c r="GTL29" s="371"/>
      <c r="GTM29" s="371"/>
      <c r="GTN29" s="371"/>
      <c r="GTO29" s="371"/>
      <c r="GTP29" s="371"/>
      <c r="GTQ29" s="371"/>
      <c r="GTR29" s="371"/>
      <c r="GTS29" s="371"/>
      <c r="GTT29" s="371"/>
      <c r="GTU29" s="371"/>
      <c r="GTV29" s="371"/>
      <c r="GTW29" s="371"/>
      <c r="GTX29" s="371"/>
      <c r="GTY29" s="371"/>
      <c r="GTZ29" s="371"/>
      <c r="GUA29" s="371"/>
      <c r="GUB29" s="371"/>
      <c r="GUC29" s="382"/>
      <c r="GUG29" s="371"/>
      <c r="GUH29" s="371"/>
      <c r="GUI29" s="371"/>
      <c r="GUJ29" s="371"/>
      <c r="GUK29" s="371"/>
      <c r="GUL29" s="371"/>
      <c r="GUM29" s="371"/>
      <c r="GUN29" s="371"/>
      <c r="GUO29" s="371"/>
      <c r="GUP29" s="371"/>
      <c r="GUQ29" s="371"/>
      <c r="GUR29" s="371"/>
      <c r="GUS29" s="371"/>
      <c r="GUT29" s="371"/>
      <c r="GUU29" s="371"/>
      <c r="GUV29" s="371"/>
      <c r="GUW29" s="371"/>
      <c r="GUX29" s="371"/>
      <c r="GUY29" s="371"/>
      <c r="GUZ29" s="371"/>
      <c r="GVA29" s="371"/>
      <c r="GVB29" s="371"/>
      <c r="GVC29" s="371"/>
      <c r="GVD29" s="371"/>
      <c r="GVE29" s="371"/>
      <c r="GVF29" s="371"/>
      <c r="GVG29" s="382"/>
      <c r="GVK29" s="371"/>
      <c r="GVL29" s="371"/>
      <c r="GVM29" s="371"/>
      <c r="GVN29" s="371"/>
      <c r="GVO29" s="371"/>
      <c r="GVP29" s="371"/>
      <c r="GVQ29" s="371"/>
      <c r="GVR29" s="371"/>
      <c r="GVS29" s="371"/>
      <c r="GVT29" s="371"/>
      <c r="GVU29" s="371"/>
      <c r="GVV29" s="371"/>
      <c r="GVW29" s="371"/>
      <c r="GVX29" s="371"/>
      <c r="GVY29" s="371"/>
      <c r="GVZ29" s="371"/>
      <c r="GWA29" s="371"/>
      <c r="GWB29" s="371"/>
      <c r="GWC29" s="371"/>
      <c r="GWD29" s="371"/>
      <c r="GWE29" s="371"/>
      <c r="GWF29" s="371"/>
      <c r="GWG29" s="371"/>
      <c r="GWH29" s="371"/>
      <c r="GWI29" s="371"/>
      <c r="GWJ29" s="371"/>
      <c r="GWK29" s="382"/>
      <c r="GWO29" s="371"/>
      <c r="GWP29" s="371"/>
      <c r="GWQ29" s="371"/>
      <c r="GWR29" s="371"/>
      <c r="GWS29" s="371"/>
      <c r="GWT29" s="371"/>
      <c r="GWU29" s="371"/>
      <c r="GWV29" s="371"/>
      <c r="GWW29" s="371"/>
      <c r="GWX29" s="371"/>
      <c r="GWY29" s="371"/>
      <c r="GWZ29" s="371"/>
      <c r="GXA29" s="371"/>
      <c r="GXB29" s="371"/>
      <c r="GXC29" s="371"/>
      <c r="GXD29" s="371"/>
      <c r="GXE29" s="371"/>
      <c r="GXF29" s="371"/>
      <c r="GXG29" s="371"/>
      <c r="GXH29" s="371"/>
      <c r="GXI29" s="371"/>
      <c r="GXJ29" s="371"/>
      <c r="GXK29" s="371"/>
      <c r="GXL29" s="371"/>
      <c r="GXM29" s="371"/>
      <c r="GXN29" s="371"/>
      <c r="GXO29" s="382"/>
      <c r="GXS29" s="371"/>
      <c r="GXT29" s="371"/>
      <c r="GXU29" s="371"/>
      <c r="GXV29" s="371"/>
      <c r="GXW29" s="371"/>
      <c r="GXX29" s="371"/>
      <c r="GXY29" s="371"/>
      <c r="GXZ29" s="371"/>
      <c r="GYA29" s="371"/>
      <c r="GYB29" s="371"/>
      <c r="GYC29" s="371"/>
      <c r="GYD29" s="371"/>
      <c r="GYE29" s="371"/>
      <c r="GYF29" s="371"/>
      <c r="GYG29" s="371"/>
      <c r="GYH29" s="371"/>
      <c r="GYI29" s="371"/>
      <c r="GYJ29" s="371"/>
      <c r="GYK29" s="371"/>
      <c r="GYL29" s="371"/>
      <c r="GYM29" s="371"/>
      <c r="GYN29" s="371"/>
      <c r="GYO29" s="371"/>
      <c r="GYP29" s="371"/>
      <c r="GYQ29" s="371"/>
      <c r="GYR29" s="371"/>
      <c r="GYS29" s="382"/>
      <c r="GYW29" s="371"/>
      <c r="GYX29" s="371"/>
      <c r="GYY29" s="371"/>
      <c r="GYZ29" s="371"/>
      <c r="GZA29" s="371"/>
      <c r="GZB29" s="371"/>
      <c r="GZC29" s="371"/>
      <c r="GZD29" s="371"/>
      <c r="GZE29" s="371"/>
      <c r="GZF29" s="371"/>
      <c r="GZG29" s="371"/>
      <c r="GZH29" s="371"/>
      <c r="GZI29" s="371"/>
      <c r="GZJ29" s="371"/>
      <c r="GZK29" s="371"/>
      <c r="GZL29" s="371"/>
      <c r="GZM29" s="371"/>
      <c r="GZN29" s="371"/>
      <c r="GZO29" s="371"/>
      <c r="GZP29" s="371"/>
      <c r="GZQ29" s="371"/>
      <c r="GZR29" s="371"/>
      <c r="GZS29" s="371"/>
      <c r="GZT29" s="371"/>
      <c r="GZU29" s="371"/>
      <c r="GZV29" s="371"/>
      <c r="GZW29" s="382"/>
      <c r="HAA29" s="371"/>
      <c r="HAB29" s="371"/>
      <c r="HAC29" s="371"/>
      <c r="HAD29" s="371"/>
      <c r="HAE29" s="371"/>
      <c r="HAF29" s="371"/>
      <c r="HAG29" s="371"/>
      <c r="HAH29" s="371"/>
      <c r="HAI29" s="371"/>
      <c r="HAJ29" s="371"/>
      <c r="HAK29" s="371"/>
      <c r="HAL29" s="371"/>
      <c r="HAM29" s="371"/>
      <c r="HAN29" s="371"/>
      <c r="HAO29" s="371"/>
      <c r="HAP29" s="371"/>
      <c r="HAQ29" s="371"/>
      <c r="HAR29" s="371"/>
      <c r="HAS29" s="371"/>
      <c r="HAT29" s="371"/>
      <c r="HAU29" s="371"/>
      <c r="HAV29" s="371"/>
      <c r="HAW29" s="371"/>
      <c r="HAX29" s="371"/>
      <c r="HAY29" s="371"/>
      <c r="HAZ29" s="371"/>
      <c r="HBA29" s="382"/>
      <c r="HBE29" s="371"/>
      <c r="HBF29" s="371"/>
      <c r="HBG29" s="371"/>
      <c r="HBH29" s="371"/>
      <c r="HBI29" s="371"/>
      <c r="HBJ29" s="371"/>
      <c r="HBK29" s="371"/>
      <c r="HBL29" s="371"/>
      <c r="HBM29" s="371"/>
      <c r="HBN29" s="371"/>
      <c r="HBO29" s="371"/>
      <c r="HBP29" s="371"/>
      <c r="HBQ29" s="371"/>
      <c r="HBR29" s="371"/>
      <c r="HBS29" s="371"/>
      <c r="HBT29" s="371"/>
      <c r="HBU29" s="371"/>
      <c r="HBV29" s="371"/>
      <c r="HBW29" s="371"/>
      <c r="HBX29" s="371"/>
      <c r="HBY29" s="371"/>
      <c r="HBZ29" s="371"/>
      <c r="HCA29" s="371"/>
      <c r="HCB29" s="371"/>
      <c r="HCC29" s="371"/>
      <c r="HCD29" s="371"/>
      <c r="HCE29" s="382"/>
      <c r="HCI29" s="371"/>
      <c r="HCJ29" s="371"/>
      <c r="HCK29" s="371"/>
      <c r="HCL29" s="371"/>
      <c r="HCM29" s="371"/>
      <c r="HCN29" s="371"/>
      <c r="HCO29" s="371"/>
      <c r="HCP29" s="371"/>
      <c r="HCQ29" s="371"/>
      <c r="HCR29" s="371"/>
      <c r="HCS29" s="371"/>
      <c r="HCT29" s="371"/>
      <c r="HCU29" s="371"/>
      <c r="HCV29" s="371"/>
      <c r="HCW29" s="371"/>
      <c r="HCX29" s="371"/>
      <c r="HCY29" s="371"/>
      <c r="HCZ29" s="371"/>
      <c r="HDA29" s="371"/>
      <c r="HDB29" s="371"/>
      <c r="HDC29" s="371"/>
      <c r="HDD29" s="371"/>
      <c r="HDE29" s="371"/>
      <c r="HDF29" s="371"/>
      <c r="HDG29" s="371"/>
      <c r="HDH29" s="371"/>
      <c r="HDI29" s="382"/>
      <c r="HDM29" s="371"/>
      <c r="HDN29" s="371"/>
      <c r="HDO29" s="371"/>
      <c r="HDP29" s="371"/>
      <c r="HDQ29" s="371"/>
      <c r="HDR29" s="371"/>
      <c r="HDS29" s="371"/>
      <c r="HDT29" s="371"/>
      <c r="HDU29" s="371"/>
      <c r="HDV29" s="371"/>
      <c r="HDW29" s="371"/>
      <c r="HDX29" s="371"/>
      <c r="HDY29" s="371"/>
      <c r="HDZ29" s="371"/>
      <c r="HEA29" s="371"/>
      <c r="HEB29" s="371"/>
      <c r="HEC29" s="371"/>
      <c r="HED29" s="371"/>
      <c r="HEE29" s="371"/>
      <c r="HEF29" s="371"/>
      <c r="HEG29" s="371"/>
      <c r="HEH29" s="371"/>
      <c r="HEI29" s="371"/>
      <c r="HEJ29" s="371"/>
      <c r="HEK29" s="371"/>
      <c r="HEL29" s="371"/>
      <c r="HEM29" s="382"/>
      <c r="HEQ29" s="371"/>
      <c r="HER29" s="371"/>
      <c r="HES29" s="371"/>
      <c r="HET29" s="371"/>
      <c r="HEU29" s="371"/>
      <c r="HEV29" s="371"/>
      <c r="HEW29" s="371"/>
      <c r="HEX29" s="371"/>
      <c r="HEY29" s="371"/>
      <c r="HEZ29" s="371"/>
      <c r="HFA29" s="371"/>
      <c r="HFB29" s="371"/>
      <c r="HFC29" s="371"/>
      <c r="HFD29" s="371"/>
      <c r="HFE29" s="371"/>
      <c r="HFF29" s="371"/>
      <c r="HFG29" s="371"/>
      <c r="HFH29" s="371"/>
      <c r="HFI29" s="371"/>
      <c r="HFJ29" s="371"/>
      <c r="HFK29" s="371"/>
      <c r="HFL29" s="371"/>
      <c r="HFM29" s="371"/>
      <c r="HFN29" s="371"/>
      <c r="HFO29" s="371"/>
      <c r="HFP29" s="371"/>
      <c r="HFQ29" s="382"/>
      <c r="HFU29" s="371"/>
      <c r="HFV29" s="371"/>
      <c r="HFW29" s="371"/>
      <c r="HFX29" s="371"/>
      <c r="HFY29" s="371"/>
      <c r="HFZ29" s="371"/>
      <c r="HGA29" s="371"/>
      <c r="HGB29" s="371"/>
      <c r="HGC29" s="371"/>
      <c r="HGD29" s="371"/>
      <c r="HGE29" s="371"/>
      <c r="HGF29" s="371"/>
      <c r="HGG29" s="371"/>
      <c r="HGH29" s="371"/>
      <c r="HGI29" s="371"/>
      <c r="HGJ29" s="371"/>
      <c r="HGK29" s="371"/>
      <c r="HGL29" s="371"/>
      <c r="HGM29" s="371"/>
      <c r="HGN29" s="371"/>
      <c r="HGO29" s="371"/>
      <c r="HGP29" s="371"/>
      <c r="HGQ29" s="371"/>
      <c r="HGR29" s="371"/>
      <c r="HGS29" s="371"/>
      <c r="HGT29" s="371"/>
      <c r="HGU29" s="382"/>
      <c r="HGY29" s="371"/>
      <c r="HGZ29" s="371"/>
      <c r="HHA29" s="371"/>
      <c r="HHB29" s="371"/>
      <c r="HHC29" s="371"/>
      <c r="HHD29" s="371"/>
      <c r="HHE29" s="371"/>
      <c r="HHF29" s="371"/>
      <c r="HHG29" s="371"/>
      <c r="HHH29" s="371"/>
      <c r="HHI29" s="371"/>
      <c r="HHJ29" s="371"/>
      <c r="HHK29" s="371"/>
      <c r="HHL29" s="371"/>
      <c r="HHM29" s="371"/>
      <c r="HHN29" s="371"/>
      <c r="HHO29" s="371"/>
      <c r="HHP29" s="371"/>
      <c r="HHQ29" s="371"/>
      <c r="HHR29" s="371"/>
      <c r="HHS29" s="371"/>
      <c r="HHT29" s="371"/>
      <c r="HHU29" s="371"/>
      <c r="HHV29" s="371"/>
      <c r="HHW29" s="371"/>
      <c r="HHX29" s="371"/>
      <c r="HHY29" s="382"/>
      <c r="HIC29" s="371"/>
      <c r="HID29" s="371"/>
      <c r="HIE29" s="371"/>
      <c r="HIF29" s="371"/>
      <c r="HIG29" s="371"/>
      <c r="HIH29" s="371"/>
      <c r="HII29" s="371"/>
      <c r="HIJ29" s="371"/>
      <c r="HIK29" s="371"/>
      <c r="HIL29" s="371"/>
      <c r="HIM29" s="371"/>
      <c r="HIN29" s="371"/>
      <c r="HIO29" s="371"/>
      <c r="HIP29" s="371"/>
      <c r="HIQ29" s="371"/>
      <c r="HIR29" s="371"/>
      <c r="HIS29" s="371"/>
      <c r="HIT29" s="371"/>
      <c r="HIU29" s="371"/>
      <c r="HIV29" s="371"/>
      <c r="HIW29" s="371"/>
      <c r="HIX29" s="371"/>
      <c r="HIY29" s="371"/>
      <c r="HIZ29" s="371"/>
      <c r="HJA29" s="371"/>
      <c r="HJB29" s="371"/>
      <c r="HJC29" s="382"/>
      <c r="HJG29" s="371"/>
      <c r="HJH29" s="371"/>
      <c r="HJI29" s="371"/>
      <c r="HJJ29" s="371"/>
      <c r="HJK29" s="371"/>
      <c r="HJL29" s="371"/>
      <c r="HJM29" s="371"/>
      <c r="HJN29" s="371"/>
      <c r="HJO29" s="371"/>
      <c r="HJP29" s="371"/>
      <c r="HJQ29" s="371"/>
      <c r="HJR29" s="371"/>
      <c r="HJS29" s="371"/>
      <c r="HJT29" s="371"/>
      <c r="HJU29" s="371"/>
      <c r="HJV29" s="371"/>
      <c r="HJW29" s="371"/>
      <c r="HJX29" s="371"/>
      <c r="HJY29" s="371"/>
      <c r="HJZ29" s="371"/>
      <c r="HKA29" s="371"/>
      <c r="HKB29" s="371"/>
      <c r="HKC29" s="371"/>
      <c r="HKD29" s="371"/>
      <c r="HKE29" s="371"/>
      <c r="HKF29" s="371"/>
      <c r="HKG29" s="382"/>
      <c r="HKK29" s="371"/>
      <c r="HKL29" s="371"/>
      <c r="HKM29" s="371"/>
      <c r="HKN29" s="371"/>
      <c r="HKO29" s="371"/>
      <c r="HKP29" s="371"/>
      <c r="HKQ29" s="371"/>
      <c r="HKR29" s="371"/>
      <c r="HKS29" s="371"/>
      <c r="HKT29" s="371"/>
      <c r="HKU29" s="371"/>
      <c r="HKV29" s="371"/>
      <c r="HKW29" s="371"/>
      <c r="HKX29" s="371"/>
      <c r="HKY29" s="371"/>
      <c r="HKZ29" s="371"/>
      <c r="HLA29" s="371"/>
      <c r="HLB29" s="371"/>
      <c r="HLC29" s="371"/>
      <c r="HLD29" s="371"/>
      <c r="HLE29" s="371"/>
      <c r="HLF29" s="371"/>
      <c r="HLG29" s="371"/>
      <c r="HLH29" s="371"/>
      <c r="HLI29" s="371"/>
      <c r="HLJ29" s="371"/>
      <c r="HLK29" s="382"/>
      <c r="HLO29" s="371"/>
      <c r="HLP29" s="371"/>
      <c r="HLQ29" s="371"/>
      <c r="HLR29" s="371"/>
      <c r="HLS29" s="371"/>
      <c r="HLT29" s="371"/>
      <c r="HLU29" s="371"/>
      <c r="HLV29" s="371"/>
      <c r="HLW29" s="371"/>
      <c r="HLX29" s="371"/>
      <c r="HLY29" s="371"/>
      <c r="HLZ29" s="371"/>
      <c r="HMA29" s="371"/>
      <c r="HMB29" s="371"/>
      <c r="HMC29" s="371"/>
      <c r="HMD29" s="371"/>
      <c r="HME29" s="371"/>
      <c r="HMF29" s="371"/>
      <c r="HMG29" s="371"/>
      <c r="HMH29" s="371"/>
      <c r="HMI29" s="371"/>
      <c r="HMJ29" s="371"/>
      <c r="HMK29" s="371"/>
      <c r="HML29" s="371"/>
      <c r="HMM29" s="371"/>
      <c r="HMN29" s="371"/>
      <c r="HMO29" s="382"/>
      <c r="HMS29" s="371"/>
      <c r="HMT29" s="371"/>
      <c r="HMU29" s="371"/>
      <c r="HMV29" s="371"/>
      <c r="HMW29" s="371"/>
      <c r="HMX29" s="371"/>
      <c r="HMY29" s="371"/>
      <c r="HMZ29" s="371"/>
      <c r="HNA29" s="371"/>
      <c r="HNB29" s="371"/>
      <c r="HNC29" s="371"/>
      <c r="HND29" s="371"/>
      <c r="HNE29" s="371"/>
      <c r="HNF29" s="371"/>
      <c r="HNG29" s="371"/>
      <c r="HNH29" s="371"/>
      <c r="HNI29" s="371"/>
      <c r="HNJ29" s="371"/>
      <c r="HNK29" s="371"/>
      <c r="HNL29" s="371"/>
      <c r="HNM29" s="371"/>
      <c r="HNN29" s="371"/>
      <c r="HNO29" s="371"/>
      <c r="HNP29" s="371"/>
      <c r="HNQ29" s="371"/>
      <c r="HNR29" s="371"/>
      <c r="HNS29" s="382"/>
      <c r="HNW29" s="371"/>
      <c r="HNX29" s="371"/>
      <c r="HNY29" s="371"/>
      <c r="HNZ29" s="371"/>
      <c r="HOA29" s="371"/>
      <c r="HOB29" s="371"/>
      <c r="HOC29" s="371"/>
      <c r="HOD29" s="371"/>
      <c r="HOE29" s="371"/>
      <c r="HOF29" s="371"/>
      <c r="HOG29" s="371"/>
      <c r="HOH29" s="371"/>
      <c r="HOI29" s="371"/>
      <c r="HOJ29" s="371"/>
      <c r="HOK29" s="371"/>
      <c r="HOL29" s="371"/>
      <c r="HOM29" s="371"/>
      <c r="HON29" s="371"/>
      <c r="HOO29" s="371"/>
      <c r="HOP29" s="371"/>
      <c r="HOQ29" s="371"/>
      <c r="HOR29" s="371"/>
      <c r="HOS29" s="371"/>
      <c r="HOT29" s="371"/>
      <c r="HOU29" s="371"/>
      <c r="HOV29" s="371"/>
      <c r="HOW29" s="382"/>
      <c r="HPA29" s="371"/>
      <c r="HPB29" s="371"/>
      <c r="HPC29" s="371"/>
      <c r="HPD29" s="371"/>
      <c r="HPE29" s="371"/>
      <c r="HPF29" s="371"/>
      <c r="HPG29" s="371"/>
      <c r="HPH29" s="371"/>
      <c r="HPI29" s="371"/>
      <c r="HPJ29" s="371"/>
      <c r="HPK29" s="371"/>
      <c r="HPL29" s="371"/>
      <c r="HPM29" s="371"/>
      <c r="HPN29" s="371"/>
      <c r="HPO29" s="371"/>
      <c r="HPP29" s="371"/>
      <c r="HPQ29" s="371"/>
      <c r="HPR29" s="371"/>
      <c r="HPS29" s="371"/>
      <c r="HPT29" s="371"/>
      <c r="HPU29" s="371"/>
      <c r="HPV29" s="371"/>
      <c r="HPW29" s="371"/>
      <c r="HPX29" s="371"/>
      <c r="HPY29" s="371"/>
      <c r="HPZ29" s="371"/>
      <c r="HQA29" s="382"/>
      <c r="HQE29" s="371"/>
      <c r="HQF29" s="371"/>
      <c r="HQG29" s="371"/>
      <c r="HQH29" s="371"/>
      <c r="HQI29" s="371"/>
      <c r="HQJ29" s="371"/>
      <c r="HQK29" s="371"/>
      <c r="HQL29" s="371"/>
      <c r="HQM29" s="371"/>
      <c r="HQN29" s="371"/>
      <c r="HQO29" s="371"/>
      <c r="HQP29" s="371"/>
      <c r="HQQ29" s="371"/>
      <c r="HQR29" s="371"/>
      <c r="HQS29" s="371"/>
      <c r="HQT29" s="371"/>
      <c r="HQU29" s="371"/>
      <c r="HQV29" s="371"/>
      <c r="HQW29" s="371"/>
      <c r="HQX29" s="371"/>
      <c r="HQY29" s="371"/>
      <c r="HQZ29" s="371"/>
      <c r="HRA29" s="371"/>
      <c r="HRB29" s="371"/>
      <c r="HRC29" s="371"/>
      <c r="HRD29" s="371"/>
      <c r="HRE29" s="382"/>
      <c r="HRI29" s="371"/>
      <c r="HRJ29" s="371"/>
      <c r="HRK29" s="371"/>
      <c r="HRL29" s="371"/>
      <c r="HRM29" s="371"/>
      <c r="HRN29" s="371"/>
      <c r="HRO29" s="371"/>
      <c r="HRP29" s="371"/>
      <c r="HRQ29" s="371"/>
      <c r="HRR29" s="371"/>
      <c r="HRS29" s="371"/>
      <c r="HRT29" s="371"/>
      <c r="HRU29" s="371"/>
      <c r="HRV29" s="371"/>
      <c r="HRW29" s="371"/>
      <c r="HRX29" s="371"/>
      <c r="HRY29" s="371"/>
      <c r="HRZ29" s="371"/>
      <c r="HSA29" s="371"/>
      <c r="HSB29" s="371"/>
      <c r="HSC29" s="371"/>
      <c r="HSD29" s="371"/>
      <c r="HSE29" s="371"/>
      <c r="HSF29" s="371"/>
      <c r="HSG29" s="371"/>
      <c r="HSH29" s="371"/>
      <c r="HSI29" s="382"/>
      <c r="HSM29" s="371"/>
      <c r="HSN29" s="371"/>
      <c r="HSO29" s="371"/>
      <c r="HSP29" s="371"/>
      <c r="HSQ29" s="371"/>
      <c r="HSR29" s="371"/>
      <c r="HSS29" s="371"/>
      <c r="HST29" s="371"/>
      <c r="HSU29" s="371"/>
      <c r="HSV29" s="371"/>
      <c r="HSW29" s="371"/>
      <c r="HSX29" s="371"/>
      <c r="HSY29" s="371"/>
      <c r="HSZ29" s="371"/>
      <c r="HTA29" s="371"/>
      <c r="HTB29" s="371"/>
      <c r="HTC29" s="371"/>
      <c r="HTD29" s="371"/>
      <c r="HTE29" s="371"/>
      <c r="HTF29" s="371"/>
      <c r="HTG29" s="371"/>
      <c r="HTH29" s="371"/>
      <c r="HTI29" s="371"/>
      <c r="HTJ29" s="371"/>
      <c r="HTK29" s="371"/>
      <c r="HTL29" s="371"/>
      <c r="HTM29" s="382"/>
      <c r="HTQ29" s="371"/>
      <c r="HTR29" s="371"/>
      <c r="HTS29" s="371"/>
      <c r="HTT29" s="371"/>
      <c r="HTU29" s="371"/>
      <c r="HTV29" s="371"/>
      <c r="HTW29" s="371"/>
      <c r="HTX29" s="371"/>
      <c r="HTY29" s="371"/>
      <c r="HTZ29" s="371"/>
      <c r="HUA29" s="371"/>
      <c r="HUB29" s="371"/>
      <c r="HUC29" s="371"/>
      <c r="HUD29" s="371"/>
      <c r="HUE29" s="371"/>
      <c r="HUF29" s="371"/>
      <c r="HUG29" s="371"/>
      <c r="HUH29" s="371"/>
      <c r="HUI29" s="371"/>
      <c r="HUJ29" s="371"/>
      <c r="HUK29" s="371"/>
      <c r="HUL29" s="371"/>
      <c r="HUM29" s="371"/>
      <c r="HUN29" s="371"/>
      <c r="HUO29" s="371"/>
      <c r="HUP29" s="371"/>
      <c r="HUQ29" s="382"/>
      <c r="HUU29" s="371"/>
      <c r="HUV29" s="371"/>
      <c r="HUW29" s="371"/>
      <c r="HUX29" s="371"/>
      <c r="HUY29" s="371"/>
      <c r="HUZ29" s="371"/>
      <c r="HVA29" s="371"/>
      <c r="HVB29" s="371"/>
      <c r="HVC29" s="371"/>
      <c r="HVD29" s="371"/>
      <c r="HVE29" s="371"/>
      <c r="HVF29" s="371"/>
      <c r="HVG29" s="371"/>
      <c r="HVH29" s="371"/>
      <c r="HVI29" s="371"/>
      <c r="HVJ29" s="371"/>
      <c r="HVK29" s="371"/>
      <c r="HVL29" s="371"/>
      <c r="HVM29" s="371"/>
      <c r="HVN29" s="371"/>
      <c r="HVO29" s="371"/>
      <c r="HVP29" s="371"/>
      <c r="HVQ29" s="371"/>
      <c r="HVR29" s="371"/>
      <c r="HVS29" s="371"/>
      <c r="HVT29" s="371"/>
      <c r="HVU29" s="382"/>
      <c r="HVY29" s="371"/>
      <c r="HVZ29" s="371"/>
      <c r="HWA29" s="371"/>
      <c r="HWB29" s="371"/>
      <c r="HWC29" s="371"/>
      <c r="HWD29" s="371"/>
      <c r="HWE29" s="371"/>
      <c r="HWF29" s="371"/>
      <c r="HWG29" s="371"/>
      <c r="HWH29" s="371"/>
      <c r="HWI29" s="371"/>
      <c r="HWJ29" s="371"/>
      <c r="HWK29" s="371"/>
      <c r="HWL29" s="371"/>
      <c r="HWM29" s="371"/>
      <c r="HWN29" s="371"/>
      <c r="HWO29" s="371"/>
      <c r="HWP29" s="371"/>
      <c r="HWQ29" s="371"/>
      <c r="HWR29" s="371"/>
      <c r="HWS29" s="371"/>
      <c r="HWT29" s="371"/>
      <c r="HWU29" s="371"/>
      <c r="HWV29" s="371"/>
      <c r="HWW29" s="371"/>
      <c r="HWX29" s="371"/>
      <c r="HWY29" s="382"/>
      <c r="HXC29" s="371"/>
      <c r="HXD29" s="371"/>
      <c r="HXE29" s="371"/>
      <c r="HXF29" s="371"/>
      <c r="HXG29" s="371"/>
      <c r="HXH29" s="371"/>
      <c r="HXI29" s="371"/>
      <c r="HXJ29" s="371"/>
      <c r="HXK29" s="371"/>
      <c r="HXL29" s="371"/>
      <c r="HXM29" s="371"/>
      <c r="HXN29" s="371"/>
      <c r="HXO29" s="371"/>
      <c r="HXP29" s="371"/>
      <c r="HXQ29" s="371"/>
      <c r="HXR29" s="371"/>
      <c r="HXS29" s="371"/>
      <c r="HXT29" s="371"/>
      <c r="HXU29" s="371"/>
      <c r="HXV29" s="371"/>
      <c r="HXW29" s="371"/>
      <c r="HXX29" s="371"/>
      <c r="HXY29" s="371"/>
      <c r="HXZ29" s="371"/>
      <c r="HYA29" s="371"/>
      <c r="HYB29" s="371"/>
      <c r="HYC29" s="382"/>
      <c r="HYG29" s="371"/>
      <c r="HYH29" s="371"/>
      <c r="HYI29" s="371"/>
      <c r="HYJ29" s="371"/>
      <c r="HYK29" s="371"/>
      <c r="HYL29" s="371"/>
      <c r="HYM29" s="371"/>
      <c r="HYN29" s="371"/>
      <c r="HYO29" s="371"/>
      <c r="HYP29" s="371"/>
      <c r="HYQ29" s="371"/>
      <c r="HYR29" s="371"/>
      <c r="HYS29" s="371"/>
      <c r="HYT29" s="371"/>
      <c r="HYU29" s="371"/>
      <c r="HYV29" s="371"/>
      <c r="HYW29" s="371"/>
      <c r="HYX29" s="371"/>
      <c r="HYY29" s="371"/>
      <c r="HYZ29" s="371"/>
      <c r="HZA29" s="371"/>
      <c r="HZB29" s="371"/>
      <c r="HZC29" s="371"/>
      <c r="HZD29" s="371"/>
      <c r="HZE29" s="371"/>
      <c r="HZF29" s="371"/>
      <c r="HZG29" s="382"/>
      <c r="HZK29" s="371"/>
      <c r="HZL29" s="371"/>
      <c r="HZM29" s="371"/>
      <c r="HZN29" s="371"/>
      <c r="HZO29" s="371"/>
      <c r="HZP29" s="371"/>
      <c r="HZQ29" s="371"/>
      <c r="HZR29" s="371"/>
      <c r="HZS29" s="371"/>
      <c r="HZT29" s="371"/>
      <c r="HZU29" s="371"/>
      <c r="HZV29" s="371"/>
      <c r="HZW29" s="371"/>
      <c r="HZX29" s="371"/>
      <c r="HZY29" s="371"/>
      <c r="HZZ29" s="371"/>
      <c r="IAA29" s="371"/>
      <c r="IAB29" s="371"/>
      <c r="IAC29" s="371"/>
      <c r="IAD29" s="371"/>
      <c r="IAE29" s="371"/>
      <c r="IAF29" s="371"/>
      <c r="IAG29" s="371"/>
      <c r="IAH29" s="371"/>
      <c r="IAI29" s="371"/>
      <c r="IAJ29" s="371"/>
      <c r="IAK29" s="382"/>
      <c r="IAO29" s="371"/>
      <c r="IAP29" s="371"/>
      <c r="IAQ29" s="371"/>
      <c r="IAR29" s="371"/>
      <c r="IAS29" s="371"/>
      <c r="IAT29" s="371"/>
      <c r="IAU29" s="371"/>
      <c r="IAV29" s="371"/>
      <c r="IAW29" s="371"/>
      <c r="IAX29" s="371"/>
      <c r="IAY29" s="371"/>
      <c r="IAZ29" s="371"/>
      <c r="IBA29" s="371"/>
      <c r="IBB29" s="371"/>
      <c r="IBC29" s="371"/>
      <c r="IBD29" s="371"/>
      <c r="IBE29" s="371"/>
      <c r="IBF29" s="371"/>
      <c r="IBG29" s="371"/>
      <c r="IBH29" s="371"/>
      <c r="IBI29" s="371"/>
      <c r="IBJ29" s="371"/>
      <c r="IBK29" s="371"/>
      <c r="IBL29" s="371"/>
      <c r="IBM29" s="371"/>
      <c r="IBN29" s="371"/>
      <c r="IBO29" s="382"/>
      <c r="IBS29" s="371"/>
      <c r="IBT29" s="371"/>
      <c r="IBU29" s="371"/>
      <c r="IBV29" s="371"/>
      <c r="IBW29" s="371"/>
      <c r="IBX29" s="371"/>
      <c r="IBY29" s="371"/>
      <c r="IBZ29" s="371"/>
      <c r="ICA29" s="371"/>
      <c r="ICB29" s="371"/>
      <c r="ICC29" s="371"/>
      <c r="ICD29" s="371"/>
      <c r="ICE29" s="371"/>
      <c r="ICF29" s="371"/>
      <c r="ICG29" s="371"/>
      <c r="ICH29" s="371"/>
      <c r="ICI29" s="371"/>
      <c r="ICJ29" s="371"/>
      <c r="ICK29" s="371"/>
      <c r="ICL29" s="371"/>
      <c r="ICM29" s="371"/>
      <c r="ICN29" s="371"/>
      <c r="ICO29" s="371"/>
      <c r="ICP29" s="371"/>
      <c r="ICQ29" s="371"/>
      <c r="ICR29" s="371"/>
      <c r="ICS29" s="382"/>
      <c r="ICW29" s="371"/>
      <c r="ICX29" s="371"/>
      <c r="ICY29" s="371"/>
      <c r="ICZ29" s="371"/>
      <c r="IDA29" s="371"/>
      <c r="IDB29" s="371"/>
      <c r="IDC29" s="371"/>
      <c r="IDD29" s="371"/>
      <c r="IDE29" s="371"/>
      <c r="IDF29" s="371"/>
      <c r="IDG29" s="371"/>
      <c r="IDH29" s="371"/>
      <c r="IDI29" s="371"/>
      <c r="IDJ29" s="371"/>
      <c r="IDK29" s="371"/>
      <c r="IDL29" s="371"/>
      <c r="IDM29" s="371"/>
      <c r="IDN29" s="371"/>
      <c r="IDO29" s="371"/>
      <c r="IDP29" s="371"/>
      <c r="IDQ29" s="371"/>
      <c r="IDR29" s="371"/>
      <c r="IDS29" s="371"/>
      <c r="IDT29" s="371"/>
      <c r="IDU29" s="371"/>
      <c r="IDV29" s="371"/>
      <c r="IDW29" s="382"/>
      <c r="IEA29" s="371"/>
      <c r="IEB29" s="371"/>
      <c r="IEC29" s="371"/>
      <c r="IED29" s="371"/>
      <c r="IEE29" s="371"/>
      <c r="IEF29" s="371"/>
      <c r="IEG29" s="371"/>
      <c r="IEH29" s="371"/>
      <c r="IEI29" s="371"/>
      <c r="IEJ29" s="371"/>
      <c r="IEK29" s="371"/>
      <c r="IEL29" s="371"/>
      <c r="IEM29" s="371"/>
      <c r="IEN29" s="371"/>
      <c r="IEO29" s="371"/>
      <c r="IEP29" s="371"/>
      <c r="IEQ29" s="371"/>
      <c r="IER29" s="371"/>
      <c r="IES29" s="371"/>
      <c r="IET29" s="371"/>
      <c r="IEU29" s="371"/>
      <c r="IEV29" s="371"/>
      <c r="IEW29" s="371"/>
      <c r="IEX29" s="371"/>
      <c r="IEY29" s="371"/>
      <c r="IEZ29" s="371"/>
      <c r="IFA29" s="382"/>
      <c r="IFE29" s="371"/>
      <c r="IFF29" s="371"/>
      <c r="IFG29" s="371"/>
      <c r="IFH29" s="371"/>
      <c r="IFI29" s="371"/>
      <c r="IFJ29" s="371"/>
      <c r="IFK29" s="371"/>
      <c r="IFL29" s="371"/>
      <c r="IFM29" s="371"/>
      <c r="IFN29" s="371"/>
      <c r="IFO29" s="371"/>
      <c r="IFP29" s="371"/>
      <c r="IFQ29" s="371"/>
      <c r="IFR29" s="371"/>
      <c r="IFS29" s="371"/>
      <c r="IFT29" s="371"/>
      <c r="IFU29" s="371"/>
      <c r="IFV29" s="371"/>
      <c r="IFW29" s="371"/>
      <c r="IFX29" s="371"/>
      <c r="IFY29" s="371"/>
      <c r="IFZ29" s="371"/>
      <c r="IGA29" s="371"/>
      <c r="IGB29" s="371"/>
      <c r="IGC29" s="371"/>
      <c r="IGD29" s="371"/>
      <c r="IGE29" s="382"/>
      <c r="IGI29" s="371"/>
      <c r="IGJ29" s="371"/>
      <c r="IGK29" s="371"/>
      <c r="IGL29" s="371"/>
      <c r="IGM29" s="371"/>
      <c r="IGN29" s="371"/>
      <c r="IGO29" s="371"/>
      <c r="IGP29" s="371"/>
      <c r="IGQ29" s="371"/>
      <c r="IGR29" s="371"/>
      <c r="IGS29" s="371"/>
      <c r="IGT29" s="371"/>
      <c r="IGU29" s="371"/>
      <c r="IGV29" s="371"/>
      <c r="IGW29" s="371"/>
      <c r="IGX29" s="371"/>
      <c r="IGY29" s="371"/>
      <c r="IGZ29" s="371"/>
      <c r="IHA29" s="371"/>
      <c r="IHB29" s="371"/>
      <c r="IHC29" s="371"/>
      <c r="IHD29" s="371"/>
      <c r="IHE29" s="371"/>
      <c r="IHF29" s="371"/>
      <c r="IHG29" s="371"/>
      <c r="IHH29" s="371"/>
      <c r="IHI29" s="382"/>
      <c r="IHM29" s="371"/>
      <c r="IHN29" s="371"/>
      <c r="IHO29" s="371"/>
      <c r="IHP29" s="371"/>
      <c r="IHQ29" s="371"/>
      <c r="IHR29" s="371"/>
      <c r="IHS29" s="371"/>
      <c r="IHT29" s="371"/>
      <c r="IHU29" s="371"/>
      <c r="IHV29" s="371"/>
      <c r="IHW29" s="371"/>
      <c r="IHX29" s="371"/>
      <c r="IHY29" s="371"/>
      <c r="IHZ29" s="371"/>
      <c r="IIA29" s="371"/>
      <c r="IIB29" s="371"/>
      <c r="IIC29" s="371"/>
      <c r="IID29" s="371"/>
      <c r="IIE29" s="371"/>
      <c r="IIF29" s="371"/>
      <c r="IIG29" s="371"/>
      <c r="IIH29" s="371"/>
      <c r="III29" s="371"/>
      <c r="IIJ29" s="371"/>
      <c r="IIK29" s="371"/>
      <c r="IIL29" s="371"/>
      <c r="IIM29" s="382"/>
      <c r="IIQ29" s="371"/>
      <c r="IIR29" s="371"/>
      <c r="IIS29" s="371"/>
      <c r="IIT29" s="371"/>
      <c r="IIU29" s="371"/>
      <c r="IIV29" s="371"/>
      <c r="IIW29" s="371"/>
      <c r="IIX29" s="371"/>
      <c r="IIY29" s="371"/>
      <c r="IIZ29" s="371"/>
      <c r="IJA29" s="371"/>
      <c r="IJB29" s="371"/>
      <c r="IJC29" s="371"/>
      <c r="IJD29" s="371"/>
      <c r="IJE29" s="371"/>
      <c r="IJF29" s="371"/>
      <c r="IJG29" s="371"/>
      <c r="IJH29" s="371"/>
      <c r="IJI29" s="371"/>
      <c r="IJJ29" s="371"/>
      <c r="IJK29" s="371"/>
      <c r="IJL29" s="371"/>
      <c r="IJM29" s="371"/>
      <c r="IJN29" s="371"/>
      <c r="IJO29" s="371"/>
      <c r="IJP29" s="371"/>
      <c r="IJQ29" s="382"/>
      <c r="IJU29" s="371"/>
      <c r="IJV29" s="371"/>
      <c r="IJW29" s="371"/>
      <c r="IJX29" s="371"/>
      <c r="IJY29" s="371"/>
      <c r="IJZ29" s="371"/>
      <c r="IKA29" s="371"/>
      <c r="IKB29" s="371"/>
      <c r="IKC29" s="371"/>
      <c r="IKD29" s="371"/>
      <c r="IKE29" s="371"/>
      <c r="IKF29" s="371"/>
      <c r="IKG29" s="371"/>
      <c r="IKH29" s="371"/>
      <c r="IKI29" s="371"/>
      <c r="IKJ29" s="371"/>
      <c r="IKK29" s="371"/>
      <c r="IKL29" s="371"/>
      <c r="IKM29" s="371"/>
      <c r="IKN29" s="371"/>
      <c r="IKO29" s="371"/>
      <c r="IKP29" s="371"/>
      <c r="IKQ29" s="371"/>
      <c r="IKR29" s="371"/>
      <c r="IKS29" s="371"/>
      <c r="IKT29" s="371"/>
      <c r="IKU29" s="382"/>
      <c r="IKY29" s="371"/>
      <c r="IKZ29" s="371"/>
      <c r="ILA29" s="371"/>
      <c r="ILB29" s="371"/>
      <c r="ILC29" s="371"/>
      <c r="ILD29" s="371"/>
      <c r="ILE29" s="371"/>
      <c r="ILF29" s="371"/>
      <c r="ILG29" s="371"/>
      <c r="ILH29" s="371"/>
      <c r="ILI29" s="371"/>
      <c r="ILJ29" s="371"/>
      <c r="ILK29" s="371"/>
      <c r="ILL29" s="371"/>
      <c r="ILM29" s="371"/>
      <c r="ILN29" s="371"/>
      <c r="ILO29" s="371"/>
      <c r="ILP29" s="371"/>
      <c r="ILQ29" s="371"/>
      <c r="ILR29" s="371"/>
      <c r="ILS29" s="371"/>
      <c r="ILT29" s="371"/>
      <c r="ILU29" s="371"/>
      <c r="ILV29" s="371"/>
      <c r="ILW29" s="371"/>
      <c r="ILX29" s="371"/>
      <c r="ILY29" s="382"/>
      <c r="IMC29" s="371"/>
      <c r="IMD29" s="371"/>
      <c r="IME29" s="371"/>
      <c r="IMF29" s="371"/>
      <c r="IMG29" s="371"/>
      <c r="IMH29" s="371"/>
      <c r="IMI29" s="371"/>
      <c r="IMJ29" s="371"/>
      <c r="IMK29" s="371"/>
      <c r="IML29" s="371"/>
      <c r="IMM29" s="371"/>
      <c r="IMN29" s="371"/>
      <c r="IMO29" s="371"/>
      <c r="IMP29" s="371"/>
      <c r="IMQ29" s="371"/>
      <c r="IMR29" s="371"/>
      <c r="IMS29" s="371"/>
      <c r="IMT29" s="371"/>
      <c r="IMU29" s="371"/>
      <c r="IMV29" s="371"/>
      <c r="IMW29" s="371"/>
      <c r="IMX29" s="371"/>
      <c r="IMY29" s="371"/>
      <c r="IMZ29" s="371"/>
      <c r="INA29" s="371"/>
      <c r="INB29" s="371"/>
      <c r="INC29" s="382"/>
      <c r="ING29" s="371"/>
      <c r="INH29" s="371"/>
      <c r="INI29" s="371"/>
      <c r="INJ29" s="371"/>
      <c r="INK29" s="371"/>
      <c r="INL29" s="371"/>
      <c r="INM29" s="371"/>
      <c r="INN29" s="371"/>
      <c r="INO29" s="371"/>
      <c r="INP29" s="371"/>
      <c r="INQ29" s="371"/>
      <c r="INR29" s="371"/>
      <c r="INS29" s="371"/>
      <c r="INT29" s="371"/>
      <c r="INU29" s="371"/>
      <c r="INV29" s="371"/>
      <c r="INW29" s="371"/>
      <c r="INX29" s="371"/>
      <c r="INY29" s="371"/>
      <c r="INZ29" s="371"/>
      <c r="IOA29" s="371"/>
      <c r="IOB29" s="371"/>
      <c r="IOC29" s="371"/>
      <c r="IOD29" s="371"/>
      <c r="IOE29" s="371"/>
      <c r="IOF29" s="371"/>
      <c r="IOG29" s="382"/>
      <c r="IOK29" s="371"/>
      <c r="IOL29" s="371"/>
      <c r="IOM29" s="371"/>
      <c r="ION29" s="371"/>
      <c r="IOO29" s="371"/>
      <c r="IOP29" s="371"/>
      <c r="IOQ29" s="371"/>
      <c r="IOR29" s="371"/>
      <c r="IOS29" s="371"/>
      <c r="IOT29" s="371"/>
      <c r="IOU29" s="371"/>
      <c r="IOV29" s="371"/>
      <c r="IOW29" s="371"/>
      <c r="IOX29" s="371"/>
      <c r="IOY29" s="371"/>
      <c r="IOZ29" s="371"/>
      <c r="IPA29" s="371"/>
      <c r="IPB29" s="371"/>
      <c r="IPC29" s="371"/>
      <c r="IPD29" s="371"/>
      <c r="IPE29" s="371"/>
      <c r="IPF29" s="371"/>
      <c r="IPG29" s="371"/>
      <c r="IPH29" s="371"/>
      <c r="IPI29" s="371"/>
      <c r="IPJ29" s="371"/>
      <c r="IPK29" s="382"/>
      <c r="IPO29" s="371"/>
      <c r="IPP29" s="371"/>
      <c r="IPQ29" s="371"/>
      <c r="IPR29" s="371"/>
      <c r="IPS29" s="371"/>
      <c r="IPT29" s="371"/>
      <c r="IPU29" s="371"/>
      <c r="IPV29" s="371"/>
      <c r="IPW29" s="371"/>
      <c r="IPX29" s="371"/>
      <c r="IPY29" s="371"/>
      <c r="IPZ29" s="371"/>
      <c r="IQA29" s="371"/>
      <c r="IQB29" s="371"/>
      <c r="IQC29" s="371"/>
      <c r="IQD29" s="371"/>
      <c r="IQE29" s="371"/>
      <c r="IQF29" s="371"/>
      <c r="IQG29" s="371"/>
      <c r="IQH29" s="371"/>
      <c r="IQI29" s="371"/>
      <c r="IQJ29" s="371"/>
      <c r="IQK29" s="371"/>
      <c r="IQL29" s="371"/>
      <c r="IQM29" s="371"/>
      <c r="IQN29" s="371"/>
      <c r="IQO29" s="382"/>
      <c r="IQS29" s="371"/>
      <c r="IQT29" s="371"/>
      <c r="IQU29" s="371"/>
      <c r="IQV29" s="371"/>
      <c r="IQW29" s="371"/>
      <c r="IQX29" s="371"/>
      <c r="IQY29" s="371"/>
      <c r="IQZ29" s="371"/>
      <c r="IRA29" s="371"/>
      <c r="IRB29" s="371"/>
      <c r="IRC29" s="371"/>
      <c r="IRD29" s="371"/>
      <c r="IRE29" s="371"/>
      <c r="IRF29" s="371"/>
      <c r="IRG29" s="371"/>
      <c r="IRH29" s="371"/>
      <c r="IRI29" s="371"/>
      <c r="IRJ29" s="371"/>
      <c r="IRK29" s="371"/>
      <c r="IRL29" s="371"/>
      <c r="IRM29" s="371"/>
      <c r="IRN29" s="371"/>
      <c r="IRO29" s="371"/>
      <c r="IRP29" s="371"/>
      <c r="IRQ29" s="371"/>
      <c r="IRR29" s="371"/>
      <c r="IRS29" s="382"/>
      <c r="IRW29" s="371"/>
      <c r="IRX29" s="371"/>
      <c r="IRY29" s="371"/>
      <c r="IRZ29" s="371"/>
      <c r="ISA29" s="371"/>
      <c r="ISB29" s="371"/>
      <c r="ISC29" s="371"/>
      <c r="ISD29" s="371"/>
      <c r="ISE29" s="371"/>
      <c r="ISF29" s="371"/>
      <c r="ISG29" s="371"/>
      <c r="ISH29" s="371"/>
      <c r="ISI29" s="371"/>
      <c r="ISJ29" s="371"/>
      <c r="ISK29" s="371"/>
      <c r="ISL29" s="371"/>
      <c r="ISM29" s="371"/>
      <c r="ISN29" s="371"/>
      <c r="ISO29" s="371"/>
      <c r="ISP29" s="371"/>
      <c r="ISQ29" s="371"/>
      <c r="ISR29" s="371"/>
      <c r="ISS29" s="371"/>
      <c r="IST29" s="371"/>
      <c r="ISU29" s="371"/>
      <c r="ISV29" s="371"/>
      <c r="ISW29" s="382"/>
      <c r="ITA29" s="371"/>
      <c r="ITB29" s="371"/>
      <c r="ITC29" s="371"/>
      <c r="ITD29" s="371"/>
      <c r="ITE29" s="371"/>
      <c r="ITF29" s="371"/>
      <c r="ITG29" s="371"/>
      <c r="ITH29" s="371"/>
      <c r="ITI29" s="371"/>
      <c r="ITJ29" s="371"/>
      <c r="ITK29" s="371"/>
      <c r="ITL29" s="371"/>
      <c r="ITM29" s="371"/>
      <c r="ITN29" s="371"/>
      <c r="ITO29" s="371"/>
      <c r="ITP29" s="371"/>
      <c r="ITQ29" s="371"/>
      <c r="ITR29" s="371"/>
      <c r="ITS29" s="371"/>
      <c r="ITT29" s="371"/>
      <c r="ITU29" s="371"/>
      <c r="ITV29" s="371"/>
      <c r="ITW29" s="371"/>
      <c r="ITX29" s="371"/>
      <c r="ITY29" s="371"/>
      <c r="ITZ29" s="371"/>
      <c r="IUA29" s="382"/>
      <c r="IUE29" s="371"/>
      <c r="IUF29" s="371"/>
      <c r="IUG29" s="371"/>
      <c r="IUH29" s="371"/>
      <c r="IUI29" s="371"/>
      <c r="IUJ29" s="371"/>
      <c r="IUK29" s="371"/>
      <c r="IUL29" s="371"/>
      <c r="IUM29" s="371"/>
      <c r="IUN29" s="371"/>
      <c r="IUO29" s="371"/>
      <c r="IUP29" s="371"/>
      <c r="IUQ29" s="371"/>
      <c r="IUR29" s="371"/>
      <c r="IUS29" s="371"/>
      <c r="IUT29" s="371"/>
      <c r="IUU29" s="371"/>
      <c r="IUV29" s="371"/>
      <c r="IUW29" s="371"/>
      <c r="IUX29" s="371"/>
      <c r="IUY29" s="371"/>
      <c r="IUZ29" s="371"/>
      <c r="IVA29" s="371"/>
      <c r="IVB29" s="371"/>
      <c r="IVC29" s="371"/>
      <c r="IVD29" s="371"/>
      <c r="IVE29" s="382"/>
      <c r="IVI29" s="371"/>
      <c r="IVJ29" s="371"/>
      <c r="IVK29" s="371"/>
      <c r="IVL29" s="371"/>
      <c r="IVM29" s="371"/>
      <c r="IVN29" s="371"/>
      <c r="IVO29" s="371"/>
      <c r="IVP29" s="371"/>
      <c r="IVQ29" s="371"/>
      <c r="IVR29" s="371"/>
      <c r="IVS29" s="371"/>
      <c r="IVT29" s="371"/>
      <c r="IVU29" s="371"/>
      <c r="IVV29" s="371"/>
      <c r="IVW29" s="371"/>
      <c r="IVX29" s="371"/>
      <c r="IVY29" s="371"/>
      <c r="IVZ29" s="371"/>
      <c r="IWA29" s="371"/>
      <c r="IWB29" s="371"/>
      <c r="IWC29" s="371"/>
      <c r="IWD29" s="371"/>
      <c r="IWE29" s="371"/>
      <c r="IWF29" s="371"/>
      <c r="IWG29" s="371"/>
      <c r="IWH29" s="371"/>
      <c r="IWI29" s="382"/>
      <c r="IWM29" s="371"/>
      <c r="IWN29" s="371"/>
      <c r="IWO29" s="371"/>
      <c r="IWP29" s="371"/>
      <c r="IWQ29" s="371"/>
      <c r="IWR29" s="371"/>
      <c r="IWS29" s="371"/>
      <c r="IWT29" s="371"/>
      <c r="IWU29" s="371"/>
      <c r="IWV29" s="371"/>
      <c r="IWW29" s="371"/>
      <c r="IWX29" s="371"/>
      <c r="IWY29" s="371"/>
      <c r="IWZ29" s="371"/>
      <c r="IXA29" s="371"/>
      <c r="IXB29" s="371"/>
      <c r="IXC29" s="371"/>
      <c r="IXD29" s="371"/>
      <c r="IXE29" s="371"/>
      <c r="IXF29" s="371"/>
      <c r="IXG29" s="371"/>
      <c r="IXH29" s="371"/>
      <c r="IXI29" s="371"/>
      <c r="IXJ29" s="371"/>
      <c r="IXK29" s="371"/>
      <c r="IXL29" s="371"/>
      <c r="IXM29" s="382"/>
      <c r="IXQ29" s="371"/>
      <c r="IXR29" s="371"/>
      <c r="IXS29" s="371"/>
      <c r="IXT29" s="371"/>
      <c r="IXU29" s="371"/>
      <c r="IXV29" s="371"/>
      <c r="IXW29" s="371"/>
      <c r="IXX29" s="371"/>
      <c r="IXY29" s="371"/>
      <c r="IXZ29" s="371"/>
      <c r="IYA29" s="371"/>
      <c r="IYB29" s="371"/>
      <c r="IYC29" s="371"/>
      <c r="IYD29" s="371"/>
      <c r="IYE29" s="371"/>
      <c r="IYF29" s="371"/>
      <c r="IYG29" s="371"/>
      <c r="IYH29" s="371"/>
      <c r="IYI29" s="371"/>
      <c r="IYJ29" s="371"/>
      <c r="IYK29" s="371"/>
      <c r="IYL29" s="371"/>
      <c r="IYM29" s="371"/>
      <c r="IYN29" s="371"/>
      <c r="IYO29" s="371"/>
      <c r="IYP29" s="371"/>
      <c r="IYQ29" s="382"/>
      <c r="IYU29" s="371"/>
      <c r="IYV29" s="371"/>
      <c r="IYW29" s="371"/>
      <c r="IYX29" s="371"/>
      <c r="IYY29" s="371"/>
      <c r="IYZ29" s="371"/>
      <c r="IZA29" s="371"/>
      <c r="IZB29" s="371"/>
      <c r="IZC29" s="371"/>
      <c r="IZD29" s="371"/>
      <c r="IZE29" s="371"/>
      <c r="IZF29" s="371"/>
      <c r="IZG29" s="371"/>
      <c r="IZH29" s="371"/>
      <c r="IZI29" s="371"/>
      <c r="IZJ29" s="371"/>
      <c r="IZK29" s="371"/>
      <c r="IZL29" s="371"/>
      <c r="IZM29" s="371"/>
      <c r="IZN29" s="371"/>
      <c r="IZO29" s="371"/>
      <c r="IZP29" s="371"/>
      <c r="IZQ29" s="371"/>
      <c r="IZR29" s="371"/>
      <c r="IZS29" s="371"/>
      <c r="IZT29" s="371"/>
      <c r="IZU29" s="382"/>
      <c r="IZY29" s="371"/>
      <c r="IZZ29" s="371"/>
      <c r="JAA29" s="371"/>
      <c r="JAB29" s="371"/>
      <c r="JAC29" s="371"/>
      <c r="JAD29" s="371"/>
      <c r="JAE29" s="371"/>
      <c r="JAF29" s="371"/>
      <c r="JAG29" s="371"/>
      <c r="JAH29" s="371"/>
      <c r="JAI29" s="371"/>
      <c r="JAJ29" s="371"/>
      <c r="JAK29" s="371"/>
      <c r="JAL29" s="371"/>
      <c r="JAM29" s="371"/>
      <c r="JAN29" s="371"/>
      <c r="JAO29" s="371"/>
      <c r="JAP29" s="371"/>
      <c r="JAQ29" s="371"/>
      <c r="JAR29" s="371"/>
      <c r="JAS29" s="371"/>
      <c r="JAT29" s="371"/>
      <c r="JAU29" s="371"/>
      <c r="JAV29" s="371"/>
      <c r="JAW29" s="371"/>
      <c r="JAX29" s="371"/>
      <c r="JAY29" s="382"/>
      <c r="JBC29" s="371"/>
      <c r="JBD29" s="371"/>
      <c r="JBE29" s="371"/>
      <c r="JBF29" s="371"/>
      <c r="JBG29" s="371"/>
      <c r="JBH29" s="371"/>
      <c r="JBI29" s="371"/>
      <c r="JBJ29" s="371"/>
      <c r="JBK29" s="371"/>
      <c r="JBL29" s="371"/>
      <c r="JBM29" s="371"/>
      <c r="JBN29" s="371"/>
      <c r="JBO29" s="371"/>
      <c r="JBP29" s="371"/>
      <c r="JBQ29" s="371"/>
      <c r="JBR29" s="371"/>
      <c r="JBS29" s="371"/>
      <c r="JBT29" s="371"/>
      <c r="JBU29" s="371"/>
      <c r="JBV29" s="371"/>
      <c r="JBW29" s="371"/>
      <c r="JBX29" s="371"/>
      <c r="JBY29" s="371"/>
      <c r="JBZ29" s="371"/>
      <c r="JCA29" s="371"/>
      <c r="JCB29" s="371"/>
      <c r="JCC29" s="382"/>
      <c r="JCG29" s="371"/>
      <c r="JCH29" s="371"/>
      <c r="JCI29" s="371"/>
      <c r="JCJ29" s="371"/>
      <c r="JCK29" s="371"/>
      <c r="JCL29" s="371"/>
      <c r="JCM29" s="371"/>
      <c r="JCN29" s="371"/>
      <c r="JCO29" s="371"/>
      <c r="JCP29" s="371"/>
      <c r="JCQ29" s="371"/>
      <c r="JCR29" s="371"/>
      <c r="JCS29" s="371"/>
      <c r="JCT29" s="371"/>
      <c r="JCU29" s="371"/>
      <c r="JCV29" s="371"/>
      <c r="JCW29" s="371"/>
      <c r="JCX29" s="371"/>
      <c r="JCY29" s="371"/>
      <c r="JCZ29" s="371"/>
      <c r="JDA29" s="371"/>
      <c r="JDB29" s="371"/>
      <c r="JDC29" s="371"/>
      <c r="JDD29" s="371"/>
      <c r="JDE29" s="371"/>
      <c r="JDF29" s="371"/>
      <c r="JDG29" s="382"/>
      <c r="JDK29" s="371"/>
      <c r="JDL29" s="371"/>
      <c r="JDM29" s="371"/>
      <c r="JDN29" s="371"/>
      <c r="JDO29" s="371"/>
      <c r="JDP29" s="371"/>
      <c r="JDQ29" s="371"/>
      <c r="JDR29" s="371"/>
      <c r="JDS29" s="371"/>
      <c r="JDT29" s="371"/>
      <c r="JDU29" s="371"/>
      <c r="JDV29" s="371"/>
      <c r="JDW29" s="371"/>
      <c r="JDX29" s="371"/>
      <c r="JDY29" s="371"/>
      <c r="JDZ29" s="371"/>
      <c r="JEA29" s="371"/>
      <c r="JEB29" s="371"/>
      <c r="JEC29" s="371"/>
      <c r="JED29" s="371"/>
      <c r="JEE29" s="371"/>
      <c r="JEF29" s="371"/>
      <c r="JEG29" s="371"/>
      <c r="JEH29" s="371"/>
      <c r="JEI29" s="371"/>
      <c r="JEJ29" s="371"/>
      <c r="JEK29" s="382"/>
      <c r="JEO29" s="371"/>
      <c r="JEP29" s="371"/>
      <c r="JEQ29" s="371"/>
      <c r="JER29" s="371"/>
      <c r="JES29" s="371"/>
      <c r="JET29" s="371"/>
      <c r="JEU29" s="371"/>
      <c r="JEV29" s="371"/>
      <c r="JEW29" s="371"/>
      <c r="JEX29" s="371"/>
      <c r="JEY29" s="371"/>
      <c r="JEZ29" s="371"/>
      <c r="JFA29" s="371"/>
      <c r="JFB29" s="371"/>
      <c r="JFC29" s="371"/>
      <c r="JFD29" s="371"/>
      <c r="JFE29" s="371"/>
      <c r="JFF29" s="371"/>
      <c r="JFG29" s="371"/>
      <c r="JFH29" s="371"/>
      <c r="JFI29" s="371"/>
      <c r="JFJ29" s="371"/>
      <c r="JFK29" s="371"/>
      <c r="JFL29" s="371"/>
      <c r="JFM29" s="371"/>
      <c r="JFN29" s="371"/>
      <c r="JFO29" s="382"/>
      <c r="JFS29" s="371"/>
      <c r="JFT29" s="371"/>
      <c r="JFU29" s="371"/>
      <c r="JFV29" s="371"/>
      <c r="JFW29" s="371"/>
      <c r="JFX29" s="371"/>
      <c r="JFY29" s="371"/>
      <c r="JFZ29" s="371"/>
      <c r="JGA29" s="371"/>
      <c r="JGB29" s="371"/>
      <c r="JGC29" s="371"/>
      <c r="JGD29" s="371"/>
      <c r="JGE29" s="371"/>
      <c r="JGF29" s="371"/>
      <c r="JGG29" s="371"/>
      <c r="JGH29" s="371"/>
      <c r="JGI29" s="371"/>
      <c r="JGJ29" s="371"/>
      <c r="JGK29" s="371"/>
      <c r="JGL29" s="371"/>
      <c r="JGM29" s="371"/>
      <c r="JGN29" s="371"/>
      <c r="JGO29" s="371"/>
      <c r="JGP29" s="371"/>
      <c r="JGQ29" s="371"/>
      <c r="JGR29" s="371"/>
      <c r="JGS29" s="382"/>
      <c r="JGW29" s="371"/>
      <c r="JGX29" s="371"/>
      <c r="JGY29" s="371"/>
      <c r="JGZ29" s="371"/>
      <c r="JHA29" s="371"/>
      <c r="JHB29" s="371"/>
      <c r="JHC29" s="371"/>
      <c r="JHD29" s="371"/>
      <c r="JHE29" s="371"/>
      <c r="JHF29" s="371"/>
      <c r="JHG29" s="371"/>
      <c r="JHH29" s="371"/>
      <c r="JHI29" s="371"/>
      <c r="JHJ29" s="371"/>
      <c r="JHK29" s="371"/>
      <c r="JHL29" s="371"/>
      <c r="JHM29" s="371"/>
      <c r="JHN29" s="371"/>
      <c r="JHO29" s="371"/>
      <c r="JHP29" s="371"/>
      <c r="JHQ29" s="371"/>
      <c r="JHR29" s="371"/>
      <c r="JHS29" s="371"/>
      <c r="JHT29" s="371"/>
      <c r="JHU29" s="371"/>
      <c r="JHV29" s="371"/>
      <c r="JHW29" s="382"/>
      <c r="JIA29" s="371"/>
      <c r="JIB29" s="371"/>
      <c r="JIC29" s="371"/>
      <c r="JID29" s="371"/>
      <c r="JIE29" s="371"/>
      <c r="JIF29" s="371"/>
      <c r="JIG29" s="371"/>
      <c r="JIH29" s="371"/>
      <c r="JII29" s="371"/>
      <c r="JIJ29" s="371"/>
      <c r="JIK29" s="371"/>
      <c r="JIL29" s="371"/>
      <c r="JIM29" s="371"/>
      <c r="JIN29" s="371"/>
      <c r="JIO29" s="371"/>
      <c r="JIP29" s="371"/>
      <c r="JIQ29" s="371"/>
      <c r="JIR29" s="371"/>
      <c r="JIS29" s="371"/>
      <c r="JIT29" s="371"/>
      <c r="JIU29" s="371"/>
      <c r="JIV29" s="371"/>
      <c r="JIW29" s="371"/>
      <c r="JIX29" s="371"/>
      <c r="JIY29" s="371"/>
      <c r="JIZ29" s="371"/>
      <c r="JJA29" s="382"/>
      <c r="JJE29" s="371"/>
      <c r="JJF29" s="371"/>
      <c r="JJG29" s="371"/>
      <c r="JJH29" s="371"/>
      <c r="JJI29" s="371"/>
      <c r="JJJ29" s="371"/>
      <c r="JJK29" s="371"/>
      <c r="JJL29" s="371"/>
      <c r="JJM29" s="371"/>
      <c r="JJN29" s="371"/>
      <c r="JJO29" s="371"/>
      <c r="JJP29" s="371"/>
      <c r="JJQ29" s="371"/>
      <c r="JJR29" s="371"/>
      <c r="JJS29" s="371"/>
      <c r="JJT29" s="371"/>
      <c r="JJU29" s="371"/>
      <c r="JJV29" s="371"/>
      <c r="JJW29" s="371"/>
      <c r="JJX29" s="371"/>
      <c r="JJY29" s="371"/>
      <c r="JJZ29" s="371"/>
      <c r="JKA29" s="371"/>
      <c r="JKB29" s="371"/>
      <c r="JKC29" s="371"/>
      <c r="JKD29" s="371"/>
      <c r="JKE29" s="382"/>
      <c r="JKI29" s="371"/>
      <c r="JKJ29" s="371"/>
      <c r="JKK29" s="371"/>
      <c r="JKL29" s="371"/>
      <c r="JKM29" s="371"/>
      <c r="JKN29" s="371"/>
      <c r="JKO29" s="371"/>
      <c r="JKP29" s="371"/>
      <c r="JKQ29" s="371"/>
      <c r="JKR29" s="371"/>
      <c r="JKS29" s="371"/>
      <c r="JKT29" s="371"/>
      <c r="JKU29" s="371"/>
      <c r="JKV29" s="371"/>
      <c r="JKW29" s="371"/>
      <c r="JKX29" s="371"/>
      <c r="JKY29" s="371"/>
      <c r="JKZ29" s="371"/>
      <c r="JLA29" s="371"/>
      <c r="JLB29" s="371"/>
      <c r="JLC29" s="371"/>
      <c r="JLD29" s="371"/>
      <c r="JLE29" s="371"/>
      <c r="JLF29" s="371"/>
      <c r="JLG29" s="371"/>
      <c r="JLH29" s="371"/>
      <c r="JLI29" s="382"/>
      <c r="JLM29" s="371"/>
      <c r="JLN29" s="371"/>
      <c r="JLO29" s="371"/>
      <c r="JLP29" s="371"/>
      <c r="JLQ29" s="371"/>
      <c r="JLR29" s="371"/>
      <c r="JLS29" s="371"/>
      <c r="JLT29" s="371"/>
      <c r="JLU29" s="371"/>
      <c r="JLV29" s="371"/>
      <c r="JLW29" s="371"/>
      <c r="JLX29" s="371"/>
      <c r="JLY29" s="371"/>
      <c r="JLZ29" s="371"/>
      <c r="JMA29" s="371"/>
      <c r="JMB29" s="371"/>
      <c r="JMC29" s="371"/>
      <c r="JMD29" s="371"/>
      <c r="JME29" s="371"/>
      <c r="JMF29" s="371"/>
      <c r="JMG29" s="371"/>
      <c r="JMH29" s="371"/>
      <c r="JMI29" s="371"/>
      <c r="JMJ29" s="371"/>
      <c r="JMK29" s="371"/>
      <c r="JML29" s="371"/>
      <c r="JMM29" s="382"/>
      <c r="JMQ29" s="371"/>
      <c r="JMR29" s="371"/>
      <c r="JMS29" s="371"/>
      <c r="JMT29" s="371"/>
      <c r="JMU29" s="371"/>
      <c r="JMV29" s="371"/>
      <c r="JMW29" s="371"/>
      <c r="JMX29" s="371"/>
      <c r="JMY29" s="371"/>
      <c r="JMZ29" s="371"/>
      <c r="JNA29" s="371"/>
      <c r="JNB29" s="371"/>
      <c r="JNC29" s="371"/>
      <c r="JND29" s="371"/>
      <c r="JNE29" s="371"/>
      <c r="JNF29" s="371"/>
      <c r="JNG29" s="371"/>
      <c r="JNH29" s="371"/>
      <c r="JNI29" s="371"/>
      <c r="JNJ29" s="371"/>
      <c r="JNK29" s="371"/>
      <c r="JNL29" s="371"/>
      <c r="JNM29" s="371"/>
      <c r="JNN29" s="371"/>
      <c r="JNO29" s="371"/>
      <c r="JNP29" s="371"/>
      <c r="JNQ29" s="382"/>
      <c r="JNU29" s="371"/>
      <c r="JNV29" s="371"/>
      <c r="JNW29" s="371"/>
      <c r="JNX29" s="371"/>
      <c r="JNY29" s="371"/>
      <c r="JNZ29" s="371"/>
      <c r="JOA29" s="371"/>
      <c r="JOB29" s="371"/>
      <c r="JOC29" s="371"/>
      <c r="JOD29" s="371"/>
      <c r="JOE29" s="371"/>
      <c r="JOF29" s="371"/>
      <c r="JOG29" s="371"/>
      <c r="JOH29" s="371"/>
      <c r="JOI29" s="371"/>
      <c r="JOJ29" s="371"/>
      <c r="JOK29" s="371"/>
      <c r="JOL29" s="371"/>
      <c r="JOM29" s="371"/>
      <c r="JON29" s="371"/>
      <c r="JOO29" s="371"/>
      <c r="JOP29" s="371"/>
      <c r="JOQ29" s="371"/>
      <c r="JOR29" s="371"/>
      <c r="JOS29" s="371"/>
      <c r="JOT29" s="371"/>
      <c r="JOU29" s="382"/>
      <c r="JOY29" s="371"/>
      <c r="JOZ29" s="371"/>
      <c r="JPA29" s="371"/>
      <c r="JPB29" s="371"/>
      <c r="JPC29" s="371"/>
      <c r="JPD29" s="371"/>
      <c r="JPE29" s="371"/>
      <c r="JPF29" s="371"/>
      <c r="JPG29" s="371"/>
      <c r="JPH29" s="371"/>
      <c r="JPI29" s="371"/>
      <c r="JPJ29" s="371"/>
      <c r="JPK29" s="371"/>
      <c r="JPL29" s="371"/>
      <c r="JPM29" s="371"/>
      <c r="JPN29" s="371"/>
      <c r="JPO29" s="371"/>
      <c r="JPP29" s="371"/>
      <c r="JPQ29" s="371"/>
      <c r="JPR29" s="371"/>
      <c r="JPS29" s="371"/>
      <c r="JPT29" s="371"/>
      <c r="JPU29" s="371"/>
      <c r="JPV29" s="371"/>
      <c r="JPW29" s="371"/>
      <c r="JPX29" s="371"/>
      <c r="JPY29" s="382"/>
      <c r="JQC29" s="371"/>
      <c r="JQD29" s="371"/>
      <c r="JQE29" s="371"/>
      <c r="JQF29" s="371"/>
      <c r="JQG29" s="371"/>
      <c r="JQH29" s="371"/>
      <c r="JQI29" s="371"/>
      <c r="JQJ29" s="371"/>
      <c r="JQK29" s="371"/>
      <c r="JQL29" s="371"/>
      <c r="JQM29" s="371"/>
      <c r="JQN29" s="371"/>
      <c r="JQO29" s="371"/>
      <c r="JQP29" s="371"/>
      <c r="JQQ29" s="371"/>
      <c r="JQR29" s="371"/>
      <c r="JQS29" s="371"/>
      <c r="JQT29" s="371"/>
      <c r="JQU29" s="371"/>
      <c r="JQV29" s="371"/>
      <c r="JQW29" s="371"/>
      <c r="JQX29" s="371"/>
      <c r="JQY29" s="371"/>
      <c r="JQZ29" s="371"/>
      <c r="JRA29" s="371"/>
      <c r="JRB29" s="371"/>
      <c r="JRC29" s="382"/>
      <c r="JRG29" s="371"/>
      <c r="JRH29" s="371"/>
      <c r="JRI29" s="371"/>
      <c r="JRJ29" s="371"/>
      <c r="JRK29" s="371"/>
      <c r="JRL29" s="371"/>
      <c r="JRM29" s="371"/>
      <c r="JRN29" s="371"/>
      <c r="JRO29" s="371"/>
      <c r="JRP29" s="371"/>
      <c r="JRQ29" s="371"/>
      <c r="JRR29" s="371"/>
      <c r="JRS29" s="371"/>
      <c r="JRT29" s="371"/>
      <c r="JRU29" s="371"/>
      <c r="JRV29" s="371"/>
      <c r="JRW29" s="371"/>
      <c r="JRX29" s="371"/>
      <c r="JRY29" s="371"/>
      <c r="JRZ29" s="371"/>
      <c r="JSA29" s="371"/>
      <c r="JSB29" s="371"/>
      <c r="JSC29" s="371"/>
      <c r="JSD29" s="371"/>
      <c r="JSE29" s="371"/>
      <c r="JSF29" s="371"/>
      <c r="JSG29" s="382"/>
      <c r="JSK29" s="371"/>
      <c r="JSL29" s="371"/>
      <c r="JSM29" s="371"/>
      <c r="JSN29" s="371"/>
      <c r="JSO29" s="371"/>
      <c r="JSP29" s="371"/>
      <c r="JSQ29" s="371"/>
      <c r="JSR29" s="371"/>
      <c r="JSS29" s="371"/>
      <c r="JST29" s="371"/>
      <c r="JSU29" s="371"/>
      <c r="JSV29" s="371"/>
      <c r="JSW29" s="371"/>
      <c r="JSX29" s="371"/>
      <c r="JSY29" s="371"/>
      <c r="JSZ29" s="371"/>
      <c r="JTA29" s="371"/>
      <c r="JTB29" s="371"/>
      <c r="JTC29" s="371"/>
      <c r="JTD29" s="371"/>
      <c r="JTE29" s="371"/>
      <c r="JTF29" s="371"/>
      <c r="JTG29" s="371"/>
      <c r="JTH29" s="371"/>
      <c r="JTI29" s="371"/>
      <c r="JTJ29" s="371"/>
      <c r="JTK29" s="382"/>
      <c r="JTO29" s="371"/>
      <c r="JTP29" s="371"/>
      <c r="JTQ29" s="371"/>
      <c r="JTR29" s="371"/>
      <c r="JTS29" s="371"/>
      <c r="JTT29" s="371"/>
      <c r="JTU29" s="371"/>
      <c r="JTV29" s="371"/>
      <c r="JTW29" s="371"/>
      <c r="JTX29" s="371"/>
      <c r="JTY29" s="371"/>
      <c r="JTZ29" s="371"/>
      <c r="JUA29" s="371"/>
      <c r="JUB29" s="371"/>
      <c r="JUC29" s="371"/>
      <c r="JUD29" s="371"/>
      <c r="JUE29" s="371"/>
      <c r="JUF29" s="371"/>
      <c r="JUG29" s="371"/>
      <c r="JUH29" s="371"/>
      <c r="JUI29" s="371"/>
      <c r="JUJ29" s="371"/>
      <c r="JUK29" s="371"/>
      <c r="JUL29" s="371"/>
      <c r="JUM29" s="371"/>
      <c r="JUN29" s="371"/>
      <c r="JUO29" s="382"/>
      <c r="JUS29" s="371"/>
      <c r="JUT29" s="371"/>
      <c r="JUU29" s="371"/>
      <c r="JUV29" s="371"/>
      <c r="JUW29" s="371"/>
      <c r="JUX29" s="371"/>
      <c r="JUY29" s="371"/>
      <c r="JUZ29" s="371"/>
      <c r="JVA29" s="371"/>
      <c r="JVB29" s="371"/>
      <c r="JVC29" s="371"/>
      <c r="JVD29" s="371"/>
      <c r="JVE29" s="371"/>
      <c r="JVF29" s="371"/>
      <c r="JVG29" s="371"/>
      <c r="JVH29" s="371"/>
      <c r="JVI29" s="371"/>
      <c r="JVJ29" s="371"/>
      <c r="JVK29" s="371"/>
      <c r="JVL29" s="371"/>
      <c r="JVM29" s="371"/>
      <c r="JVN29" s="371"/>
      <c r="JVO29" s="371"/>
      <c r="JVP29" s="371"/>
      <c r="JVQ29" s="371"/>
      <c r="JVR29" s="371"/>
      <c r="JVS29" s="382"/>
      <c r="JVW29" s="371"/>
      <c r="JVX29" s="371"/>
      <c r="JVY29" s="371"/>
      <c r="JVZ29" s="371"/>
      <c r="JWA29" s="371"/>
      <c r="JWB29" s="371"/>
      <c r="JWC29" s="371"/>
      <c r="JWD29" s="371"/>
      <c r="JWE29" s="371"/>
      <c r="JWF29" s="371"/>
      <c r="JWG29" s="371"/>
      <c r="JWH29" s="371"/>
      <c r="JWI29" s="371"/>
      <c r="JWJ29" s="371"/>
      <c r="JWK29" s="371"/>
      <c r="JWL29" s="371"/>
      <c r="JWM29" s="371"/>
      <c r="JWN29" s="371"/>
      <c r="JWO29" s="371"/>
      <c r="JWP29" s="371"/>
      <c r="JWQ29" s="371"/>
      <c r="JWR29" s="371"/>
      <c r="JWS29" s="371"/>
      <c r="JWT29" s="371"/>
      <c r="JWU29" s="371"/>
      <c r="JWV29" s="371"/>
      <c r="JWW29" s="382"/>
      <c r="JXA29" s="371"/>
      <c r="JXB29" s="371"/>
      <c r="JXC29" s="371"/>
      <c r="JXD29" s="371"/>
      <c r="JXE29" s="371"/>
      <c r="JXF29" s="371"/>
      <c r="JXG29" s="371"/>
      <c r="JXH29" s="371"/>
      <c r="JXI29" s="371"/>
      <c r="JXJ29" s="371"/>
      <c r="JXK29" s="371"/>
      <c r="JXL29" s="371"/>
      <c r="JXM29" s="371"/>
      <c r="JXN29" s="371"/>
      <c r="JXO29" s="371"/>
      <c r="JXP29" s="371"/>
      <c r="JXQ29" s="371"/>
      <c r="JXR29" s="371"/>
      <c r="JXS29" s="371"/>
      <c r="JXT29" s="371"/>
      <c r="JXU29" s="371"/>
      <c r="JXV29" s="371"/>
      <c r="JXW29" s="371"/>
      <c r="JXX29" s="371"/>
      <c r="JXY29" s="371"/>
      <c r="JXZ29" s="371"/>
      <c r="JYA29" s="382"/>
      <c r="JYE29" s="371"/>
      <c r="JYF29" s="371"/>
      <c r="JYG29" s="371"/>
      <c r="JYH29" s="371"/>
      <c r="JYI29" s="371"/>
      <c r="JYJ29" s="371"/>
      <c r="JYK29" s="371"/>
      <c r="JYL29" s="371"/>
      <c r="JYM29" s="371"/>
      <c r="JYN29" s="371"/>
      <c r="JYO29" s="371"/>
      <c r="JYP29" s="371"/>
      <c r="JYQ29" s="371"/>
      <c r="JYR29" s="371"/>
      <c r="JYS29" s="371"/>
      <c r="JYT29" s="371"/>
      <c r="JYU29" s="371"/>
      <c r="JYV29" s="371"/>
      <c r="JYW29" s="371"/>
      <c r="JYX29" s="371"/>
      <c r="JYY29" s="371"/>
      <c r="JYZ29" s="371"/>
      <c r="JZA29" s="371"/>
      <c r="JZB29" s="371"/>
      <c r="JZC29" s="371"/>
      <c r="JZD29" s="371"/>
      <c r="JZE29" s="382"/>
      <c r="JZI29" s="371"/>
      <c r="JZJ29" s="371"/>
      <c r="JZK29" s="371"/>
      <c r="JZL29" s="371"/>
      <c r="JZM29" s="371"/>
      <c r="JZN29" s="371"/>
      <c r="JZO29" s="371"/>
      <c r="JZP29" s="371"/>
      <c r="JZQ29" s="371"/>
      <c r="JZR29" s="371"/>
      <c r="JZS29" s="371"/>
      <c r="JZT29" s="371"/>
      <c r="JZU29" s="371"/>
      <c r="JZV29" s="371"/>
      <c r="JZW29" s="371"/>
      <c r="JZX29" s="371"/>
      <c r="JZY29" s="371"/>
      <c r="JZZ29" s="371"/>
      <c r="KAA29" s="371"/>
      <c r="KAB29" s="371"/>
      <c r="KAC29" s="371"/>
      <c r="KAD29" s="371"/>
      <c r="KAE29" s="371"/>
      <c r="KAF29" s="371"/>
      <c r="KAG29" s="371"/>
      <c r="KAH29" s="371"/>
      <c r="KAI29" s="382"/>
      <c r="KAM29" s="371"/>
      <c r="KAN29" s="371"/>
      <c r="KAO29" s="371"/>
      <c r="KAP29" s="371"/>
      <c r="KAQ29" s="371"/>
      <c r="KAR29" s="371"/>
      <c r="KAS29" s="371"/>
      <c r="KAT29" s="371"/>
      <c r="KAU29" s="371"/>
      <c r="KAV29" s="371"/>
      <c r="KAW29" s="371"/>
      <c r="KAX29" s="371"/>
      <c r="KAY29" s="371"/>
      <c r="KAZ29" s="371"/>
      <c r="KBA29" s="371"/>
      <c r="KBB29" s="371"/>
      <c r="KBC29" s="371"/>
      <c r="KBD29" s="371"/>
      <c r="KBE29" s="371"/>
      <c r="KBF29" s="371"/>
      <c r="KBG29" s="371"/>
      <c r="KBH29" s="371"/>
      <c r="KBI29" s="371"/>
      <c r="KBJ29" s="371"/>
      <c r="KBK29" s="371"/>
      <c r="KBL29" s="371"/>
      <c r="KBM29" s="382"/>
      <c r="KBQ29" s="371"/>
      <c r="KBR29" s="371"/>
      <c r="KBS29" s="371"/>
      <c r="KBT29" s="371"/>
      <c r="KBU29" s="371"/>
      <c r="KBV29" s="371"/>
      <c r="KBW29" s="371"/>
      <c r="KBX29" s="371"/>
      <c r="KBY29" s="371"/>
      <c r="KBZ29" s="371"/>
      <c r="KCA29" s="371"/>
      <c r="KCB29" s="371"/>
      <c r="KCC29" s="371"/>
      <c r="KCD29" s="371"/>
      <c r="KCE29" s="371"/>
      <c r="KCF29" s="371"/>
      <c r="KCG29" s="371"/>
      <c r="KCH29" s="371"/>
      <c r="KCI29" s="371"/>
      <c r="KCJ29" s="371"/>
      <c r="KCK29" s="371"/>
      <c r="KCL29" s="371"/>
      <c r="KCM29" s="371"/>
      <c r="KCN29" s="371"/>
      <c r="KCO29" s="371"/>
      <c r="KCP29" s="371"/>
      <c r="KCQ29" s="382"/>
      <c r="KCU29" s="371"/>
      <c r="KCV29" s="371"/>
      <c r="KCW29" s="371"/>
      <c r="KCX29" s="371"/>
      <c r="KCY29" s="371"/>
      <c r="KCZ29" s="371"/>
      <c r="KDA29" s="371"/>
      <c r="KDB29" s="371"/>
      <c r="KDC29" s="371"/>
      <c r="KDD29" s="371"/>
      <c r="KDE29" s="371"/>
      <c r="KDF29" s="371"/>
      <c r="KDG29" s="371"/>
      <c r="KDH29" s="371"/>
      <c r="KDI29" s="371"/>
      <c r="KDJ29" s="371"/>
      <c r="KDK29" s="371"/>
      <c r="KDL29" s="371"/>
      <c r="KDM29" s="371"/>
      <c r="KDN29" s="371"/>
      <c r="KDO29" s="371"/>
      <c r="KDP29" s="371"/>
      <c r="KDQ29" s="371"/>
      <c r="KDR29" s="371"/>
      <c r="KDS29" s="371"/>
      <c r="KDT29" s="371"/>
      <c r="KDU29" s="382"/>
      <c r="KDY29" s="371"/>
      <c r="KDZ29" s="371"/>
      <c r="KEA29" s="371"/>
      <c r="KEB29" s="371"/>
      <c r="KEC29" s="371"/>
      <c r="KED29" s="371"/>
      <c r="KEE29" s="371"/>
      <c r="KEF29" s="371"/>
      <c r="KEG29" s="371"/>
      <c r="KEH29" s="371"/>
      <c r="KEI29" s="371"/>
      <c r="KEJ29" s="371"/>
      <c r="KEK29" s="371"/>
      <c r="KEL29" s="371"/>
      <c r="KEM29" s="371"/>
      <c r="KEN29" s="371"/>
      <c r="KEO29" s="371"/>
      <c r="KEP29" s="371"/>
      <c r="KEQ29" s="371"/>
      <c r="KER29" s="371"/>
      <c r="KES29" s="371"/>
      <c r="KET29" s="371"/>
      <c r="KEU29" s="371"/>
      <c r="KEV29" s="371"/>
      <c r="KEW29" s="371"/>
      <c r="KEX29" s="371"/>
      <c r="KEY29" s="382"/>
      <c r="KFC29" s="371"/>
      <c r="KFD29" s="371"/>
      <c r="KFE29" s="371"/>
      <c r="KFF29" s="371"/>
      <c r="KFG29" s="371"/>
      <c r="KFH29" s="371"/>
      <c r="KFI29" s="371"/>
      <c r="KFJ29" s="371"/>
      <c r="KFK29" s="371"/>
      <c r="KFL29" s="371"/>
      <c r="KFM29" s="371"/>
      <c r="KFN29" s="371"/>
      <c r="KFO29" s="371"/>
      <c r="KFP29" s="371"/>
      <c r="KFQ29" s="371"/>
      <c r="KFR29" s="371"/>
      <c r="KFS29" s="371"/>
      <c r="KFT29" s="371"/>
      <c r="KFU29" s="371"/>
      <c r="KFV29" s="371"/>
      <c r="KFW29" s="371"/>
      <c r="KFX29" s="371"/>
      <c r="KFY29" s="371"/>
      <c r="KFZ29" s="371"/>
      <c r="KGA29" s="371"/>
      <c r="KGB29" s="371"/>
      <c r="KGC29" s="382"/>
      <c r="KGG29" s="371"/>
      <c r="KGH29" s="371"/>
      <c r="KGI29" s="371"/>
      <c r="KGJ29" s="371"/>
      <c r="KGK29" s="371"/>
      <c r="KGL29" s="371"/>
      <c r="KGM29" s="371"/>
      <c r="KGN29" s="371"/>
      <c r="KGO29" s="371"/>
      <c r="KGP29" s="371"/>
      <c r="KGQ29" s="371"/>
      <c r="KGR29" s="371"/>
      <c r="KGS29" s="371"/>
      <c r="KGT29" s="371"/>
      <c r="KGU29" s="371"/>
      <c r="KGV29" s="371"/>
      <c r="KGW29" s="371"/>
      <c r="KGX29" s="371"/>
      <c r="KGY29" s="371"/>
      <c r="KGZ29" s="371"/>
      <c r="KHA29" s="371"/>
      <c r="KHB29" s="371"/>
      <c r="KHC29" s="371"/>
      <c r="KHD29" s="371"/>
      <c r="KHE29" s="371"/>
      <c r="KHF29" s="371"/>
      <c r="KHG29" s="382"/>
      <c r="KHK29" s="371"/>
      <c r="KHL29" s="371"/>
      <c r="KHM29" s="371"/>
      <c r="KHN29" s="371"/>
      <c r="KHO29" s="371"/>
      <c r="KHP29" s="371"/>
      <c r="KHQ29" s="371"/>
      <c r="KHR29" s="371"/>
      <c r="KHS29" s="371"/>
      <c r="KHT29" s="371"/>
      <c r="KHU29" s="371"/>
      <c r="KHV29" s="371"/>
      <c r="KHW29" s="371"/>
      <c r="KHX29" s="371"/>
      <c r="KHY29" s="371"/>
      <c r="KHZ29" s="371"/>
      <c r="KIA29" s="371"/>
      <c r="KIB29" s="371"/>
      <c r="KIC29" s="371"/>
      <c r="KID29" s="371"/>
      <c r="KIE29" s="371"/>
      <c r="KIF29" s="371"/>
      <c r="KIG29" s="371"/>
      <c r="KIH29" s="371"/>
      <c r="KII29" s="371"/>
      <c r="KIJ29" s="371"/>
      <c r="KIK29" s="382"/>
      <c r="KIO29" s="371"/>
      <c r="KIP29" s="371"/>
      <c r="KIQ29" s="371"/>
      <c r="KIR29" s="371"/>
      <c r="KIS29" s="371"/>
      <c r="KIT29" s="371"/>
      <c r="KIU29" s="371"/>
      <c r="KIV29" s="371"/>
      <c r="KIW29" s="371"/>
      <c r="KIX29" s="371"/>
      <c r="KIY29" s="371"/>
      <c r="KIZ29" s="371"/>
      <c r="KJA29" s="371"/>
      <c r="KJB29" s="371"/>
      <c r="KJC29" s="371"/>
      <c r="KJD29" s="371"/>
      <c r="KJE29" s="371"/>
      <c r="KJF29" s="371"/>
      <c r="KJG29" s="371"/>
      <c r="KJH29" s="371"/>
      <c r="KJI29" s="371"/>
      <c r="KJJ29" s="371"/>
      <c r="KJK29" s="371"/>
      <c r="KJL29" s="371"/>
      <c r="KJM29" s="371"/>
      <c r="KJN29" s="371"/>
      <c r="KJO29" s="382"/>
      <c r="KJS29" s="371"/>
      <c r="KJT29" s="371"/>
      <c r="KJU29" s="371"/>
      <c r="KJV29" s="371"/>
      <c r="KJW29" s="371"/>
      <c r="KJX29" s="371"/>
      <c r="KJY29" s="371"/>
      <c r="KJZ29" s="371"/>
      <c r="KKA29" s="371"/>
      <c r="KKB29" s="371"/>
      <c r="KKC29" s="371"/>
      <c r="KKD29" s="371"/>
      <c r="KKE29" s="371"/>
      <c r="KKF29" s="371"/>
      <c r="KKG29" s="371"/>
      <c r="KKH29" s="371"/>
      <c r="KKI29" s="371"/>
      <c r="KKJ29" s="371"/>
      <c r="KKK29" s="371"/>
      <c r="KKL29" s="371"/>
      <c r="KKM29" s="371"/>
      <c r="KKN29" s="371"/>
      <c r="KKO29" s="371"/>
      <c r="KKP29" s="371"/>
      <c r="KKQ29" s="371"/>
      <c r="KKR29" s="371"/>
      <c r="KKS29" s="382"/>
      <c r="KKW29" s="371"/>
      <c r="KKX29" s="371"/>
      <c r="KKY29" s="371"/>
      <c r="KKZ29" s="371"/>
      <c r="KLA29" s="371"/>
      <c r="KLB29" s="371"/>
      <c r="KLC29" s="371"/>
      <c r="KLD29" s="371"/>
      <c r="KLE29" s="371"/>
      <c r="KLF29" s="371"/>
      <c r="KLG29" s="371"/>
      <c r="KLH29" s="371"/>
      <c r="KLI29" s="371"/>
      <c r="KLJ29" s="371"/>
      <c r="KLK29" s="371"/>
      <c r="KLL29" s="371"/>
      <c r="KLM29" s="371"/>
      <c r="KLN29" s="371"/>
      <c r="KLO29" s="371"/>
      <c r="KLP29" s="371"/>
      <c r="KLQ29" s="371"/>
      <c r="KLR29" s="371"/>
      <c r="KLS29" s="371"/>
      <c r="KLT29" s="371"/>
      <c r="KLU29" s="371"/>
      <c r="KLV29" s="371"/>
      <c r="KLW29" s="382"/>
      <c r="KMA29" s="371"/>
      <c r="KMB29" s="371"/>
      <c r="KMC29" s="371"/>
      <c r="KMD29" s="371"/>
      <c r="KME29" s="371"/>
      <c r="KMF29" s="371"/>
      <c r="KMG29" s="371"/>
      <c r="KMH29" s="371"/>
      <c r="KMI29" s="371"/>
      <c r="KMJ29" s="371"/>
      <c r="KMK29" s="371"/>
      <c r="KML29" s="371"/>
      <c r="KMM29" s="371"/>
      <c r="KMN29" s="371"/>
      <c r="KMO29" s="371"/>
      <c r="KMP29" s="371"/>
      <c r="KMQ29" s="371"/>
      <c r="KMR29" s="371"/>
      <c r="KMS29" s="371"/>
      <c r="KMT29" s="371"/>
      <c r="KMU29" s="371"/>
      <c r="KMV29" s="371"/>
      <c r="KMW29" s="371"/>
      <c r="KMX29" s="371"/>
      <c r="KMY29" s="371"/>
      <c r="KMZ29" s="371"/>
      <c r="KNA29" s="382"/>
      <c r="KNE29" s="371"/>
      <c r="KNF29" s="371"/>
      <c r="KNG29" s="371"/>
      <c r="KNH29" s="371"/>
      <c r="KNI29" s="371"/>
      <c r="KNJ29" s="371"/>
      <c r="KNK29" s="371"/>
      <c r="KNL29" s="371"/>
      <c r="KNM29" s="371"/>
      <c r="KNN29" s="371"/>
      <c r="KNO29" s="371"/>
      <c r="KNP29" s="371"/>
      <c r="KNQ29" s="371"/>
      <c r="KNR29" s="371"/>
      <c r="KNS29" s="371"/>
      <c r="KNT29" s="371"/>
      <c r="KNU29" s="371"/>
      <c r="KNV29" s="371"/>
      <c r="KNW29" s="371"/>
      <c r="KNX29" s="371"/>
      <c r="KNY29" s="371"/>
      <c r="KNZ29" s="371"/>
      <c r="KOA29" s="371"/>
      <c r="KOB29" s="371"/>
      <c r="KOC29" s="371"/>
      <c r="KOD29" s="371"/>
      <c r="KOE29" s="382"/>
      <c r="KOI29" s="371"/>
      <c r="KOJ29" s="371"/>
      <c r="KOK29" s="371"/>
      <c r="KOL29" s="371"/>
      <c r="KOM29" s="371"/>
      <c r="KON29" s="371"/>
      <c r="KOO29" s="371"/>
      <c r="KOP29" s="371"/>
      <c r="KOQ29" s="371"/>
      <c r="KOR29" s="371"/>
      <c r="KOS29" s="371"/>
      <c r="KOT29" s="371"/>
      <c r="KOU29" s="371"/>
      <c r="KOV29" s="371"/>
      <c r="KOW29" s="371"/>
      <c r="KOX29" s="371"/>
      <c r="KOY29" s="371"/>
      <c r="KOZ29" s="371"/>
      <c r="KPA29" s="371"/>
      <c r="KPB29" s="371"/>
      <c r="KPC29" s="371"/>
      <c r="KPD29" s="371"/>
      <c r="KPE29" s="371"/>
      <c r="KPF29" s="371"/>
      <c r="KPG29" s="371"/>
      <c r="KPH29" s="371"/>
      <c r="KPI29" s="382"/>
      <c r="KPM29" s="371"/>
      <c r="KPN29" s="371"/>
      <c r="KPO29" s="371"/>
      <c r="KPP29" s="371"/>
      <c r="KPQ29" s="371"/>
      <c r="KPR29" s="371"/>
      <c r="KPS29" s="371"/>
      <c r="KPT29" s="371"/>
      <c r="KPU29" s="371"/>
      <c r="KPV29" s="371"/>
      <c r="KPW29" s="371"/>
      <c r="KPX29" s="371"/>
      <c r="KPY29" s="371"/>
      <c r="KPZ29" s="371"/>
      <c r="KQA29" s="371"/>
      <c r="KQB29" s="371"/>
      <c r="KQC29" s="371"/>
      <c r="KQD29" s="371"/>
      <c r="KQE29" s="371"/>
      <c r="KQF29" s="371"/>
      <c r="KQG29" s="371"/>
      <c r="KQH29" s="371"/>
      <c r="KQI29" s="371"/>
      <c r="KQJ29" s="371"/>
      <c r="KQK29" s="371"/>
      <c r="KQL29" s="371"/>
      <c r="KQM29" s="382"/>
      <c r="KQQ29" s="371"/>
      <c r="KQR29" s="371"/>
      <c r="KQS29" s="371"/>
      <c r="KQT29" s="371"/>
      <c r="KQU29" s="371"/>
      <c r="KQV29" s="371"/>
      <c r="KQW29" s="371"/>
      <c r="KQX29" s="371"/>
      <c r="KQY29" s="371"/>
      <c r="KQZ29" s="371"/>
      <c r="KRA29" s="371"/>
      <c r="KRB29" s="371"/>
      <c r="KRC29" s="371"/>
      <c r="KRD29" s="371"/>
      <c r="KRE29" s="371"/>
      <c r="KRF29" s="371"/>
      <c r="KRG29" s="371"/>
      <c r="KRH29" s="371"/>
      <c r="KRI29" s="371"/>
      <c r="KRJ29" s="371"/>
      <c r="KRK29" s="371"/>
      <c r="KRL29" s="371"/>
      <c r="KRM29" s="371"/>
      <c r="KRN29" s="371"/>
      <c r="KRO29" s="371"/>
      <c r="KRP29" s="371"/>
      <c r="KRQ29" s="382"/>
      <c r="KRU29" s="371"/>
      <c r="KRV29" s="371"/>
      <c r="KRW29" s="371"/>
      <c r="KRX29" s="371"/>
      <c r="KRY29" s="371"/>
      <c r="KRZ29" s="371"/>
      <c r="KSA29" s="371"/>
      <c r="KSB29" s="371"/>
      <c r="KSC29" s="371"/>
      <c r="KSD29" s="371"/>
      <c r="KSE29" s="371"/>
      <c r="KSF29" s="371"/>
      <c r="KSG29" s="371"/>
      <c r="KSH29" s="371"/>
      <c r="KSI29" s="371"/>
      <c r="KSJ29" s="371"/>
      <c r="KSK29" s="371"/>
      <c r="KSL29" s="371"/>
      <c r="KSM29" s="371"/>
      <c r="KSN29" s="371"/>
      <c r="KSO29" s="371"/>
      <c r="KSP29" s="371"/>
      <c r="KSQ29" s="371"/>
      <c r="KSR29" s="371"/>
      <c r="KSS29" s="371"/>
      <c r="KST29" s="371"/>
      <c r="KSU29" s="382"/>
      <c r="KSY29" s="371"/>
      <c r="KSZ29" s="371"/>
      <c r="KTA29" s="371"/>
      <c r="KTB29" s="371"/>
      <c r="KTC29" s="371"/>
      <c r="KTD29" s="371"/>
      <c r="KTE29" s="371"/>
      <c r="KTF29" s="371"/>
      <c r="KTG29" s="371"/>
      <c r="KTH29" s="371"/>
      <c r="KTI29" s="371"/>
      <c r="KTJ29" s="371"/>
      <c r="KTK29" s="371"/>
      <c r="KTL29" s="371"/>
      <c r="KTM29" s="371"/>
      <c r="KTN29" s="371"/>
      <c r="KTO29" s="371"/>
      <c r="KTP29" s="371"/>
      <c r="KTQ29" s="371"/>
      <c r="KTR29" s="371"/>
      <c r="KTS29" s="371"/>
      <c r="KTT29" s="371"/>
      <c r="KTU29" s="371"/>
      <c r="KTV29" s="371"/>
      <c r="KTW29" s="371"/>
      <c r="KTX29" s="371"/>
      <c r="KTY29" s="382"/>
      <c r="KUC29" s="371"/>
      <c r="KUD29" s="371"/>
      <c r="KUE29" s="371"/>
      <c r="KUF29" s="371"/>
      <c r="KUG29" s="371"/>
      <c r="KUH29" s="371"/>
      <c r="KUI29" s="371"/>
      <c r="KUJ29" s="371"/>
      <c r="KUK29" s="371"/>
      <c r="KUL29" s="371"/>
      <c r="KUM29" s="371"/>
      <c r="KUN29" s="371"/>
      <c r="KUO29" s="371"/>
      <c r="KUP29" s="371"/>
      <c r="KUQ29" s="371"/>
      <c r="KUR29" s="371"/>
      <c r="KUS29" s="371"/>
      <c r="KUT29" s="371"/>
      <c r="KUU29" s="371"/>
      <c r="KUV29" s="371"/>
      <c r="KUW29" s="371"/>
      <c r="KUX29" s="371"/>
      <c r="KUY29" s="371"/>
      <c r="KUZ29" s="371"/>
      <c r="KVA29" s="371"/>
      <c r="KVB29" s="371"/>
      <c r="KVC29" s="382"/>
      <c r="KVG29" s="371"/>
      <c r="KVH29" s="371"/>
      <c r="KVI29" s="371"/>
      <c r="KVJ29" s="371"/>
      <c r="KVK29" s="371"/>
      <c r="KVL29" s="371"/>
      <c r="KVM29" s="371"/>
      <c r="KVN29" s="371"/>
      <c r="KVO29" s="371"/>
      <c r="KVP29" s="371"/>
      <c r="KVQ29" s="371"/>
      <c r="KVR29" s="371"/>
      <c r="KVS29" s="371"/>
      <c r="KVT29" s="371"/>
      <c r="KVU29" s="371"/>
      <c r="KVV29" s="371"/>
      <c r="KVW29" s="371"/>
      <c r="KVX29" s="371"/>
      <c r="KVY29" s="371"/>
      <c r="KVZ29" s="371"/>
      <c r="KWA29" s="371"/>
      <c r="KWB29" s="371"/>
      <c r="KWC29" s="371"/>
      <c r="KWD29" s="371"/>
      <c r="KWE29" s="371"/>
      <c r="KWF29" s="371"/>
      <c r="KWG29" s="382"/>
      <c r="KWK29" s="371"/>
      <c r="KWL29" s="371"/>
      <c r="KWM29" s="371"/>
      <c r="KWN29" s="371"/>
      <c r="KWO29" s="371"/>
      <c r="KWP29" s="371"/>
      <c r="KWQ29" s="371"/>
      <c r="KWR29" s="371"/>
      <c r="KWS29" s="371"/>
      <c r="KWT29" s="371"/>
      <c r="KWU29" s="371"/>
      <c r="KWV29" s="371"/>
      <c r="KWW29" s="371"/>
      <c r="KWX29" s="371"/>
      <c r="KWY29" s="371"/>
      <c r="KWZ29" s="371"/>
      <c r="KXA29" s="371"/>
      <c r="KXB29" s="371"/>
      <c r="KXC29" s="371"/>
      <c r="KXD29" s="371"/>
      <c r="KXE29" s="371"/>
      <c r="KXF29" s="371"/>
      <c r="KXG29" s="371"/>
      <c r="KXH29" s="371"/>
      <c r="KXI29" s="371"/>
      <c r="KXJ29" s="371"/>
      <c r="KXK29" s="382"/>
      <c r="KXO29" s="371"/>
      <c r="KXP29" s="371"/>
      <c r="KXQ29" s="371"/>
      <c r="KXR29" s="371"/>
      <c r="KXS29" s="371"/>
      <c r="KXT29" s="371"/>
      <c r="KXU29" s="371"/>
      <c r="KXV29" s="371"/>
      <c r="KXW29" s="371"/>
      <c r="KXX29" s="371"/>
      <c r="KXY29" s="371"/>
      <c r="KXZ29" s="371"/>
      <c r="KYA29" s="371"/>
      <c r="KYB29" s="371"/>
      <c r="KYC29" s="371"/>
      <c r="KYD29" s="371"/>
      <c r="KYE29" s="371"/>
      <c r="KYF29" s="371"/>
      <c r="KYG29" s="371"/>
      <c r="KYH29" s="371"/>
      <c r="KYI29" s="371"/>
      <c r="KYJ29" s="371"/>
      <c r="KYK29" s="371"/>
      <c r="KYL29" s="371"/>
      <c r="KYM29" s="371"/>
      <c r="KYN29" s="371"/>
      <c r="KYO29" s="382"/>
      <c r="KYS29" s="371"/>
      <c r="KYT29" s="371"/>
      <c r="KYU29" s="371"/>
      <c r="KYV29" s="371"/>
      <c r="KYW29" s="371"/>
      <c r="KYX29" s="371"/>
      <c r="KYY29" s="371"/>
      <c r="KYZ29" s="371"/>
      <c r="KZA29" s="371"/>
      <c r="KZB29" s="371"/>
      <c r="KZC29" s="371"/>
      <c r="KZD29" s="371"/>
      <c r="KZE29" s="371"/>
      <c r="KZF29" s="371"/>
      <c r="KZG29" s="371"/>
      <c r="KZH29" s="371"/>
      <c r="KZI29" s="371"/>
      <c r="KZJ29" s="371"/>
      <c r="KZK29" s="371"/>
      <c r="KZL29" s="371"/>
      <c r="KZM29" s="371"/>
      <c r="KZN29" s="371"/>
      <c r="KZO29" s="371"/>
      <c r="KZP29" s="371"/>
      <c r="KZQ29" s="371"/>
      <c r="KZR29" s="371"/>
      <c r="KZS29" s="382"/>
      <c r="KZW29" s="371"/>
      <c r="KZX29" s="371"/>
      <c r="KZY29" s="371"/>
      <c r="KZZ29" s="371"/>
      <c r="LAA29" s="371"/>
      <c r="LAB29" s="371"/>
      <c r="LAC29" s="371"/>
      <c r="LAD29" s="371"/>
      <c r="LAE29" s="371"/>
      <c r="LAF29" s="371"/>
      <c r="LAG29" s="371"/>
      <c r="LAH29" s="371"/>
      <c r="LAI29" s="371"/>
      <c r="LAJ29" s="371"/>
      <c r="LAK29" s="371"/>
      <c r="LAL29" s="371"/>
      <c r="LAM29" s="371"/>
      <c r="LAN29" s="371"/>
      <c r="LAO29" s="371"/>
      <c r="LAP29" s="371"/>
      <c r="LAQ29" s="371"/>
      <c r="LAR29" s="371"/>
      <c r="LAS29" s="371"/>
      <c r="LAT29" s="371"/>
      <c r="LAU29" s="371"/>
      <c r="LAV29" s="371"/>
      <c r="LAW29" s="382"/>
      <c r="LBA29" s="371"/>
      <c r="LBB29" s="371"/>
      <c r="LBC29" s="371"/>
      <c r="LBD29" s="371"/>
      <c r="LBE29" s="371"/>
      <c r="LBF29" s="371"/>
      <c r="LBG29" s="371"/>
      <c r="LBH29" s="371"/>
      <c r="LBI29" s="371"/>
      <c r="LBJ29" s="371"/>
      <c r="LBK29" s="371"/>
      <c r="LBL29" s="371"/>
      <c r="LBM29" s="371"/>
      <c r="LBN29" s="371"/>
      <c r="LBO29" s="371"/>
      <c r="LBP29" s="371"/>
      <c r="LBQ29" s="371"/>
      <c r="LBR29" s="371"/>
      <c r="LBS29" s="371"/>
      <c r="LBT29" s="371"/>
      <c r="LBU29" s="371"/>
      <c r="LBV29" s="371"/>
      <c r="LBW29" s="371"/>
      <c r="LBX29" s="371"/>
      <c r="LBY29" s="371"/>
      <c r="LBZ29" s="371"/>
      <c r="LCA29" s="382"/>
      <c r="LCE29" s="371"/>
      <c r="LCF29" s="371"/>
      <c r="LCG29" s="371"/>
      <c r="LCH29" s="371"/>
      <c r="LCI29" s="371"/>
      <c r="LCJ29" s="371"/>
      <c r="LCK29" s="371"/>
      <c r="LCL29" s="371"/>
      <c r="LCM29" s="371"/>
      <c r="LCN29" s="371"/>
      <c r="LCO29" s="371"/>
      <c r="LCP29" s="371"/>
      <c r="LCQ29" s="371"/>
      <c r="LCR29" s="371"/>
      <c r="LCS29" s="371"/>
      <c r="LCT29" s="371"/>
      <c r="LCU29" s="371"/>
      <c r="LCV29" s="371"/>
      <c r="LCW29" s="371"/>
      <c r="LCX29" s="371"/>
      <c r="LCY29" s="371"/>
      <c r="LCZ29" s="371"/>
      <c r="LDA29" s="371"/>
      <c r="LDB29" s="371"/>
      <c r="LDC29" s="371"/>
      <c r="LDD29" s="371"/>
      <c r="LDE29" s="382"/>
      <c r="LDI29" s="371"/>
      <c r="LDJ29" s="371"/>
      <c r="LDK29" s="371"/>
      <c r="LDL29" s="371"/>
      <c r="LDM29" s="371"/>
      <c r="LDN29" s="371"/>
      <c r="LDO29" s="371"/>
      <c r="LDP29" s="371"/>
      <c r="LDQ29" s="371"/>
      <c r="LDR29" s="371"/>
      <c r="LDS29" s="371"/>
      <c r="LDT29" s="371"/>
      <c r="LDU29" s="371"/>
      <c r="LDV29" s="371"/>
      <c r="LDW29" s="371"/>
      <c r="LDX29" s="371"/>
      <c r="LDY29" s="371"/>
      <c r="LDZ29" s="371"/>
      <c r="LEA29" s="371"/>
      <c r="LEB29" s="371"/>
      <c r="LEC29" s="371"/>
      <c r="LED29" s="371"/>
      <c r="LEE29" s="371"/>
      <c r="LEF29" s="371"/>
      <c r="LEG29" s="371"/>
      <c r="LEH29" s="371"/>
      <c r="LEI29" s="382"/>
      <c r="LEM29" s="371"/>
      <c r="LEN29" s="371"/>
      <c r="LEO29" s="371"/>
      <c r="LEP29" s="371"/>
      <c r="LEQ29" s="371"/>
      <c r="LER29" s="371"/>
      <c r="LES29" s="371"/>
      <c r="LET29" s="371"/>
      <c r="LEU29" s="371"/>
      <c r="LEV29" s="371"/>
      <c r="LEW29" s="371"/>
      <c r="LEX29" s="371"/>
      <c r="LEY29" s="371"/>
      <c r="LEZ29" s="371"/>
      <c r="LFA29" s="371"/>
      <c r="LFB29" s="371"/>
      <c r="LFC29" s="371"/>
      <c r="LFD29" s="371"/>
      <c r="LFE29" s="371"/>
      <c r="LFF29" s="371"/>
      <c r="LFG29" s="371"/>
      <c r="LFH29" s="371"/>
      <c r="LFI29" s="371"/>
      <c r="LFJ29" s="371"/>
      <c r="LFK29" s="371"/>
      <c r="LFL29" s="371"/>
      <c r="LFM29" s="382"/>
      <c r="LFQ29" s="371"/>
      <c r="LFR29" s="371"/>
      <c r="LFS29" s="371"/>
      <c r="LFT29" s="371"/>
      <c r="LFU29" s="371"/>
      <c r="LFV29" s="371"/>
      <c r="LFW29" s="371"/>
      <c r="LFX29" s="371"/>
      <c r="LFY29" s="371"/>
      <c r="LFZ29" s="371"/>
      <c r="LGA29" s="371"/>
      <c r="LGB29" s="371"/>
      <c r="LGC29" s="371"/>
      <c r="LGD29" s="371"/>
      <c r="LGE29" s="371"/>
      <c r="LGF29" s="371"/>
      <c r="LGG29" s="371"/>
      <c r="LGH29" s="371"/>
      <c r="LGI29" s="371"/>
      <c r="LGJ29" s="371"/>
      <c r="LGK29" s="371"/>
      <c r="LGL29" s="371"/>
      <c r="LGM29" s="371"/>
      <c r="LGN29" s="371"/>
      <c r="LGO29" s="371"/>
      <c r="LGP29" s="371"/>
      <c r="LGQ29" s="382"/>
      <c r="LGU29" s="371"/>
      <c r="LGV29" s="371"/>
      <c r="LGW29" s="371"/>
      <c r="LGX29" s="371"/>
      <c r="LGY29" s="371"/>
      <c r="LGZ29" s="371"/>
      <c r="LHA29" s="371"/>
      <c r="LHB29" s="371"/>
      <c r="LHC29" s="371"/>
      <c r="LHD29" s="371"/>
      <c r="LHE29" s="371"/>
      <c r="LHF29" s="371"/>
      <c r="LHG29" s="371"/>
      <c r="LHH29" s="371"/>
      <c r="LHI29" s="371"/>
      <c r="LHJ29" s="371"/>
      <c r="LHK29" s="371"/>
      <c r="LHL29" s="371"/>
      <c r="LHM29" s="371"/>
      <c r="LHN29" s="371"/>
      <c r="LHO29" s="371"/>
      <c r="LHP29" s="371"/>
      <c r="LHQ29" s="371"/>
      <c r="LHR29" s="371"/>
      <c r="LHS29" s="371"/>
      <c r="LHT29" s="371"/>
      <c r="LHU29" s="382"/>
      <c r="LHY29" s="371"/>
      <c r="LHZ29" s="371"/>
      <c r="LIA29" s="371"/>
      <c r="LIB29" s="371"/>
      <c r="LIC29" s="371"/>
      <c r="LID29" s="371"/>
      <c r="LIE29" s="371"/>
      <c r="LIF29" s="371"/>
      <c r="LIG29" s="371"/>
      <c r="LIH29" s="371"/>
      <c r="LII29" s="371"/>
      <c r="LIJ29" s="371"/>
      <c r="LIK29" s="371"/>
      <c r="LIL29" s="371"/>
      <c r="LIM29" s="371"/>
      <c r="LIN29" s="371"/>
      <c r="LIO29" s="371"/>
      <c r="LIP29" s="371"/>
      <c r="LIQ29" s="371"/>
      <c r="LIR29" s="371"/>
      <c r="LIS29" s="371"/>
      <c r="LIT29" s="371"/>
      <c r="LIU29" s="371"/>
      <c r="LIV29" s="371"/>
      <c r="LIW29" s="371"/>
      <c r="LIX29" s="371"/>
      <c r="LIY29" s="382"/>
      <c r="LJC29" s="371"/>
      <c r="LJD29" s="371"/>
      <c r="LJE29" s="371"/>
      <c r="LJF29" s="371"/>
      <c r="LJG29" s="371"/>
      <c r="LJH29" s="371"/>
      <c r="LJI29" s="371"/>
      <c r="LJJ29" s="371"/>
      <c r="LJK29" s="371"/>
      <c r="LJL29" s="371"/>
      <c r="LJM29" s="371"/>
      <c r="LJN29" s="371"/>
      <c r="LJO29" s="371"/>
      <c r="LJP29" s="371"/>
      <c r="LJQ29" s="371"/>
      <c r="LJR29" s="371"/>
      <c r="LJS29" s="371"/>
      <c r="LJT29" s="371"/>
      <c r="LJU29" s="371"/>
      <c r="LJV29" s="371"/>
      <c r="LJW29" s="371"/>
      <c r="LJX29" s="371"/>
      <c r="LJY29" s="371"/>
      <c r="LJZ29" s="371"/>
      <c r="LKA29" s="371"/>
      <c r="LKB29" s="371"/>
      <c r="LKC29" s="382"/>
      <c r="LKG29" s="371"/>
      <c r="LKH29" s="371"/>
      <c r="LKI29" s="371"/>
      <c r="LKJ29" s="371"/>
      <c r="LKK29" s="371"/>
      <c r="LKL29" s="371"/>
      <c r="LKM29" s="371"/>
      <c r="LKN29" s="371"/>
      <c r="LKO29" s="371"/>
      <c r="LKP29" s="371"/>
      <c r="LKQ29" s="371"/>
      <c r="LKR29" s="371"/>
      <c r="LKS29" s="371"/>
      <c r="LKT29" s="371"/>
      <c r="LKU29" s="371"/>
      <c r="LKV29" s="371"/>
      <c r="LKW29" s="371"/>
      <c r="LKX29" s="371"/>
      <c r="LKY29" s="371"/>
      <c r="LKZ29" s="371"/>
      <c r="LLA29" s="371"/>
      <c r="LLB29" s="371"/>
      <c r="LLC29" s="371"/>
      <c r="LLD29" s="371"/>
      <c r="LLE29" s="371"/>
      <c r="LLF29" s="371"/>
      <c r="LLG29" s="382"/>
      <c r="LLK29" s="371"/>
      <c r="LLL29" s="371"/>
      <c r="LLM29" s="371"/>
      <c r="LLN29" s="371"/>
      <c r="LLO29" s="371"/>
      <c r="LLP29" s="371"/>
      <c r="LLQ29" s="371"/>
      <c r="LLR29" s="371"/>
      <c r="LLS29" s="371"/>
      <c r="LLT29" s="371"/>
      <c r="LLU29" s="371"/>
      <c r="LLV29" s="371"/>
      <c r="LLW29" s="371"/>
      <c r="LLX29" s="371"/>
      <c r="LLY29" s="371"/>
      <c r="LLZ29" s="371"/>
      <c r="LMA29" s="371"/>
      <c r="LMB29" s="371"/>
      <c r="LMC29" s="371"/>
      <c r="LMD29" s="371"/>
      <c r="LME29" s="371"/>
      <c r="LMF29" s="371"/>
      <c r="LMG29" s="371"/>
      <c r="LMH29" s="371"/>
      <c r="LMI29" s="371"/>
      <c r="LMJ29" s="371"/>
      <c r="LMK29" s="382"/>
      <c r="LMO29" s="371"/>
      <c r="LMP29" s="371"/>
      <c r="LMQ29" s="371"/>
      <c r="LMR29" s="371"/>
      <c r="LMS29" s="371"/>
      <c r="LMT29" s="371"/>
      <c r="LMU29" s="371"/>
      <c r="LMV29" s="371"/>
      <c r="LMW29" s="371"/>
      <c r="LMX29" s="371"/>
      <c r="LMY29" s="371"/>
      <c r="LMZ29" s="371"/>
      <c r="LNA29" s="371"/>
      <c r="LNB29" s="371"/>
      <c r="LNC29" s="371"/>
      <c r="LND29" s="371"/>
      <c r="LNE29" s="371"/>
      <c r="LNF29" s="371"/>
      <c r="LNG29" s="371"/>
      <c r="LNH29" s="371"/>
      <c r="LNI29" s="371"/>
      <c r="LNJ29" s="371"/>
      <c r="LNK29" s="371"/>
      <c r="LNL29" s="371"/>
      <c r="LNM29" s="371"/>
      <c r="LNN29" s="371"/>
      <c r="LNO29" s="382"/>
      <c r="LNS29" s="371"/>
      <c r="LNT29" s="371"/>
      <c r="LNU29" s="371"/>
      <c r="LNV29" s="371"/>
      <c r="LNW29" s="371"/>
      <c r="LNX29" s="371"/>
      <c r="LNY29" s="371"/>
      <c r="LNZ29" s="371"/>
      <c r="LOA29" s="371"/>
      <c r="LOB29" s="371"/>
      <c r="LOC29" s="371"/>
      <c r="LOD29" s="371"/>
      <c r="LOE29" s="371"/>
      <c r="LOF29" s="371"/>
      <c r="LOG29" s="371"/>
      <c r="LOH29" s="371"/>
      <c r="LOI29" s="371"/>
      <c r="LOJ29" s="371"/>
      <c r="LOK29" s="371"/>
      <c r="LOL29" s="371"/>
      <c r="LOM29" s="371"/>
      <c r="LON29" s="371"/>
      <c r="LOO29" s="371"/>
      <c r="LOP29" s="371"/>
      <c r="LOQ29" s="371"/>
      <c r="LOR29" s="371"/>
      <c r="LOS29" s="382"/>
      <c r="LOW29" s="371"/>
      <c r="LOX29" s="371"/>
      <c r="LOY29" s="371"/>
      <c r="LOZ29" s="371"/>
      <c r="LPA29" s="371"/>
      <c r="LPB29" s="371"/>
      <c r="LPC29" s="371"/>
      <c r="LPD29" s="371"/>
      <c r="LPE29" s="371"/>
      <c r="LPF29" s="371"/>
      <c r="LPG29" s="371"/>
      <c r="LPH29" s="371"/>
      <c r="LPI29" s="371"/>
      <c r="LPJ29" s="371"/>
      <c r="LPK29" s="371"/>
      <c r="LPL29" s="371"/>
      <c r="LPM29" s="371"/>
      <c r="LPN29" s="371"/>
      <c r="LPO29" s="371"/>
      <c r="LPP29" s="371"/>
      <c r="LPQ29" s="371"/>
      <c r="LPR29" s="371"/>
      <c r="LPS29" s="371"/>
      <c r="LPT29" s="371"/>
      <c r="LPU29" s="371"/>
      <c r="LPV29" s="371"/>
      <c r="LPW29" s="382"/>
      <c r="LQA29" s="371"/>
      <c r="LQB29" s="371"/>
      <c r="LQC29" s="371"/>
      <c r="LQD29" s="371"/>
      <c r="LQE29" s="371"/>
      <c r="LQF29" s="371"/>
      <c r="LQG29" s="371"/>
      <c r="LQH29" s="371"/>
      <c r="LQI29" s="371"/>
      <c r="LQJ29" s="371"/>
      <c r="LQK29" s="371"/>
      <c r="LQL29" s="371"/>
      <c r="LQM29" s="371"/>
      <c r="LQN29" s="371"/>
      <c r="LQO29" s="371"/>
      <c r="LQP29" s="371"/>
      <c r="LQQ29" s="371"/>
      <c r="LQR29" s="371"/>
      <c r="LQS29" s="371"/>
      <c r="LQT29" s="371"/>
      <c r="LQU29" s="371"/>
      <c r="LQV29" s="371"/>
      <c r="LQW29" s="371"/>
      <c r="LQX29" s="371"/>
      <c r="LQY29" s="371"/>
      <c r="LQZ29" s="371"/>
      <c r="LRA29" s="382"/>
      <c r="LRE29" s="371"/>
      <c r="LRF29" s="371"/>
      <c r="LRG29" s="371"/>
      <c r="LRH29" s="371"/>
      <c r="LRI29" s="371"/>
      <c r="LRJ29" s="371"/>
      <c r="LRK29" s="371"/>
      <c r="LRL29" s="371"/>
      <c r="LRM29" s="371"/>
      <c r="LRN29" s="371"/>
      <c r="LRO29" s="371"/>
      <c r="LRP29" s="371"/>
      <c r="LRQ29" s="371"/>
      <c r="LRR29" s="371"/>
      <c r="LRS29" s="371"/>
      <c r="LRT29" s="371"/>
      <c r="LRU29" s="371"/>
      <c r="LRV29" s="371"/>
      <c r="LRW29" s="371"/>
      <c r="LRX29" s="371"/>
      <c r="LRY29" s="371"/>
      <c r="LRZ29" s="371"/>
      <c r="LSA29" s="371"/>
      <c r="LSB29" s="371"/>
      <c r="LSC29" s="371"/>
      <c r="LSD29" s="371"/>
      <c r="LSE29" s="382"/>
      <c r="LSI29" s="371"/>
      <c r="LSJ29" s="371"/>
      <c r="LSK29" s="371"/>
      <c r="LSL29" s="371"/>
      <c r="LSM29" s="371"/>
      <c r="LSN29" s="371"/>
      <c r="LSO29" s="371"/>
      <c r="LSP29" s="371"/>
      <c r="LSQ29" s="371"/>
      <c r="LSR29" s="371"/>
      <c r="LSS29" s="371"/>
      <c r="LST29" s="371"/>
      <c r="LSU29" s="371"/>
      <c r="LSV29" s="371"/>
      <c r="LSW29" s="371"/>
      <c r="LSX29" s="371"/>
      <c r="LSY29" s="371"/>
      <c r="LSZ29" s="371"/>
      <c r="LTA29" s="371"/>
      <c r="LTB29" s="371"/>
      <c r="LTC29" s="371"/>
      <c r="LTD29" s="371"/>
      <c r="LTE29" s="371"/>
      <c r="LTF29" s="371"/>
      <c r="LTG29" s="371"/>
      <c r="LTH29" s="371"/>
      <c r="LTI29" s="382"/>
      <c r="LTM29" s="371"/>
      <c r="LTN29" s="371"/>
      <c r="LTO29" s="371"/>
      <c r="LTP29" s="371"/>
      <c r="LTQ29" s="371"/>
      <c r="LTR29" s="371"/>
      <c r="LTS29" s="371"/>
      <c r="LTT29" s="371"/>
      <c r="LTU29" s="371"/>
      <c r="LTV29" s="371"/>
      <c r="LTW29" s="371"/>
      <c r="LTX29" s="371"/>
      <c r="LTY29" s="371"/>
      <c r="LTZ29" s="371"/>
      <c r="LUA29" s="371"/>
      <c r="LUB29" s="371"/>
      <c r="LUC29" s="371"/>
      <c r="LUD29" s="371"/>
      <c r="LUE29" s="371"/>
      <c r="LUF29" s="371"/>
      <c r="LUG29" s="371"/>
      <c r="LUH29" s="371"/>
      <c r="LUI29" s="371"/>
      <c r="LUJ29" s="371"/>
      <c r="LUK29" s="371"/>
      <c r="LUL29" s="371"/>
      <c r="LUM29" s="382"/>
      <c r="LUQ29" s="371"/>
      <c r="LUR29" s="371"/>
      <c r="LUS29" s="371"/>
      <c r="LUT29" s="371"/>
      <c r="LUU29" s="371"/>
      <c r="LUV29" s="371"/>
      <c r="LUW29" s="371"/>
      <c r="LUX29" s="371"/>
      <c r="LUY29" s="371"/>
      <c r="LUZ29" s="371"/>
      <c r="LVA29" s="371"/>
      <c r="LVB29" s="371"/>
      <c r="LVC29" s="371"/>
      <c r="LVD29" s="371"/>
      <c r="LVE29" s="371"/>
      <c r="LVF29" s="371"/>
      <c r="LVG29" s="371"/>
      <c r="LVH29" s="371"/>
      <c r="LVI29" s="371"/>
      <c r="LVJ29" s="371"/>
      <c r="LVK29" s="371"/>
      <c r="LVL29" s="371"/>
      <c r="LVM29" s="371"/>
      <c r="LVN29" s="371"/>
      <c r="LVO29" s="371"/>
      <c r="LVP29" s="371"/>
      <c r="LVQ29" s="382"/>
      <c r="LVU29" s="371"/>
      <c r="LVV29" s="371"/>
      <c r="LVW29" s="371"/>
      <c r="LVX29" s="371"/>
      <c r="LVY29" s="371"/>
      <c r="LVZ29" s="371"/>
      <c r="LWA29" s="371"/>
      <c r="LWB29" s="371"/>
      <c r="LWC29" s="371"/>
      <c r="LWD29" s="371"/>
      <c r="LWE29" s="371"/>
      <c r="LWF29" s="371"/>
      <c r="LWG29" s="371"/>
      <c r="LWH29" s="371"/>
      <c r="LWI29" s="371"/>
      <c r="LWJ29" s="371"/>
      <c r="LWK29" s="371"/>
      <c r="LWL29" s="371"/>
      <c r="LWM29" s="371"/>
      <c r="LWN29" s="371"/>
      <c r="LWO29" s="371"/>
      <c r="LWP29" s="371"/>
      <c r="LWQ29" s="371"/>
      <c r="LWR29" s="371"/>
      <c r="LWS29" s="371"/>
      <c r="LWT29" s="371"/>
      <c r="LWU29" s="382"/>
      <c r="LWY29" s="371"/>
      <c r="LWZ29" s="371"/>
      <c r="LXA29" s="371"/>
      <c r="LXB29" s="371"/>
      <c r="LXC29" s="371"/>
      <c r="LXD29" s="371"/>
      <c r="LXE29" s="371"/>
      <c r="LXF29" s="371"/>
      <c r="LXG29" s="371"/>
      <c r="LXH29" s="371"/>
      <c r="LXI29" s="371"/>
      <c r="LXJ29" s="371"/>
      <c r="LXK29" s="371"/>
      <c r="LXL29" s="371"/>
      <c r="LXM29" s="371"/>
      <c r="LXN29" s="371"/>
      <c r="LXO29" s="371"/>
      <c r="LXP29" s="371"/>
      <c r="LXQ29" s="371"/>
      <c r="LXR29" s="371"/>
      <c r="LXS29" s="371"/>
      <c r="LXT29" s="371"/>
      <c r="LXU29" s="371"/>
      <c r="LXV29" s="371"/>
      <c r="LXW29" s="371"/>
      <c r="LXX29" s="371"/>
      <c r="LXY29" s="382"/>
      <c r="LYC29" s="371"/>
      <c r="LYD29" s="371"/>
      <c r="LYE29" s="371"/>
      <c r="LYF29" s="371"/>
      <c r="LYG29" s="371"/>
      <c r="LYH29" s="371"/>
      <c r="LYI29" s="371"/>
      <c r="LYJ29" s="371"/>
      <c r="LYK29" s="371"/>
      <c r="LYL29" s="371"/>
      <c r="LYM29" s="371"/>
      <c r="LYN29" s="371"/>
      <c r="LYO29" s="371"/>
      <c r="LYP29" s="371"/>
      <c r="LYQ29" s="371"/>
      <c r="LYR29" s="371"/>
      <c r="LYS29" s="371"/>
      <c r="LYT29" s="371"/>
      <c r="LYU29" s="371"/>
      <c r="LYV29" s="371"/>
      <c r="LYW29" s="371"/>
      <c r="LYX29" s="371"/>
      <c r="LYY29" s="371"/>
      <c r="LYZ29" s="371"/>
      <c r="LZA29" s="371"/>
      <c r="LZB29" s="371"/>
      <c r="LZC29" s="382"/>
      <c r="LZG29" s="371"/>
      <c r="LZH29" s="371"/>
      <c r="LZI29" s="371"/>
      <c r="LZJ29" s="371"/>
      <c r="LZK29" s="371"/>
      <c r="LZL29" s="371"/>
      <c r="LZM29" s="371"/>
      <c r="LZN29" s="371"/>
      <c r="LZO29" s="371"/>
      <c r="LZP29" s="371"/>
      <c r="LZQ29" s="371"/>
      <c r="LZR29" s="371"/>
      <c r="LZS29" s="371"/>
      <c r="LZT29" s="371"/>
      <c r="LZU29" s="371"/>
      <c r="LZV29" s="371"/>
      <c r="LZW29" s="371"/>
      <c r="LZX29" s="371"/>
      <c r="LZY29" s="371"/>
      <c r="LZZ29" s="371"/>
      <c r="MAA29" s="371"/>
      <c r="MAB29" s="371"/>
      <c r="MAC29" s="371"/>
      <c r="MAD29" s="371"/>
      <c r="MAE29" s="371"/>
      <c r="MAF29" s="371"/>
      <c r="MAG29" s="382"/>
      <c r="MAK29" s="371"/>
      <c r="MAL29" s="371"/>
      <c r="MAM29" s="371"/>
      <c r="MAN29" s="371"/>
      <c r="MAO29" s="371"/>
      <c r="MAP29" s="371"/>
      <c r="MAQ29" s="371"/>
      <c r="MAR29" s="371"/>
      <c r="MAS29" s="371"/>
      <c r="MAT29" s="371"/>
      <c r="MAU29" s="371"/>
      <c r="MAV29" s="371"/>
      <c r="MAW29" s="371"/>
      <c r="MAX29" s="371"/>
      <c r="MAY29" s="371"/>
      <c r="MAZ29" s="371"/>
      <c r="MBA29" s="371"/>
      <c r="MBB29" s="371"/>
      <c r="MBC29" s="371"/>
      <c r="MBD29" s="371"/>
      <c r="MBE29" s="371"/>
      <c r="MBF29" s="371"/>
      <c r="MBG29" s="371"/>
      <c r="MBH29" s="371"/>
      <c r="MBI29" s="371"/>
      <c r="MBJ29" s="371"/>
      <c r="MBK29" s="382"/>
      <c r="MBO29" s="371"/>
      <c r="MBP29" s="371"/>
      <c r="MBQ29" s="371"/>
      <c r="MBR29" s="371"/>
      <c r="MBS29" s="371"/>
      <c r="MBT29" s="371"/>
      <c r="MBU29" s="371"/>
      <c r="MBV29" s="371"/>
      <c r="MBW29" s="371"/>
      <c r="MBX29" s="371"/>
      <c r="MBY29" s="371"/>
      <c r="MBZ29" s="371"/>
      <c r="MCA29" s="371"/>
      <c r="MCB29" s="371"/>
      <c r="MCC29" s="371"/>
      <c r="MCD29" s="371"/>
      <c r="MCE29" s="371"/>
      <c r="MCF29" s="371"/>
      <c r="MCG29" s="371"/>
      <c r="MCH29" s="371"/>
      <c r="MCI29" s="371"/>
      <c r="MCJ29" s="371"/>
      <c r="MCK29" s="371"/>
      <c r="MCL29" s="371"/>
      <c r="MCM29" s="371"/>
      <c r="MCN29" s="371"/>
      <c r="MCO29" s="382"/>
      <c r="MCS29" s="371"/>
      <c r="MCT29" s="371"/>
      <c r="MCU29" s="371"/>
      <c r="MCV29" s="371"/>
      <c r="MCW29" s="371"/>
      <c r="MCX29" s="371"/>
      <c r="MCY29" s="371"/>
      <c r="MCZ29" s="371"/>
      <c r="MDA29" s="371"/>
      <c r="MDB29" s="371"/>
      <c r="MDC29" s="371"/>
      <c r="MDD29" s="371"/>
      <c r="MDE29" s="371"/>
      <c r="MDF29" s="371"/>
      <c r="MDG29" s="371"/>
      <c r="MDH29" s="371"/>
      <c r="MDI29" s="371"/>
      <c r="MDJ29" s="371"/>
      <c r="MDK29" s="371"/>
      <c r="MDL29" s="371"/>
      <c r="MDM29" s="371"/>
      <c r="MDN29" s="371"/>
      <c r="MDO29" s="371"/>
      <c r="MDP29" s="371"/>
      <c r="MDQ29" s="371"/>
      <c r="MDR29" s="371"/>
      <c r="MDS29" s="382"/>
      <c r="MDW29" s="371"/>
      <c r="MDX29" s="371"/>
      <c r="MDY29" s="371"/>
      <c r="MDZ29" s="371"/>
      <c r="MEA29" s="371"/>
      <c r="MEB29" s="371"/>
      <c r="MEC29" s="371"/>
      <c r="MED29" s="371"/>
      <c r="MEE29" s="371"/>
      <c r="MEF29" s="371"/>
      <c r="MEG29" s="371"/>
      <c r="MEH29" s="371"/>
      <c r="MEI29" s="371"/>
      <c r="MEJ29" s="371"/>
      <c r="MEK29" s="371"/>
      <c r="MEL29" s="371"/>
      <c r="MEM29" s="371"/>
      <c r="MEN29" s="371"/>
      <c r="MEO29" s="371"/>
      <c r="MEP29" s="371"/>
      <c r="MEQ29" s="371"/>
      <c r="MER29" s="371"/>
      <c r="MES29" s="371"/>
      <c r="MET29" s="371"/>
      <c r="MEU29" s="371"/>
      <c r="MEV29" s="371"/>
      <c r="MEW29" s="382"/>
      <c r="MFA29" s="371"/>
      <c r="MFB29" s="371"/>
      <c r="MFC29" s="371"/>
      <c r="MFD29" s="371"/>
      <c r="MFE29" s="371"/>
      <c r="MFF29" s="371"/>
      <c r="MFG29" s="371"/>
      <c r="MFH29" s="371"/>
      <c r="MFI29" s="371"/>
      <c r="MFJ29" s="371"/>
      <c r="MFK29" s="371"/>
      <c r="MFL29" s="371"/>
      <c r="MFM29" s="371"/>
      <c r="MFN29" s="371"/>
      <c r="MFO29" s="371"/>
      <c r="MFP29" s="371"/>
      <c r="MFQ29" s="371"/>
      <c r="MFR29" s="371"/>
      <c r="MFS29" s="371"/>
      <c r="MFT29" s="371"/>
      <c r="MFU29" s="371"/>
      <c r="MFV29" s="371"/>
      <c r="MFW29" s="371"/>
      <c r="MFX29" s="371"/>
      <c r="MFY29" s="371"/>
      <c r="MFZ29" s="371"/>
      <c r="MGA29" s="382"/>
      <c r="MGE29" s="371"/>
      <c r="MGF29" s="371"/>
      <c r="MGG29" s="371"/>
      <c r="MGH29" s="371"/>
      <c r="MGI29" s="371"/>
      <c r="MGJ29" s="371"/>
      <c r="MGK29" s="371"/>
      <c r="MGL29" s="371"/>
      <c r="MGM29" s="371"/>
      <c r="MGN29" s="371"/>
      <c r="MGO29" s="371"/>
      <c r="MGP29" s="371"/>
      <c r="MGQ29" s="371"/>
      <c r="MGR29" s="371"/>
      <c r="MGS29" s="371"/>
      <c r="MGT29" s="371"/>
      <c r="MGU29" s="371"/>
      <c r="MGV29" s="371"/>
      <c r="MGW29" s="371"/>
      <c r="MGX29" s="371"/>
      <c r="MGY29" s="371"/>
      <c r="MGZ29" s="371"/>
      <c r="MHA29" s="371"/>
      <c r="MHB29" s="371"/>
      <c r="MHC29" s="371"/>
      <c r="MHD29" s="371"/>
      <c r="MHE29" s="382"/>
      <c r="MHI29" s="371"/>
      <c r="MHJ29" s="371"/>
      <c r="MHK29" s="371"/>
      <c r="MHL29" s="371"/>
      <c r="MHM29" s="371"/>
      <c r="MHN29" s="371"/>
      <c r="MHO29" s="371"/>
      <c r="MHP29" s="371"/>
      <c r="MHQ29" s="371"/>
      <c r="MHR29" s="371"/>
      <c r="MHS29" s="371"/>
      <c r="MHT29" s="371"/>
      <c r="MHU29" s="371"/>
      <c r="MHV29" s="371"/>
      <c r="MHW29" s="371"/>
      <c r="MHX29" s="371"/>
      <c r="MHY29" s="371"/>
      <c r="MHZ29" s="371"/>
      <c r="MIA29" s="371"/>
      <c r="MIB29" s="371"/>
      <c r="MIC29" s="371"/>
      <c r="MID29" s="371"/>
      <c r="MIE29" s="371"/>
      <c r="MIF29" s="371"/>
      <c r="MIG29" s="371"/>
      <c r="MIH29" s="371"/>
      <c r="MII29" s="382"/>
      <c r="MIM29" s="371"/>
      <c r="MIN29" s="371"/>
      <c r="MIO29" s="371"/>
      <c r="MIP29" s="371"/>
      <c r="MIQ29" s="371"/>
      <c r="MIR29" s="371"/>
      <c r="MIS29" s="371"/>
      <c r="MIT29" s="371"/>
      <c r="MIU29" s="371"/>
      <c r="MIV29" s="371"/>
      <c r="MIW29" s="371"/>
      <c r="MIX29" s="371"/>
      <c r="MIY29" s="371"/>
      <c r="MIZ29" s="371"/>
      <c r="MJA29" s="371"/>
      <c r="MJB29" s="371"/>
      <c r="MJC29" s="371"/>
      <c r="MJD29" s="371"/>
      <c r="MJE29" s="371"/>
      <c r="MJF29" s="371"/>
      <c r="MJG29" s="371"/>
      <c r="MJH29" s="371"/>
      <c r="MJI29" s="371"/>
      <c r="MJJ29" s="371"/>
      <c r="MJK29" s="371"/>
      <c r="MJL29" s="371"/>
      <c r="MJM29" s="382"/>
      <c r="MJQ29" s="371"/>
      <c r="MJR29" s="371"/>
      <c r="MJS29" s="371"/>
      <c r="MJT29" s="371"/>
      <c r="MJU29" s="371"/>
      <c r="MJV29" s="371"/>
      <c r="MJW29" s="371"/>
      <c r="MJX29" s="371"/>
      <c r="MJY29" s="371"/>
      <c r="MJZ29" s="371"/>
      <c r="MKA29" s="371"/>
      <c r="MKB29" s="371"/>
      <c r="MKC29" s="371"/>
      <c r="MKD29" s="371"/>
      <c r="MKE29" s="371"/>
      <c r="MKF29" s="371"/>
      <c r="MKG29" s="371"/>
      <c r="MKH29" s="371"/>
      <c r="MKI29" s="371"/>
      <c r="MKJ29" s="371"/>
      <c r="MKK29" s="371"/>
      <c r="MKL29" s="371"/>
      <c r="MKM29" s="371"/>
      <c r="MKN29" s="371"/>
      <c r="MKO29" s="371"/>
      <c r="MKP29" s="371"/>
      <c r="MKQ29" s="382"/>
      <c r="MKU29" s="371"/>
      <c r="MKV29" s="371"/>
      <c r="MKW29" s="371"/>
      <c r="MKX29" s="371"/>
      <c r="MKY29" s="371"/>
      <c r="MKZ29" s="371"/>
      <c r="MLA29" s="371"/>
      <c r="MLB29" s="371"/>
      <c r="MLC29" s="371"/>
      <c r="MLD29" s="371"/>
      <c r="MLE29" s="371"/>
      <c r="MLF29" s="371"/>
      <c r="MLG29" s="371"/>
      <c r="MLH29" s="371"/>
      <c r="MLI29" s="371"/>
      <c r="MLJ29" s="371"/>
      <c r="MLK29" s="371"/>
      <c r="MLL29" s="371"/>
      <c r="MLM29" s="371"/>
      <c r="MLN29" s="371"/>
      <c r="MLO29" s="371"/>
      <c r="MLP29" s="371"/>
      <c r="MLQ29" s="371"/>
      <c r="MLR29" s="371"/>
      <c r="MLS29" s="371"/>
      <c r="MLT29" s="371"/>
      <c r="MLU29" s="382"/>
      <c r="MLY29" s="371"/>
      <c r="MLZ29" s="371"/>
      <c r="MMA29" s="371"/>
      <c r="MMB29" s="371"/>
      <c r="MMC29" s="371"/>
      <c r="MMD29" s="371"/>
      <c r="MME29" s="371"/>
      <c r="MMF29" s="371"/>
      <c r="MMG29" s="371"/>
      <c r="MMH29" s="371"/>
      <c r="MMI29" s="371"/>
      <c r="MMJ29" s="371"/>
      <c r="MMK29" s="371"/>
      <c r="MML29" s="371"/>
      <c r="MMM29" s="371"/>
      <c r="MMN29" s="371"/>
      <c r="MMO29" s="371"/>
      <c r="MMP29" s="371"/>
      <c r="MMQ29" s="371"/>
      <c r="MMR29" s="371"/>
      <c r="MMS29" s="371"/>
      <c r="MMT29" s="371"/>
      <c r="MMU29" s="371"/>
      <c r="MMV29" s="371"/>
      <c r="MMW29" s="371"/>
      <c r="MMX29" s="371"/>
      <c r="MMY29" s="382"/>
      <c r="MNC29" s="371"/>
      <c r="MND29" s="371"/>
      <c r="MNE29" s="371"/>
      <c r="MNF29" s="371"/>
      <c r="MNG29" s="371"/>
      <c r="MNH29" s="371"/>
      <c r="MNI29" s="371"/>
      <c r="MNJ29" s="371"/>
      <c r="MNK29" s="371"/>
      <c r="MNL29" s="371"/>
      <c r="MNM29" s="371"/>
      <c r="MNN29" s="371"/>
      <c r="MNO29" s="371"/>
      <c r="MNP29" s="371"/>
      <c r="MNQ29" s="371"/>
      <c r="MNR29" s="371"/>
      <c r="MNS29" s="371"/>
      <c r="MNT29" s="371"/>
      <c r="MNU29" s="371"/>
      <c r="MNV29" s="371"/>
      <c r="MNW29" s="371"/>
      <c r="MNX29" s="371"/>
      <c r="MNY29" s="371"/>
      <c r="MNZ29" s="371"/>
      <c r="MOA29" s="371"/>
      <c r="MOB29" s="371"/>
      <c r="MOC29" s="382"/>
      <c r="MOG29" s="371"/>
      <c r="MOH29" s="371"/>
      <c r="MOI29" s="371"/>
      <c r="MOJ29" s="371"/>
      <c r="MOK29" s="371"/>
      <c r="MOL29" s="371"/>
      <c r="MOM29" s="371"/>
      <c r="MON29" s="371"/>
      <c r="MOO29" s="371"/>
      <c r="MOP29" s="371"/>
      <c r="MOQ29" s="371"/>
      <c r="MOR29" s="371"/>
      <c r="MOS29" s="371"/>
      <c r="MOT29" s="371"/>
      <c r="MOU29" s="371"/>
      <c r="MOV29" s="371"/>
      <c r="MOW29" s="371"/>
      <c r="MOX29" s="371"/>
      <c r="MOY29" s="371"/>
      <c r="MOZ29" s="371"/>
      <c r="MPA29" s="371"/>
      <c r="MPB29" s="371"/>
      <c r="MPC29" s="371"/>
      <c r="MPD29" s="371"/>
      <c r="MPE29" s="371"/>
      <c r="MPF29" s="371"/>
      <c r="MPG29" s="382"/>
      <c r="MPK29" s="371"/>
      <c r="MPL29" s="371"/>
      <c r="MPM29" s="371"/>
      <c r="MPN29" s="371"/>
      <c r="MPO29" s="371"/>
      <c r="MPP29" s="371"/>
      <c r="MPQ29" s="371"/>
      <c r="MPR29" s="371"/>
      <c r="MPS29" s="371"/>
      <c r="MPT29" s="371"/>
      <c r="MPU29" s="371"/>
      <c r="MPV29" s="371"/>
      <c r="MPW29" s="371"/>
      <c r="MPX29" s="371"/>
      <c r="MPY29" s="371"/>
      <c r="MPZ29" s="371"/>
      <c r="MQA29" s="371"/>
      <c r="MQB29" s="371"/>
      <c r="MQC29" s="371"/>
      <c r="MQD29" s="371"/>
      <c r="MQE29" s="371"/>
      <c r="MQF29" s="371"/>
      <c r="MQG29" s="371"/>
      <c r="MQH29" s="371"/>
      <c r="MQI29" s="371"/>
      <c r="MQJ29" s="371"/>
      <c r="MQK29" s="382"/>
      <c r="MQO29" s="371"/>
      <c r="MQP29" s="371"/>
      <c r="MQQ29" s="371"/>
      <c r="MQR29" s="371"/>
      <c r="MQS29" s="371"/>
      <c r="MQT29" s="371"/>
      <c r="MQU29" s="371"/>
      <c r="MQV29" s="371"/>
      <c r="MQW29" s="371"/>
      <c r="MQX29" s="371"/>
      <c r="MQY29" s="371"/>
      <c r="MQZ29" s="371"/>
      <c r="MRA29" s="371"/>
      <c r="MRB29" s="371"/>
      <c r="MRC29" s="371"/>
      <c r="MRD29" s="371"/>
      <c r="MRE29" s="371"/>
      <c r="MRF29" s="371"/>
      <c r="MRG29" s="371"/>
      <c r="MRH29" s="371"/>
      <c r="MRI29" s="371"/>
      <c r="MRJ29" s="371"/>
      <c r="MRK29" s="371"/>
      <c r="MRL29" s="371"/>
      <c r="MRM29" s="371"/>
      <c r="MRN29" s="371"/>
      <c r="MRO29" s="382"/>
      <c r="MRS29" s="371"/>
      <c r="MRT29" s="371"/>
      <c r="MRU29" s="371"/>
      <c r="MRV29" s="371"/>
      <c r="MRW29" s="371"/>
      <c r="MRX29" s="371"/>
      <c r="MRY29" s="371"/>
      <c r="MRZ29" s="371"/>
      <c r="MSA29" s="371"/>
      <c r="MSB29" s="371"/>
      <c r="MSC29" s="371"/>
      <c r="MSD29" s="371"/>
      <c r="MSE29" s="371"/>
      <c r="MSF29" s="371"/>
      <c r="MSG29" s="371"/>
      <c r="MSH29" s="371"/>
      <c r="MSI29" s="371"/>
      <c r="MSJ29" s="371"/>
      <c r="MSK29" s="371"/>
      <c r="MSL29" s="371"/>
      <c r="MSM29" s="371"/>
      <c r="MSN29" s="371"/>
      <c r="MSO29" s="371"/>
      <c r="MSP29" s="371"/>
      <c r="MSQ29" s="371"/>
      <c r="MSR29" s="371"/>
      <c r="MSS29" s="382"/>
      <c r="MSW29" s="371"/>
      <c r="MSX29" s="371"/>
      <c r="MSY29" s="371"/>
      <c r="MSZ29" s="371"/>
      <c r="MTA29" s="371"/>
      <c r="MTB29" s="371"/>
      <c r="MTC29" s="371"/>
      <c r="MTD29" s="371"/>
      <c r="MTE29" s="371"/>
      <c r="MTF29" s="371"/>
      <c r="MTG29" s="371"/>
      <c r="MTH29" s="371"/>
      <c r="MTI29" s="371"/>
      <c r="MTJ29" s="371"/>
      <c r="MTK29" s="371"/>
      <c r="MTL29" s="371"/>
      <c r="MTM29" s="371"/>
      <c r="MTN29" s="371"/>
      <c r="MTO29" s="371"/>
      <c r="MTP29" s="371"/>
      <c r="MTQ29" s="371"/>
      <c r="MTR29" s="371"/>
      <c r="MTS29" s="371"/>
      <c r="MTT29" s="371"/>
      <c r="MTU29" s="371"/>
      <c r="MTV29" s="371"/>
      <c r="MTW29" s="382"/>
      <c r="MUA29" s="371"/>
      <c r="MUB29" s="371"/>
      <c r="MUC29" s="371"/>
      <c r="MUD29" s="371"/>
      <c r="MUE29" s="371"/>
      <c r="MUF29" s="371"/>
      <c r="MUG29" s="371"/>
      <c r="MUH29" s="371"/>
      <c r="MUI29" s="371"/>
      <c r="MUJ29" s="371"/>
      <c r="MUK29" s="371"/>
      <c r="MUL29" s="371"/>
      <c r="MUM29" s="371"/>
      <c r="MUN29" s="371"/>
      <c r="MUO29" s="371"/>
      <c r="MUP29" s="371"/>
      <c r="MUQ29" s="371"/>
      <c r="MUR29" s="371"/>
      <c r="MUS29" s="371"/>
      <c r="MUT29" s="371"/>
      <c r="MUU29" s="371"/>
      <c r="MUV29" s="371"/>
      <c r="MUW29" s="371"/>
      <c r="MUX29" s="371"/>
      <c r="MUY29" s="371"/>
      <c r="MUZ29" s="371"/>
      <c r="MVA29" s="382"/>
      <c r="MVE29" s="371"/>
      <c r="MVF29" s="371"/>
      <c r="MVG29" s="371"/>
      <c r="MVH29" s="371"/>
      <c r="MVI29" s="371"/>
      <c r="MVJ29" s="371"/>
      <c r="MVK29" s="371"/>
      <c r="MVL29" s="371"/>
      <c r="MVM29" s="371"/>
      <c r="MVN29" s="371"/>
      <c r="MVO29" s="371"/>
      <c r="MVP29" s="371"/>
      <c r="MVQ29" s="371"/>
      <c r="MVR29" s="371"/>
      <c r="MVS29" s="371"/>
      <c r="MVT29" s="371"/>
      <c r="MVU29" s="371"/>
      <c r="MVV29" s="371"/>
      <c r="MVW29" s="371"/>
      <c r="MVX29" s="371"/>
      <c r="MVY29" s="371"/>
      <c r="MVZ29" s="371"/>
      <c r="MWA29" s="371"/>
      <c r="MWB29" s="371"/>
      <c r="MWC29" s="371"/>
      <c r="MWD29" s="371"/>
      <c r="MWE29" s="382"/>
      <c r="MWI29" s="371"/>
      <c r="MWJ29" s="371"/>
      <c r="MWK29" s="371"/>
      <c r="MWL29" s="371"/>
      <c r="MWM29" s="371"/>
      <c r="MWN29" s="371"/>
      <c r="MWO29" s="371"/>
      <c r="MWP29" s="371"/>
      <c r="MWQ29" s="371"/>
      <c r="MWR29" s="371"/>
      <c r="MWS29" s="371"/>
      <c r="MWT29" s="371"/>
      <c r="MWU29" s="371"/>
      <c r="MWV29" s="371"/>
      <c r="MWW29" s="371"/>
      <c r="MWX29" s="371"/>
      <c r="MWY29" s="371"/>
      <c r="MWZ29" s="371"/>
      <c r="MXA29" s="371"/>
      <c r="MXB29" s="371"/>
      <c r="MXC29" s="371"/>
      <c r="MXD29" s="371"/>
      <c r="MXE29" s="371"/>
      <c r="MXF29" s="371"/>
      <c r="MXG29" s="371"/>
      <c r="MXH29" s="371"/>
      <c r="MXI29" s="382"/>
      <c r="MXM29" s="371"/>
      <c r="MXN29" s="371"/>
      <c r="MXO29" s="371"/>
      <c r="MXP29" s="371"/>
      <c r="MXQ29" s="371"/>
      <c r="MXR29" s="371"/>
      <c r="MXS29" s="371"/>
      <c r="MXT29" s="371"/>
      <c r="MXU29" s="371"/>
      <c r="MXV29" s="371"/>
      <c r="MXW29" s="371"/>
      <c r="MXX29" s="371"/>
      <c r="MXY29" s="371"/>
      <c r="MXZ29" s="371"/>
      <c r="MYA29" s="371"/>
      <c r="MYB29" s="371"/>
      <c r="MYC29" s="371"/>
      <c r="MYD29" s="371"/>
      <c r="MYE29" s="371"/>
      <c r="MYF29" s="371"/>
      <c r="MYG29" s="371"/>
      <c r="MYH29" s="371"/>
      <c r="MYI29" s="371"/>
      <c r="MYJ29" s="371"/>
      <c r="MYK29" s="371"/>
      <c r="MYL29" s="371"/>
      <c r="MYM29" s="382"/>
      <c r="MYQ29" s="371"/>
      <c r="MYR29" s="371"/>
      <c r="MYS29" s="371"/>
      <c r="MYT29" s="371"/>
      <c r="MYU29" s="371"/>
      <c r="MYV29" s="371"/>
      <c r="MYW29" s="371"/>
      <c r="MYX29" s="371"/>
      <c r="MYY29" s="371"/>
      <c r="MYZ29" s="371"/>
      <c r="MZA29" s="371"/>
      <c r="MZB29" s="371"/>
      <c r="MZC29" s="371"/>
      <c r="MZD29" s="371"/>
      <c r="MZE29" s="371"/>
      <c r="MZF29" s="371"/>
      <c r="MZG29" s="371"/>
      <c r="MZH29" s="371"/>
      <c r="MZI29" s="371"/>
      <c r="MZJ29" s="371"/>
      <c r="MZK29" s="371"/>
      <c r="MZL29" s="371"/>
      <c r="MZM29" s="371"/>
      <c r="MZN29" s="371"/>
      <c r="MZO29" s="371"/>
      <c r="MZP29" s="371"/>
      <c r="MZQ29" s="382"/>
      <c r="MZU29" s="371"/>
      <c r="MZV29" s="371"/>
      <c r="MZW29" s="371"/>
      <c r="MZX29" s="371"/>
      <c r="MZY29" s="371"/>
      <c r="MZZ29" s="371"/>
      <c r="NAA29" s="371"/>
      <c r="NAB29" s="371"/>
      <c r="NAC29" s="371"/>
      <c r="NAD29" s="371"/>
      <c r="NAE29" s="371"/>
      <c r="NAF29" s="371"/>
      <c r="NAG29" s="371"/>
      <c r="NAH29" s="371"/>
      <c r="NAI29" s="371"/>
      <c r="NAJ29" s="371"/>
      <c r="NAK29" s="371"/>
      <c r="NAL29" s="371"/>
      <c r="NAM29" s="371"/>
      <c r="NAN29" s="371"/>
      <c r="NAO29" s="371"/>
      <c r="NAP29" s="371"/>
      <c r="NAQ29" s="371"/>
      <c r="NAR29" s="371"/>
      <c r="NAS29" s="371"/>
      <c r="NAT29" s="371"/>
      <c r="NAU29" s="382"/>
      <c r="NAY29" s="371"/>
      <c r="NAZ29" s="371"/>
      <c r="NBA29" s="371"/>
      <c r="NBB29" s="371"/>
      <c r="NBC29" s="371"/>
      <c r="NBD29" s="371"/>
      <c r="NBE29" s="371"/>
      <c r="NBF29" s="371"/>
      <c r="NBG29" s="371"/>
      <c r="NBH29" s="371"/>
      <c r="NBI29" s="371"/>
      <c r="NBJ29" s="371"/>
      <c r="NBK29" s="371"/>
      <c r="NBL29" s="371"/>
      <c r="NBM29" s="371"/>
      <c r="NBN29" s="371"/>
      <c r="NBO29" s="371"/>
      <c r="NBP29" s="371"/>
      <c r="NBQ29" s="371"/>
      <c r="NBR29" s="371"/>
      <c r="NBS29" s="371"/>
      <c r="NBT29" s="371"/>
      <c r="NBU29" s="371"/>
      <c r="NBV29" s="371"/>
      <c r="NBW29" s="371"/>
      <c r="NBX29" s="371"/>
      <c r="NBY29" s="382"/>
      <c r="NCC29" s="371"/>
      <c r="NCD29" s="371"/>
      <c r="NCE29" s="371"/>
      <c r="NCF29" s="371"/>
      <c r="NCG29" s="371"/>
      <c r="NCH29" s="371"/>
      <c r="NCI29" s="371"/>
      <c r="NCJ29" s="371"/>
      <c r="NCK29" s="371"/>
      <c r="NCL29" s="371"/>
      <c r="NCM29" s="371"/>
      <c r="NCN29" s="371"/>
      <c r="NCO29" s="371"/>
      <c r="NCP29" s="371"/>
      <c r="NCQ29" s="371"/>
      <c r="NCR29" s="371"/>
      <c r="NCS29" s="371"/>
      <c r="NCT29" s="371"/>
      <c r="NCU29" s="371"/>
      <c r="NCV29" s="371"/>
      <c r="NCW29" s="371"/>
      <c r="NCX29" s="371"/>
      <c r="NCY29" s="371"/>
      <c r="NCZ29" s="371"/>
      <c r="NDA29" s="371"/>
      <c r="NDB29" s="371"/>
      <c r="NDC29" s="382"/>
      <c r="NDG29" s="371"/>
      <c r="NDH29" s="371"/>
      <c r="NDI29" s="371"/>
      <c r="NDJ29" s="371"/>
      <c r="NDK29" s="371"/>
      <c r="NDL29" s="371"/>
      <c r="NDM29" s="371"/>
      <c r="NDN29" s="371"/>
      <c r="NDO29" s="371"/>
      <c r="NDP29" s="371"/>
      <c r="NDQ29" s="371"/>
      <c r="NDR29" s="371"/>
      <c r="NDS29" s="371"/>
      <c r="NDT29" s="371"/>
      <c r="NDU29" s="371"/>
      <c r="NDV29" s="371"/>
      <c r="NDW29" s="371"/>
      <c r="NDX29" s="371"/>
      <c r="NDY29" s="371"/>
      <c r="NDZ29" s="371"/>
      <c r="NEA29" s="371"/>
      <c r="NEB29" s="371"/>
      <c r="NEC29" s="371"/>
      <c r="NED29" s="371"/>
      <c r="NEE29" s="371"/>
      <c r="NEF29" s="371"/>
      <c r="NEG29" s="382"/>
      <c r="NEK29" s="371"/>
      <c r="NEL29" s="371"/>
      <c r="NEM29" s="371"/>
      <c r="NEN29" s="371"/>
      <c r="NEO29" s="371"/>
      <c r="NEP29" s="371"/>
      <c r="NEQ29" s="371"/>
      <c r="NER29" s="371"/>
      <c r="NES29" s="371"/>
      <c r="NET29" s="371"/>
      <c r="NEU29" s="371"/>
      <c r="NEV29" s="371"/>
      <c r="NEW29" s="371"/>
      <c r="NEX29" s="371"/>
      <c r="NEY29" s="371"/>
      <c r="NEZ29" s="371"/>
      <c r="NFA29" s="371"/>
      <c r="NFB29" s="371"/>
      <c r="NFC29" s="371"/>
      <c r="NFD29" s="371"/>
      <c r="NFE29" s="371"/>
      <c r="NFF29" s="371"/>
      <c r="NFG29" s="371"/>
      <c r="NFH29" s="371"/>
      <c r="NFI29" s="371"/>
      <c r="NFJ29" s="371"/>
      <c r="NFK29" s="382"/>
      <c r="NFO29" s="371"/>
      <c r="NFP29" s="371"/>
      <c r="NFQ29" s="371"/>
      <c r="NFR29" s="371"/>
      <c r="NFS29" s="371"/>
      <c r="NFT29" s="371"/>
      <c r="NFU29" s="371"/>
      <c r="NFV29" s="371"/>
      <c r="NFW29" s="371"/>
      <c r="NFX29" s="371"/>
      <c r="NFY29" s="371"/>
      <c r="NFZ29" s="371"/>
      <c r="NGA29" s="371"/>
      <c r="NGB29" s="371"/>
      <c r="NGC29" s="371"/>
      <c r="NGD29" s="371"/>
      <c r="NGE29" s="371"/>
      <c r="NGF29" s="371"/>
      <c r="NGG29" s="371"/>
      <c r="NGH29" s="371"/>
      <c r="NGI29" s="371"/>
      <c r="NGJ29" s="371"/>
      <c r="NGK29" s="371"/>
      <c r="NGL29" s="371"/>
      <c r="NGM29" s="371"/>
      <c r="NGN29" s="371"/>
      <c r="NGO29" s="382"/>
      <c r="NGS29" s="371"/>
      <c r="NGT29" s="371"/>
      <c r="NGU29" s="371"/>
      <c r="NGV29" s="371"/>
      <c r="NGW29" s="371"/>
      <c r="NGX29" s="371"/>
      <c r="NGY29" s="371"/>
      <c r="NGZ29" s="371"/>
      <c r="NHA29" s="371"/>
      <c r="NHB29" s="371"/>
      <c r="NHC29" s="371"/>
      <c r="NHD29" s="371"/>
      <c r="NHE29" s="371"/>
      <c r="NHF29" s="371"/>
      <c r="NHG29" s="371"/>
      <c r="NHH29" s="371"/>
      <c r="NHI29" s="371"/>
      <c r="NHJ29" s="371"/>
      <c r="NHK29" s="371"/>
      <c r="NHL29" s="371"/>
      <c r="NHM29" s="371"/>
      <c r="NHN29" s="371"/>
      <c r="NHO29" s="371"/>
      <c r="NHP29" s="371"/>
      <c r="NHQ29" s="371"/>
      <c r="NHR29" s="371"/>
      <c r="NHS29" s="382"/>
      <c r="NHW29" s="371"/>
      <c r="NHX29" s="371"/>
      <c r="NHY29" s="371"/>
      <c r="NHZ29" s="371"/>
      <c r="NIA29" s="371"/>
      <c r="NIB29" s="371"/>
      <c r="NIC29" s="371"/>
      <c r="NID29" s="371"/>
      <c r="NIE29" s="371"/>
      <c r="NIF29" s="371"/>
      <c r="NIG29" s="371"/>
      <c r="NIH29" s="371"/>
      <c r="NII29" s="371"/>
      <c r="NIJ29" s="371"/>
      <c r="NIK29" s="371"/>
      <c r="NIL29" s="371"/>
      <c r="NIM29" s="371"/>
      <c r="NIN29" s="371"/>
      <c r="NIO29" s="371"/>
      <c r="NIP29" s="371"/>
      <c r="NIQ29" s="371"/>
      <c r="NIR29" s="371"/>
      <c r="NIS29" s="371"/>
      <c r="NIT29" s="371"/>
      <c r="NIU29" s="371"/>
      <c r="NIV29" s="371"/>
      <c r="NIW29" s="382"/>
      <c r="NJA29" s="371"/>
      <c r="NJB29" s="371"/>
      <c r="NJC29" s="371"/>
      <c r="NJD29" s="371"/>
      <c r="NJE29" s="371"/>
      <c r="NJF29" s="371"/>
      <c r="NJG29" s="371"/>
      <c r="NJH29" s="371"/>
      <c r="NJI29" s="371"/>
      <c r="NJJ29" s="371"/>
      <c r="NJK29" s="371"/>
      <c r="NJL29" s="371"/>
      <c r="NJM29" s="371"/>
      <c r="NJN29" s="371"/>
      <c r="NJO29" s="371"/>
      <c r="NJP29" s="371"/>
      <c r="NJQ29" s="371"/>
      <c r="NJR29" s="371"/>
      <c r="NJS29" s="371"/>
      <c r="NJT29" s="371"/>
      <c r="NJU29" s="371"/>
      <c r="NJV29" s="371"/>
      <c r="NJW29" s="371"/>
      <c r="NJX29" s="371"/>
      <c r="NJY29" s="371"/>
      <c r="NJZ29" s="371"/>
      <c r="NKA29" s="382"/>
      <c r="NKE29" s="371"/>
      <c r="NKF29" s="371"/>
      <c r="NKG29" s="371"/>
      <c r="NKH29" s="371"/>
      <c r="NKI29" s="371"/>
      <c r="NKJ29" s="371"/>
      <c r="NKK29" s="371"/>
      <c r="NKL29" s="371"/>
      <c r="NKM29" s="371"/>
      <c r="NKN29" s="371"/>
      <c r="NKO29" s="371"/>
      <c r="NKP29" s="371"/>
      <c r="NKQ29" s="371"/>
      <c r="NKR29" s="371"/>
      <c r="NKS29" s="371"/>
      <c r="NKT29" s="371"/>
      <c r="NKU29" s="371"/>
      <c r="NKV29" s="371"/>
      <c r="NKW29" s="371"/>
      <c r="NKX29" s="371"/>
      <c r="NKY29" s="371"/>
      <c r="NKZ29" s="371"/>
      <c r="NLA29" s="371"/>
      <c r="NLB29" s="371"/>
      <c r="NLC29" s="371"/>
      <c r="NLD29" s="371"/>
      <c r="NLE29" s="382"/>
      <c r="NLI29" s="371"/>
      <c r="NLJ29" s="371"/>
      <c r="NLK29" s="371"/>
      <c r="NLL29" s="371"/>
      <c r="NLM29" s="371"/>
      <c r="NLN29" s="371"/>
      <c r="NLO29" s="371"/>
      <c r="NLP29" s="371"/>
      <c r="NLQ29" s="371"/>
      <c r="NLR29" s="371"/>
      <c r="NLS29" s="371"/>
      <c r="NLT29" s="371"/>
      <c r="NLU29" s="371"/>
      <c r="NLV29" s="371"/>
      <c r="NLW29" s="371"/>
      <c r="NLX29" s="371"/>
      <c r="NLY29" s="371"/>
      <c r="NLZ29" s="371"/>
      <c r="NMA29" s="371"/>
      <c r="NMB29" s="371"/>
      <c r="NMC29" s="371"/>
      <c r="NMD29" s="371"/>
      <c r="NME29" s="371"/>
      <c r="NMF29" s="371"/>
      <c r="NMG29" s="371"/>
      <c r="NMH29" s="371"/>
      <c r="NMI29" s="382"/>
      <c r="NMM29" s="371"/>
      <c r="NMN29" s="371"/>
      <c r="NMO29" s="371"/>
      <c r="NMP29" s="371"/>
      <c r="NMQ29" s="371"/>
      <c r="NMR29" s="371"/>
      <c r="NMS29" s="371"/>
      <c r="NMT29" s="371"/>
      <c r="NMU29" s="371"/>
      <c r="NMV29" s="371"/>
      <c r="NMW29" s="371"/>
      <c r="NMX29" s="371"/>
      <c r="NMY29" s="371"/>
      <c r="NMZ29" s="371"/>
      <c r="NNA29" s="371"/>
      <c r="NNB29" s="371"/>
      <c r="NNC29" s="371"/>
      <c r="NND29" s="371"/>
      <c r="NNE29" s="371"/>
      <c r="NNF29" s="371"/>
      <c r="NNG29" s="371"/>
      <c r="NNH29" s="371"/>
      <c r="NNI29" s="371"/>
      <c r="NNJ29" s="371"/>
      <c r="NNK29" s="371"/>
      <c r="NNL29" s="371"/>
      <c r="NNM29" s="382"/>
      <c r="NNQ29" s="371"/>
      <c r="NNR29" s="371"/>
      <c r="NNS29" s="371"/>
      <c r="NNT29" s="371"/>
      <c r="NNU29" s="371"/>
      <c r="NNV29" s="371"/>
      <c r="NNW29" s="371"/>
      <c r="NNX29" s="371"/>
      <c r="NNY29" s="371"/>
      <c r="NNZ29" s="371"/>
      <c r="NOA29" s="371"/>
      <c r="NOB29" s="371"/>
      <c r="NOC29" s="371"/>
      <c r="NOD29" s="371"/>
      <c r="NOE29" s="371"/>
      <c r="NOF29" s="371"/>
      <c r="NOG29" s="371"/>
      <c r="NOH29" s="371"/>
      <c r="NOI29" s="371"/>
      <c r="NOJ29" s="371"/>
      <c r="NOK29" s="371"/>
      <c r="NOL29" s="371"/>
      <c r="NOM29" s="371"/>
      <c r="NON29" s="371"/>
      <c r="NOO29" s="371"/>
      <c r="NOP29" s="371"/>
      <c r="NOQ29" s="382"/>
      <c r="NOU29" s="371"/>
      <c r="NOV29" s="371"/>
      <c r="NOW29" s="371"/>
      <c r="NOX29" s="371"/>
      <c r="NOY29" s="371"/>
      <c r="NOZ29" s="371"/>
      <c r="NPA29" s="371"/>
      <c r="NPB29" s="371"/>
      <c r="NPC29" s="371"/>
      <c r="NPD29" s="371"/>
      <c r="NPE29" s="371"/>
      <c r="NPF29" s="371"/>
      <c r="NPG29" s="371"/>
      <c r="NPH29" s="371"/>
      <c r="NPI29" s="371"/>
      <c r="NPJ29" s="371"/>
      <c r="NPK29" s="371"/>
      <c r="NPL29" s="371"/>
      <c r="NPM29" s="371"/>
      <c r="NPN29" s="371"/>
      <c r="NPO29" s="371"/>
      <c r="NPP29" s="371"/>
      <c r="NPQ29" s="371"/>
      <c r="NPR29" s="371"/>
      <c r="NPS29" s="371"/>
      <c r="NPT29" s="371"/>
      <c r="NPU29" s="382"/>
      <c r="NPY29" s="371"/>
      <c r="NPZ29" s="371"/>
      <c r="NQA29" s="371"/>
      <c r="NQB29" s="371"/>
      <c r="NQC29" s="371"/>
      <c r="NQD29" s="371"/>
      <c r="NQE29" s="371"/>
      <c r="NQF29" s="371"/>
      <c r="NQG29" s="371"/>
      <c r="NQH29" s="371"/>
      <c r="NQI29" s="371"/>
      <c r="NQJ29" s="371"/>
      <c r="NQK29" s="371"/>
      <c r="NQL29" s="371"/>
      <c r="NQM29" s="371"/>
      <c r="NQN29" s="371"/>
      <c r="NQO29" s="371"/>
      <c r="NQP29" s="371"/>
      <c r="NQQ29" s="371"/>
      <c r="NQR29" s="371"/>
      <c r="NQS29" s="371"/>
      <c r="NQT29" s="371"/>
      <c r="NQU29" s="371"/>
      <c r="NQV29" s="371"/>
      <c r="NQW29" s="371"/>
      <c r="NQX29" s="371"/>
      <c r="NQY29" s="382"/>
      <c r="NRC29" s="371"/>
      <c r="NRD29" s="371"/>
      <c r="NRE29" s="371"/>
      <c r="NRF29" s="371"/>
      <c r="NRG29" s="371"/>
      <c r="NRH29" s="371"/>
      <c r="NRI29" s="371"/>
      <c r="NRJ29" s="371"/>
      <c r="NRK29" s="371"/>
      <c r="NRL29" s="371"/>
      <c r="NRM29" s="371"/>
      <c r="NRN29" s="371"/>
      <c r="NRO29" s="371"/>
      <c r="NRP29" s="371"/>
      <c r="NRQ29" s="371"/>
      <c r="NRR29" s="371"/>
      <c r="NRS29" s="371"/>
      <c r="NRT29" s="371"/>
      <c r="NRU29" s="371"/>
      <c r="NRV29" s="371"/>
      <c r="NRW29" s="371"/>
      <c r="NRX29" s="371"/>
      <c r="NRY29" s="371"/>
      <c r="NRZ29" s="371"/>
      <c r="NSA29" s="371"/>
      <c r="NSB29" s="371"/>
      <c r="NSC29" s="382"/>
      <c r="NSG29" s="371"/>
      <c r="NSH29" s="371"/>
      <c r="NSI29" s="371"/>
      <c r="NSJ29" s="371"/>
      <c r="NSK29" s="371"/>
      <c r="NSL29" s="371"/>
      <c r="NSM29" s="371"/>
      <c r="NSN29" s="371"/>
      <c r="NSO29" s="371"/>
      <c r="NSP29" s="371"/>
      <c r="NSQ29" s="371"/>
      <c r="NSR29" s="371"/>
      <c r="NSS29" s="371"/>
      <c r="NST29" s="371"/>
      <c r="NSU29" s="371"/>
      <c r="NSV29" s="371"/>
      <c r="NSW29" s="371"/>
      <c r="NSX29" s="371"/>
      <c r="NSY29" s="371"/>
      <c r="NSZ29" s="371"/>
      <c r="NTA29" s="371"/>
      <c r="NTB29" s="371"/>
      <c r="NTC29" s="371"/>
      <c r="NTD29" s="371"/>
      <c r="NTE29" s="371"/>
      <c r="NTF29" s="371"/>
      <c r="NTG29" s="382"/>
      <c r="NTK29" s="371"/>
      <c r="NTL29" s="371"/>
      <c r="NTM29" s="371"/>
      <c r="NTN29" s="371"/>
      <c r="NTO29" s="371"/>
      <c r="NTP29" s="371"/>
      <c r="NTQ29" s="371"/>
      <c r="NTR29" s="371"/>
      <c r="NTS29" s="371"/>
      <c r="NTT29" s="371"/>
      <c r="NTU29" s="371"/>
      <c r="NTV29" s="371"/>
      <c r="NTW29" s="371"/>
      <c r="NTX29" s="371"/>
      <c r="NTY29" s="371"/>
      <c r="NTZ29" s="371"/>
      <c r="NUA29" s="371"/>
      <c r="NUB29" s="371"/>
      <c r="NUC29" s="371"/>
      <c r="NUD29" s="371"/>
      <c r="NUE29" s="371"/>
      <c r="NUF29" s="371"/>
      <c r="NUG29" s="371"/>
      <c r="NUH29" s="371"/>
      <c r="NUI29" s="371"/>
      <c r="NUJ29" s="371"/>
      <c r="NUK29" s="382"/>
      <c r="NUO29" s="371"/>
      <c r="NUP29" s="371"/>
      <c r="NUQ29" s="371"/>
      <c r="NUR29" s="371"/>
      <c r="NUS29" s="371"/>
      <c r="NUT29" s="371"/>
      <c r="NUU29" s="371"/>
      <c r="NUV29" s="371"/>
      <c r="NUW29" s="371"/>
      <c r="NUX29" s="371"/>
      <c r="NUY29" s="371"/>
      <c r="NUZ29" s="371"/>
      <c r="NVA29" s="371"/>
      <c r="NVB29" s="371"/>
      <c r="NVC29" s="371"/>
      <c r="NVD29" s="371"/>
      <c r="NVE29" s="371"/>
      <c r="NVF29" s="371"/>
      <c r="NVG29" s="371"/>
      <c r="NVH29" s="371"/>
      <c r="NVI29" s="371"/>
      <c r="NVJ29" s="371"/>
      <c r="NVK29" s="371"/>
      <c r="NVL29" s="371"/>
      <c r="NVM29" s="371"/>
      <c r="NVN29" s="371"/>
      <c r="NVO29" s="382"/>
      <c r="NVS29" s="371"/>
      <c r="NVT29" s="371"/>
      <c r="NVU29" s="371"/>
      <c r="NVV29" s="371"/>
      <c r="NVW29" s="371"/>
      <c r="NVX29" s="371"/>
      <c r="NVY29" s="371"/>
      <c r="NVZ29" s="371"/>
      <c r="NWA29" s="371"/>
      <c r="NWB29" s="371"/>
      <c r="NWC29" s="371"/>
      <c r="NWD29" s="371"/>
      <c r="NWE29" s="371"/>
      <c r="NWF29" s="371"/>
      <c r="NWG29" s="371"/>
      <c r="NWH29" s="371"/>
      <c r="NWI29" s="371"/>
      <c r="NWJ29" s="371"/>
      <c r="NWK29" s="371"/>
      <c r="NWL29" s="371"/>
      <c r="NWM29" s="371"/>
      <c r="NWN29" s="371"/>
      <c r="NWO29" s="371"/>
      <c r="NWP29" s="371"/>
      <c r="NWQ29" s="371"/>
      <c r="NWR29" s="371"/>
      <c r="NWS29" s="382"/>
      <c r="NWW29" s="371"/>
      <c r="NWX29" s="371"/>
      <c r="NWY29" s="371"/>
      <c r="NWZ29" s="371"/>
      <c r="NXA29" s="371"/>
      <c r="NXB29" s="371"/>
      <c r="NXC29" s="371"/>
      <c r="NXD29" s="371"/>
      <c r="NXE29" s="371"/>
      <c r="NXF29" s="371"/>
      <c r="NXG29" s="371"/>
      <c r="NXH29" s="371"/>
      <c r="NXI29" s="371"/>
      <c r="NXJ29" s="371"/>
      <c r="NXK29" s="371"/>
      <c r="NXL29" s="371"/>
      <c r="NXM29" s="371"/>
      <c r="NXN29" s="371"/>
      <c r="NXO29" s="371"/>
      <c r="NXP29" s="371"/>
      <c r="NXQ29" s="371"/>
      <c r="NXR29" s="371"/>
      <c r="NXS29" s="371"/>
      <c r="NXT29" s="371"/>
      <c r="NXU29" s="371"/>
      <c r="NXV29" s="371"/>
      <c r="NXW29" s="382"/>
      <c r="NYA29" s="371"/>
      <c r="NYB29" s="371"/>
      <c r="NYC29" s="371"/>
      <c r="NYD29" s="371"/>
      <c r="NYE29" s="371"/>
      <c r="NYF29" s="371"/>
      <c r="NYG29" s="371"/>
      <c r="NYH29" s="371"/>
      <c r="NYI29" s="371"/>
      <c r="NYJ29" s="371"/>
      <c r="NYK29" s="371"/>
      <c r="NYL29" s="371"/>
      <c r="NYM29" s="371"/>
      <c r="NYN29" s="371"/>
      <c r="NYO29" s="371"/>
      <c r="NYP29" s="371"/>
      <c r="NYQ29" s="371"/>
      <c r="NYR29" s="371"/>
      <c r="NYS29" s="371"/>
      <c r="NYT29" s="371"/>
      <c r="NYU29" s="371"/>
      <c r="NYV29" s="371"/>
      <c r="NYW29" s="371"/>
      <c r="NYX29" s="371"/>
      <c r="NYY29" s="371"/>
      <c r="NYZ29" s="371"/>
      <c r="NZA29" s="382"/>
      <c r="NZE29" s="371"/>
      <c r="NZF29" s="371"/>
      <c r="NZG29" s="371"/>
      <c r="NZH29" s="371"/>
      <c r="NZI29" s="371"/>
      <c r="NZJ29" s="371"/>
      <c r="NZK29" s="371"/>
      <c r="NZL29" s="371"/>
      <c r="NZM29" s="371"/>
      <c r="NZN29" s="371"/>
      <c r="NZO29" s="371"/>
      <c r="NZP29" s="371"/>
      <c r="NZQ29" s="371"/>
      <c r="NZR29" s="371"/>
      <c r="NZS29" s="371"/>
      <c r="NZT29" s="371"/>
      <c r="NZU29" s="371"/>
      <c r="NZV29" s="371"/>
      <c r="NZW29" s="371"/>
      <c r="NZX29" s="371"/>
      <c r="NZY29" s="371"/>
      <c r="NZZ29" s="371"/>
      <c r="OAA29" s="371"/>
      <c r="OAB29" s="371"/>
      <c r="OAC29" s="371"/>
      <c r="OAD29" s="371"/>
      <c r="OAE29" s="382"/>
      <c r="OAI29" s="371"/>
      <c r="OAJ29" s="371"/>
      <c r="OAK29" s="371"/>
      <c r="OAL29" s="371"/>
      <c r="OAM29" s="371"/>
      <c r="OAN29" s="371"/>
      <c r="OAO29" s="371"/>
      <c r="OAP29" s="371"/>
      <c r="OAQ29" s="371"/>
      <c r="OAR29" s="371"/>
      <c r="OAS29" s="371"/>
      <c r="OAT29" s="371"/>
      <c r="OAU29" s="371"/>
      <c r="OAV29" s="371"/>
      <c r="OAW29" s="371"/>
      <c r="OAX29" s="371"/>
      <c r="OAY29" s="371"/>
      <c r="OAZ29" s="371"/>
      <c r="OBA29" s="371"/>
      <c r="OBB29" s="371"/>
      <c r="OBC29" s="371"/>
      <c r="OBD29" s="371"/>
      <c r="OBE29" s="371"/>
      <c r="OBF29" s="371"/>
      <c r="OBG29" s="371"/>
      <c r="OBH29" s="371"/>
      <c r="OBI29" s="382"/>
      <c r="OBM29" s="371"/>
      <c r="OBN29" s="371"/>
      <c r="OBO29" s="371"/>
      <c r="OBP29" s="371"/>
      <c r="OBQ29" s="371"/>
      <c r="OBR29" s="371"/>
      <c r="OBS29" s="371"/>
      <c r="OBT29" s="371"/>
      <c r="OBU29" s="371"/>
      <c r="OBV29" s="371"/>
      <c r="OBW29" s="371"/>
      <c r="OBX29" s="371"/>
      <c r="OBY29" s="371"/>
      <c r="OBZ29" s="371"/>
      <c r="OCA29" s="371"/>
      <c r="OCB29" s="371"/>
      <c r="OCC29" s="371"/>
      <c r="OCD29" s="371"/>
      <c r="OCE29" s="371"/>
      <c r="OCF29" s="371"/>
      <c r="OCG29" s="371"/>
      <c r="OCH29" s="371"/>
      <c r="OCI29" s="371"/>
      <c r="OCJ29" s="371"/>
      <c r="OCK29" s="371"/>
      <c r="OCL29" s="371"/>
      <c r="OCM29" s="382"/>
      <c r="OCQ29" s="371"/>
      <c r="OCR29" s="371"/>
      <c r="OCS29" s="371"/>
      <c r="OCT29" s="371"/>
      <c r="OCU29" s="371"/>
      <c r="OCV29" s="371"/>
      <c r="OCW29" s="371"/>
      <c r="OCX29" s="371"/>
      <c r="OCY29" s="371"/>
      <c r="OCZ29" s="371"/>
      <c r="ODA29" s="371"/>
      <c r="ODB29" s="371"/>
      <c r="ODC29" s="371"/>
      <c r="ODD29" s="371"/>
      <c r="ODE29" s="371"/>
      <c r="ODF29" s="371"/>
      <c r="ODG29" s="371"/>
      <c r="ODH29" s="371"/>
      <c r="ODI29" s="371"/>
      <c r="ODJ29" s="371"/>
      <c r="ODK29" s="371"/>
      <c r="ODL29" s="371"/>
      <c r="ODM29" s="371"/>
      <c r="ODN29" s="371"/>
      <c r="ODO29" s="371"/>
      <c r="ODP29" s="371"/>
      <c r="ODQ29" s="382"/>
      <c r="ODU29" s="371"/>
      <c r="ODV29" s="371"/>
      <c r="ODW29" s="371"/>
      <c r="ODX29" s="371"/>
      <c r="ODY29" s="371"/>
      <c r="ODZ29" s="371"/>
      <c r="OEA29" s="371"/>
      <c r="OEB29" s="371"/>
      <c r="OEC29" s="371"/>
      <c r="OED29" s="371"/>
      <c r="OEE29" s="371"/>
      <c r="OEF29" s="371"/>
      <c r="OEG29" s="371"/>
      <c r="OEH29" s="371"/>
      <c r="OEI29" s="371"/>
      <c r="OEJ29" s="371"/>
      <c r="OEK29" s="371"/>
      <c r="OEL29" s="371"/>
      <c r="OEM29" s="371"/>
      <c r="OEN29" s="371"/>
      <c r="OEO29" s="371"/>
      <c r="OEP29" s="371"/>
      <c r="OEQ29" s="371"/>
      <c r="OER29" s="371"/>
      <c r="OES29" s="371"/>
      <c r="OET29" s="371"/>
      <c r="OEU29" s="382"/>
      <c r="OEY29" s="371"/>
      <c r="OEZ29" s="371"/>
      <c r="OFA29" s="371"/>
      <c r="OFB29" s="371"/>
      <c r="OFC29" s="371"/>
      <c r="OFD29" s="371"/>
      <c r="OFE29" s="371"/>
      <c r="OFF29" s="371"/>
      <c r="OFG29" s="371"/>
      <c r="OFH29" s="371"/>
      <c r="OFI29" s="371"/>
      <c r="OFJ29" s="371"/>
      <c r="OFK29" s="371"/>
      <c r="OFL29" s="371"/>
      <c r="OFM29" s="371"/>
      <c r="OFN29" s="371"/>
      <c r="OFO29" s="371"/>
      <c r="OFP29" s="371"/>
      <c r="OFQ29" s="371"/>
      <c r="OFR29" s="371"/>
      <c r="OFS29" s="371"/>
      <c r="OFT29" s="371"/>
      <c r="OFU29" s="371"/>
      <c r="OFV29" s="371"/>
      <c r="OFW29" s="371"/>
      <c r="OFX29" s="371"/>
      <c r="OFY29" s="382"/>
      <c r="OGC29" s="371"/>
      <c r="OGD29" s="371"/>
      <c r="OGE29" s="371"/>
      <c r="OGF29" s="371"/>
      <c r="OGG29" s="371"/>
      <c r="OGH29" s="371"/>
      <c r="OGI29" s="371"/>
      <c r="OGJ29" s="371"/>
      <c r="OGK29" s="371"/>
      <c r="OGL29" s="371"/>
      <c r="OGM29" s="371"/>
      <c r="OGN29" s="371"/>
      <c r="OGO29" s="371"/>
      <c r="OGP29" s="371"/>
      <c r="OGQ29" s="371"/>
      <c r="OGR29" s="371"/>
      <c r="OGS29" s="371"/>
      <c r="OGT29" s="371"/>
      <c r="OGU29" s="371"/>
      <c r="OGV29" s="371"/>
      <c r="OGW29" s="371"/>
      <c r="OGX29" s="371"/>
      <c r="OGY29" s="371"/>
      <c r="OGZ29" s="371"/>
      <c r="OHA29" s="371"/>
      <c r="OHB29" s="371"/>
      <c r="OHC29" s="382"/>
      <c r="OHG29" s="371"/>
      <c r="OHH29" s="371"/>
      <c r="OHI29" s="371"/>
      <c r="OHJ29" s="371"/>
      <c r="OHK29" s="371"/>
      <c r="OHL29" s="371"/>
      <c r="OHM29" s="371"/>
      <c r="OHN29" s="371"/>
      <c r="OHO29" s="371"/>
      <c r="OHP29" s="371"/>
      <c r="OHQ29" s="371"/>
      <c r="OHR29" s="371"/>
      <c r="OHS29" s="371"/>
      <c r="OHT29" s="371"/>
      <c r="OHU29" s="371"/>
      <c r="OHV29" s="371"/>
      <c r="OHW29" s="371"/>
      <c r="OHX29" s="371"/>
      <c r="OHY29" s="371"/>
      <c r="OHZ29" s="371"/>
      <c r="OIA29" s="371"/>
      <c r="OIB29" s="371"/>
      <c r="OIC29" s="371"/>
      <c r="OID29" s="371"/>
      <c r="OIE29" s="371"/>
      <c r="OIF29" s="371"/>
      <c r="OIG29" s="382"/>
      <c r="OIK29" s="371"/>
      <c r="OIL29" s="371"/>
      <c r="OIM29" s="371"/>
      <c r="OIN29" s="371"/>
      <c r="OIO29" s="371"/>
      <c r="OIP29" s="371"/>
      <c r="OIQ29" s="371"/>
      <c r="OIR29" s="371"/>
      <c r="OIS29" s="371"/>
      <c r="OIT29" s="371"/>
      <c r="OIU29" s="371"/>
      <c r="OIV29" s="371"/>
      <c r="OIW29" s="371"/>
      <c r="OIX29" s="371"/>
      <c r="OIY29" s="371"/>
      <c r="OIZ29" s="371"/>
      <c r="OJA29" s="371"/>
      <c r="OJB29" s="371"/>
      <c r="OJC29" s="371"/>
      <c r="OJD29" s="371"/>
      <c r="OJE29" s="371"/>
      <c r="OJF29" s="371"/>
      <c r="OJG29" s="371"/>
      <c r="OJH29" s="371"/>
      <c r="OJI29" s="371"/>
      <c r="OJJ29" s="371"/>
      <c r="OJK29" s="382"/>
      <c r="OJO29" s="371"/>
      <c r="OJP29" s="371"/>
      <c r="OJQ29" s="371"/>
      <c r="OJR29" s="371"/>
      <c r="OJS29" s="371"/>
      <c r="OJT29" s="371"/>
      <c r="OJU29" s="371"/>
      <c r="OJV29" s="371"/>
      <c r="OJW29" s="371"/>
      <c r="OJX29" s="371"/>
      <c r="OJY29" s="371"/>
      <c r="OJZ29" s="371"/>
      <c r="OKA29" s="371"/>
      <c r="OKB29" s="371"/>
      <c r="OKC29" s="371"/>
      <c r="OKD29" s="371"/>
      <c r="OKE29" s="371"/>
      <c r="OKF29" s="371"/>
      <c r="OKG29" s="371"/>
      <c r="OKH29" s="371"/>
      <c r="OKI29" s="371"/>
      <c r="OKJ29" s="371"/>
      <c r="OKK29" s="371"/>
      <c r="OKL29" s="371"/>
      <c r="OKM29" s="371"/>
      <c r="OKN29" s="371"/>
      <c r="OKO29" s="382"/>
      <c r="OKS29" s="371"/>
      <c r="OKT29" s="371"/>
      <c r="OKU29" s="371"/>
      <c r="OKV29" s="371"/>
      <c r="OKW29" s="371"/>
      <c r="OKX29" s="371"/>
      <c r="OKY29" s="371"/>
      <c r="OKZ29" s="371"/>
      <c r="OLA29" s="371"/>
      <c r="OLB29" s="371"/>
      <c r="OLC29" s="371"/>
      <c r="OLD29" s="371"/>
      <c r="OLE29" s="371"/>
      <c r="OLF29" s="371"/>
      <c r="OLG29" s="371"/>
      <c r="OLH29" s="371"/>
      <c r="OLI29" s="371"/>
      <c r="OLJ29" s="371"/>
      <c r="OLK29" s="371"/>
      <c r="OLL29" s="371"/>
      <c r="OLM29" s="371"/>
      <c r="OLN29" s="371"/>
      <c r="OLO29" s="371"/>
      <c r="OLP29" s="371"/>
      <c r="OLQ29" s="371"/>
      <c r="OLR29" s="371"/>
      <c r="OLS29" s="382"/>
      <c r="OLW29" s="371"/>
      <c r="OLX29" s="371"/>
      <c r="OLY29" s="371"/>
      <c r="OLZ29" s="371"/>
      <c r="OMA29" s="371"/>
      <c r="OMB29" s="371"/>
      <c r="OMC29" s="371"/>
      <c r="OMD29" s="371"/>
      <c r="OME29" s="371"/>
      <c r="OMF29" s="371"/>
      <c r="OMG29" s="371"/>
      <c r="OMH29" s="371"/>
      <c r="OMI29" s="371"/>
      <c r="OMJ29" s="371"/>
      <c r="OMK29" s="371"/>
      <c r="OML29" s="371"/>
      <c r="OMM29" s="371"/>
      <c r="OMN29" s="371"/>
      <c r="OMO29" s="371"/>
      <c r="OMP29" s="371"/>
      <c r="OMQ29" s="371"/>
      <c r="OMR29" s="371"/>
      <c r="OMS29" s="371"/>
      <c r="OMT29" s="371"/>
      <c r="OMU29" s="371"/>
      <c r="OMV29" s="371"/>
      <c r="OMW29" s="382"/>
      <c r="ONA29" s="371"/>
      <c r="ONB29" s="371"/>
      <c r="ONC29" s="371"/>
      <c r="OND29" s="371"/>
      <c r="ONE29" s="371"/>
      <c r="ONF29" s="371"/>
      <c r="ONG29" s="371"/>
      <c r="ONH29" s="371"/>
      <c r="ONI29" s="371"/>
      <c r="ONJ29" s="371"/>
      <c r="ONK29" s="371"/>
      <c r="ONL29" s="371"/>
      <c r="ONM29" s="371"/>
      <c r="ONN29" s="371"/>
      <c r="ONO29" s="371"/>
      <c r="ONP29" s="371"/>
      <c r="ONQ29" s="371"/>
      <c r="ONR29" s="371"/>
      <c r="ONS29" s="371"/>
      <c r="ONT29" s="371"/>
      <c r="ONU29" s="371"/>
      <c r="ONV29" s="371"/>
      <c r="ONW29" s="371"/>
      <c r="ONX29" s="371"/>
      <c r="ONY29" s="371"/>
      <c r="ONZ29" s="371"/>
      <c r="OOA29" s="382"/>
      <c r="OOE29" s="371"/>
      <c r="OOF29" s="371"/>
      <c r="OOG29" s="371"/>
      <c r="OOH29" s="371"/>
      <c r="OOI29" s="371"/>
      <c r="OOJ29" s="371"/>
      <c r="OOK29" s="371"/>
      <c r="OOL29" s="371"/>
      <c r="OOM29" s="371"/>
      <c r="OON29" s="371"/>
      <c r="OOO29" s="371"/>
      <c r="OOP29" s="371"/>
      <c r="OOQ29" s="371"/>
      <c r="OOR29" s="371"/>
      <c r="OOS29" s="371"/>
      <c r="OOT29" s="371"/>
      <c r="OOU29" s="371"/>
      <c r="OOV29" s="371"/>
      <c r="OOW29" s="371"/>
      <c r="OOX29" s="371"/>
      <c r="OOY29" s="371"/>
      <c r="OOZ29" s="371"/>
      <c r="OPA29" s="371"/>
      <c r="OPB29" s="371"/>
      <c r="OPC29" s="371"/>
      <c r="OPD29" s="371"/>
      <c r="OPE29" s="382"/>
      <c r="OPI29" s="371"/>
      <c r="OPJ29" s="371"/>
      <c r="OPK29" s="371"/>
      <c r="OPL29" s="371"/>
      <c r="OPM29" s="371"/>
      <c r="OPN29" s="371"/>
      <c r="OPO29" s="371"/>
      <c r="OPP29" s="371"/>
      <c r="OPQ29" s="371"/>
      <c r="OPR29" s="371"/>
      <c r="OPS29" s="371"/>
      <c r="OPT29" s="371"/>
      <c r="OPU29" s="371"/>
      <c r="OPV29" s="371"/>
      <c r="OPW29" s="371"/>
      <c r="OPX29" s="371"/>
      <c r="OPY29" s="371"/>
      <c r="OPZ29" s="371"/>
      <c r="OQA29" s="371"/>
      <c r="OQB29" s="371"/>
      <c r="OQC29" s="371"/>
      <c r="OQD29" s="371"/>
      <c r="OQE29" s="371"/>
      <c r="OQF29" s="371"/>
      <c r="OQG29" s="371"/>
      <c r="OQH29" s="371"/>
      <c r="OQI29" s="382"/>
      <c r="OQM29" s="371"/>
      <c r="OQN29" s="371"/>
      <c r="OQO29" s="371"/>
      <c r="OQP29" s="371"/>
      <c r="OQQ29" s="371"/>
      <c r="OQR29" s="371"/>
      <c r="OQS29" s="371"/>
      <c r="OQT29" s="371"/>
      <c r="OQU29" s="371"/>
      <c r="OQV29" s="371"/>
      <c r="OQW29" s="371"/>
      <c r="OQX29" s="371"/>
      <c r="OQY29" s="371"/>
      <c r="OQZ29" s="371"/>
      <c r="ORA29" s="371"/>
      <c r="ORB29" s="371"/>
      <c r="ORC29" s="371"/>
      <c r="ORD29" s="371"/>
      <c r="ORE29" s="371"/>
      <c r="ORF29" s="371"/>
      <c r="ORG29" s="371"/>
      <c r="ORH29" s="371"/>
      <c r="ORI29" s="371"/>
      <c r="ORJ29" s="371"/>
      <c r="ORK29" s="371"/>
      <c r="ORL29" s="371"/>
      <c r="ORM29" s="382"/>
      <c r="ORQ29" s="371"/>
      <c r="ORR29" s="371"/>
      <c r="ORS29" s="371"/>
      <c r="ORT29" s="371"/>
      <c r="ORU29" s="371"/>
      <c r="ORV29" s="371"/>
      <c r="ORW29" s="371"/>
      <c r="ORX29" s="371"/>
      <c r="ORY29" s="371"/>
      <c r="ORZ29" s="371"/>
      <c r="OSA29" s="371"/>
      <c r="OSB29" s="371"/>
      <c r="OSC29" s="371"/>
      <c r="OSD29" s="371"/>
      <c r="OSE29" s="371"/>
      <c r="OSF29" s="371"/>
      <c r="OSG29" s="371"/>
      <c r="OSH29" s="371"/>
      <c r="OSI29" s="371"/>
      <c r="OSJ29" s="371"/>
      <c r="OSK29" s="371"/>
      <c r="OSL29" s="371"/>
      <c r="OSM29" s="371"/>
      <c r="OSN29" s="371"/>
      <c r="OSO29" s="371"/>
      <c r="OSP29" s="371"/>
      <c r="OSQ29" s="382"/>
      <c r="OSU29" s="371"/>
      <c r="OSV29" s="371"/>
      <c r="OSW29" s="371"/>
      <c r="OSX29" s="371"/>
      <c r="OSY29" s="371"/>
      <c r="OSZ29" s="371"/>
      <c r="OTA29" s="371"/>
      <c r="OTB29" s="371"/>
      <c r="OTC29" s="371"/>
      <c r="OTD29" s="371"/>
      <c r="OTE29" s="371"/>
      <c r="OTF29" s="371"/>
      <c r="OTG29" s="371"/>
      <c r="OTH29" s="371"/>
      <c r="OTI29" s="371"/>
      <c r="OTJ29" s="371"/>
      <c r="OTK29" s="371"/>
      <c r="OTL29" s="371"/>
      <c r="OTM29" s="371"/>
      <c r="OTN29" s="371"/>
      <c r="OTO29" s="371"/>
      <c r="OTP29" s="371"/>
      <c r="OTQ29" s="371"/>
      <c r="OTR29" s="371"/>
      <c r="OTS29" s="371"/>
      <c r="OTT29" s="371"/>
      <c r="OTU29" s="382"/>
      <c r="OTY29" s="371"/>
      <c r="OTZ29" s="371"/>
      <c r="OUA29" s="371"/>
      <c r="OUB29" s="371"/>
      <c r="OUC29" s="371"/>
      <c r="OUD29" s="371"/>
      <c r="OUE29" s="371"/>
      <c r="OUF29" s="371"/>
      <c r="OUG29" s="371"/>
      <c r="OUH29" s="371"/>
      <c r="OUI29" s="371"/>
      <c r="OUJ29" s="371"/>
      <c r="OUK29" s="371"/>
      <c r="OUL29" s="371"/>
      <c r="OUM29" s="371"/>
      <c r="OUN29" s="371"/>
      <c r="OUO29" s="371"/>
      <c r="OUP29" s="371"/>
      <c r="OUQ29" s="371"/>
      <c r="OUR29" s="371"/>
      <c r="OUS29" s="371"/>
      <c r="OUT29" s="371"/>
      <c r="OUU29" s="371"/>
      <c r="OUV29" s="371"/>
      <c r="OUW29" s="371"/>
      <c r="OUX29" s="371"/>
      <c r="OUY29" s="382"/>
      <c r="OVC29" s="371"/>
      <c r="OVD29" s="371"/>
      <c r="OVE29" s="371"/>
      <c r="OVF29" s="371"/>
      <c r="OVG29" s="371"/>
      <c r="OVH29" s="371"/>
      <c r="OVI29" s="371"/>
      <c r="OVJ29" s="371"/>
      <c r="OVK29" s="371"/>
      <c r="OVL29" s="371"/>
      <c r="OVM29" s="371"/>
      <c r="OVN29" s="371"/>
      <c r="OVO29" s="371"/>
      <c r="OVP29" s="371"/>
      <c r="OVQ29" s="371"/>
      <c r="OVR29" s="371"/>
      <c r="OVS29" s="371"/>
      <c r="OVT29" s="371"/>
      <c r="OVU29" s="371"/>
      <c r="OVV29" s="371"/>
      <c r="OVW29" s="371"/>
      <c r="OVX29" s="371"/>
      <c r="OVY29" s="371"/>
      <c r="OVZ29" s="371"/>
      <c r="OWA29" s="371"/>
      <c r="OWB29" s="371"/>
      <c r="OWC29" s="382"/>
      <c r="OWG29" s="371"/>
      <c r="OWH29" s="371"/>
      <c r="OWI29" s="371"/>
      <c r="OWJ29" s="371"/>
      <c r="OWK29" s="371"/>
      <c r="OWL29" s="371"/>
      <c r="OWM29" s="371"/>
      <c r="OWN29" s="371"/>
      <c r="OWO29" s="371"/>
      <c r="OWP29" s="371"/>
      <c r="OWQ29" s="371"/>
      <c r="OWR29" s="371"/>
      <c r="OWS29" s="371"/>
      <c r="OWT29" s="371"/>
      <c r="OWU29" s="371"/>
      <c r="OWV29" s="371"/>
      <c r="OWW29" s="371"/>
      <c r="OWX29" s="371"/>
      <c r="OWY29" s="371"/>
      <c r="OWZ29" s="371"/>
      <c r="OXA29" s="371"/>
      <c r="OXB29" s="371"/>
      <c r="OXC29" s="371"/>
      <c r="OXD29" s="371"/>
      <c r="OXE29" s="371"/>
      <c r="OXF29" s="371"/>
      <c r="OXG29" s="382"/>
      <c r="OXK29" s="371"/>
      <c r="OXL29" s="371"/>
      <c r="OXM29" s="371"/>
      <c r="OXN29" s="371"/>
      <c r="OXO29" s="371"/>
      <c r="OXP29" s="371"/>
      <c r="OXQ29" s="371"/>
      <c r="OXR29" s="371"/>
      <c r="OXS29" s="371"/>
      <c r="OXT29" s="371"/>
      <c r="OXU29" s="371"/>
      <c r="OXV29" s="371"/>
      <c r="OXW29" s="371"/>
      <c r="OXX29" s="371"/>
      <c r="OXY29" s="371"/>
      <c r="OXZ29" s="371"/>
      <c r="OYA29" s="371"/>
      <c r="OYB29" s="371"/>
      <c r="OYC29" s="371"/>
      <c r="OYD29" s="371"/>
      <c r="OYE29" s="371"/>
      <c r="OYF29" s="371"/>
      <c r="OYG29" s="371"/>
      <c r="OYH29" s="371"/>
      <c r="OYI29" s="371"/>
      <c r="OYJ29" s="371"/>
      <c r="OYK29" s="382"/>
      <c r="OYO29" s="371"/>
      <c r="OYP29" s="371"/>
      <c r="OYQ29" s="371"/>
      <c r="OYR29" s="371"/>
      <c r="OYS29" s="371"/>
      <c r="OYT29" s="371"/>
      <c r="OYU29" s="371"/>
      <c r="OYV29" s="371"/>
      <c r="OYW29" s="371"/>
      <c r="OYX29" s="371"/>
      <c r="OYY29" s="371"/>
      <c r="OYZ29" s="371"/>
      <c r="OZA29" s="371"/>
      <c r="OZB29" s="371"/>
      <c r="OZC29" s="371"/>
      <c r="OZD29" s="371"/>
      <c r="OZE29" s="371"/>
      <c r="OZF29" s="371"/>
      <c r="OZG29" s="371"/>
      <c r="OZH29" s="371"/>
      <c r="OZI29" s="371"/>
      <c r="OZJ29" s="371"/>
      <c r="OZK29" s="371"/>
      <c r="OZL29" s="371"/>
      <c r="OZM29" s="371"/>
      <c r="OZN29" s="371"/>
      <c r="OZO29" s="382"/>
      <c r="OZS29" s="371"/>
      <c r="OZT29" s="371"/>
      <c r="OZU29" s="371"/>
      <c r="OZV29" s="371"/>
      <c r="OZW29" s="371"/>
      <c r="OZX29" s="371"/>
      <c r="OZY29" s="371"/>
      <c r="OZZ29" s="371"/>
      <c r="PAA29" s="371"/>
      <c r="PAB29" s="371"/>
      <c r="PAC29" s="371"/>
      <c r="PAD29" s="371"/>
      <c r="PAE29" s="371"/>
      <c r="PAF29" s="371"/>
      <c r="PAG29" s="371"/>
      <c r="PAH29" s="371"/>
      <c r="PAI29" s="371"/>
      <c r="PAJ29" s="371"/>
      <c r="PAK29" s="371"/>
      <c r="PAL29" s="371"/>
      <c r="PAM29" s="371"/>
      <c r="PAN29" s="371"/>
      <c r="PAO29" s="371"/>
      <c r="PAP29" s="371"/>
      <c r="PAQ29" s="371"/>
      <c r="PAR29" s="371"/>
      <c r="PAS29" s="382"/>
      <c r="PAW29" s="371"/>
      <c r="PAX29" s="371"/>
      <c r="PAY29" s="371"/>
      <c r="PAZ29" s="371"/>
      <c r="PBA29" s="371"/>
      <c r="PBB29" s="371"/>
      <c r="PBC29" s="371"/>
      <c r="PBD29" s="371"/>
      <c r="PBE29" s="371"/>
      <c r="PBF29" s="371"/>
      <c r="PBG29" s="371"/>
      <c r="PBH29" s="371"/>
      <c r="PBI29" s="371"/>
      <c r="PBJ29" s="371"/>
      <c r="PBK29" s="371"/>
      <c r="PBL29" s="371"/>
      <c r="PBM29" s="371"/>
      <c r="PBN29" s="371"/>
      <c r="PBO29" s="371"/>
      <c r="PBP29" s="371"/>
      <c r="PBQ29" s="371"/>
      <c r="PBR29" s="371"/>
      <c r="PBS29" s="371"/>
      <c r="PBT29" s="371"/>
      <c r="PBU29" s="371"/>
      <c r="PBV29" s="371"/>
      <c r="PBW29" s="382"/>
      <c r="PCA29" s="371"/>
      <c r="PCB29" s="371"/>
      <c r="PCC29" s="371"/>
      <c r="PCD29" s="371"/>
      <c r="PCE29" s="371"/>
      <c r="PCF29" s="371"/>
      <c r="PCG29" s="371"/>
      <c r="PCH29" s="371"/>
      <c r="PCI29" s="371"/>
      <c r="PCJ29" s="371"/>
      <c r="PCK29" s="371"/>
      <c r="PCL29" s="371"/>
      <c r="PCM29" s="371"/>
      <c r="PCN29" s="371"/>
      <c r="PCO29" s="371"/>
      <c r="PCP29" s="371"/>
      <c r="PCQ29" s="371"/>
      <c r="PCR29" s="371"/>
      <c r="PCS29" s="371"/>
      <c r="PCT29" s="371"/>
      <c r="PCU29" s="371"/>
      <c r="PCV29" s="371"/>
      <c r="PCW29" s="371"/>
      <c r="PCX29" s="371"/>
      <c r="PCY29" s="371"/>
      <c r="PCZ29" s="371"/>
      <c r="PDA29" s="382"/>
      <c r="PDE29" s="371"/>
      <c r="PDF29" s="371"/>
      <c r="PDG29" s="371"/>
      <c r="PDH29" s="371"/>
      <c r="PDI29" s="371"/>
      <c r="PDJ29" s="371"/>
      <c r="PDK29" s="371"/>
      <c r="PDL29" s="371"/>
      <c r="PDM29" s="371"/>
      <c r="PDN29" s="371"/>
      <c r="PDO29" s="371"/>
      <c r="PDP29" s="371"/>
      <c r="PDQ29" s="371"/>
      <c r="PDR29" s="371"/>
      <c r="PDS29" s="371"/>
      <c r="PDT29" s="371"/>
      <c r="PDU29" s="371"/>
      <c r="PDV29" s="371"/>
      <c r="PDW29" s="371"/>
      <c r="PDX29" s="371"/>
      <c r="PDY29" s="371"/>
      <c r="PDZ29" s="371"/>
      <c r="PEA29" s="371"/>
      <c r="PEB29" s="371"/>
      <c r="PEC29" s="371"/>
      <c r="PED29" s="371"/>
      <c r="PEE29" s="382"/>
      <c r="PEI29" s="371"/>
      <c r="PEJ29" s="371"/>
      <c r="PEK29" s="371"/>
      <c r="PEL29" s="371"/>
      <c r="PEM29" s="371"/>
      <c r="PEN29" s="371"/>
      <c r="PEO29" s="371"/>
      <c r="PEP29" s="371"/>
      <c r="PEQ29" s="371"/>
      <c r="PER29" s="371"/>
      <c r="PES29" s="371"/>
      <c r="PET29" s="371"/>
      <c r="PEU29" s="371"/>
      <c r="PEV29" s="371"/>
      <c r="PEW29" s="371"/>
      <c r="PEX29" s="371"/>
      <c r="PEY29" s="371"/>
      <c r="PEZ29" s="371"/>
      <c r="PFA29" s="371"/>
      <c r="PFB29" s="371"/>
      <c r="PFC29" s="371"/>
      <c r="PFD29" s="371"/>
      <c r="PFE29" s="371"/>
      <c r="PFF29" s="371"/>
      <c r="PFG29" s="371"/>
      <c r="PFH29" s="371"/>
      <c r="PFI29" s="382"/>
      <c r="PFM29" s="371"/>
      <c r="PFN29" s="371"/>
      <c r="PFO29" s="371"/>
      <c r="PFP29" s="371"/>
      <c r="PFQ29" s="371"/>
      <c r="PFR29" s="371"/>
      <c r="PFS29" s="371"/>
      <c r="PFT29" s="371"/>
      <c r="PFU29" s="371"/>
      <c r="PFV29" s="371"/>
      <c r="PFW29" s="371"/>
      <c r="PFX29" s="371"/>
      <c r="PFY29" s="371"/>
      <c r="PFZ29" s="371"/>
      <c r="PGA29" s="371"/>
      <c r="PGB29" s="371"/>
      <c r="PGC29" s="371"/>
      <c r="PGD29" s="371"/>
      <c r="PGE29" s="371"/>
      <c r="PGF29" s="371"/>
      <c r="PGG29" s="371"/>
      <c r="PGH29" s="371"/>
      <c r="PGI29" s="371"/>
      <c r="PGJ29" s="371"/>
      <c r="PGK29" s="371"/>
      <c r="PGL29" s="371"/>
      <c r="PGM29" s="382"/>
      <c r="PGQ29" s="371"/>
      <c r="PGR29" s="371"/>
      <c r="PGS29" s="371"/>
      <c r="PGT29" s="371"/>
      <c r="PGU29" s="371"/>
      <c r="PGV29" s="371"/>
      <c r="PGW29" s="371"/>
      <c r="PGX29" s="371"/>
      <c r="PGY29" s="371"/>
      <c r="PGZ29" s="371"/>
      <c r="PHA29" s="371"/>
      <c r="PHB29" s="371"/>
      <c r="PHC29" s="371"/>
      <c r="PHD29" s="371"/>
      <c r="PHE29" s="371"/>
      <c r="PHF29" s="371"/>
      <c r="PHG29" s="371"/>
      <c r="PHH29" s="371"/>
      <c r="PHI29" s="371"/>
      <c r="PHJ29" s="371"/>
      <c r="PHK29" s="371"/>
      <c r="PHL29" s="371"/>
      <c r="PHM29" s="371"/>
      <c r="PHN29" s="371"/>
      <c r="PHO29" s="371"/>
      <c r="PHP29" s="371"/>
      <c r="PHQ29" s="382"/>
      <c r="PHU29" s="371"/>
      <c r="PHV29" s="371"/>
      <c r="PHW29" s="371"/>
      <c r="PHX29" s="371"/>
      <c r="PHY29" s="371"/>
      <c r="PHZ29" s="371"/>
      <c r="PIA29" s="371"/>
      <c r="PIB29" s="371"/>
      <c r="PIC29" s="371"/>
      <c r="PID29" s="371"/>
      <c r="PIE29" s="371"/>
      <c r="PIF29" s="371"/>
      <c r="PIG29" s="371"/>
      <c r="PIH29" s="371"/>
      <c r="PII29" s="371"/>
      <c r="PIJ29" s="371"/>
      <c r="PIK29" s="371"/>
      <c r="PIL29" s="371"/>
      <c r="PIM29" s="371"/>
      <c r="PIN29" s="371"/>
      <c r="PIO29" s="371"/>
      <c r="PIP29" s="371"/>
      <c r="PIQ29" s="371"/>
      <c r="PIR29" s="371"/>
      <c r="PIS29" s="371"/>
      <c r="PIT29" s="371"/>
      <c r="PIU29" s="382"/>
      <c r="PIY29" s="371"/>
      <c r="PIZ29" s="371"/>
      <c r="PJA29" s="371"/>
      <c r="PJB29" s="371"/>
      <c r="PJC29" s="371"/>
      <c r="PJD29" s="371"/>
      <c r="PJE29" s="371"/>
      <c r="PJF29" s="371"/>
      <c r="PJG29" s="371"/>
      <c r="PJH29" s="371"/>
      <c r="PJI29" s="371"/>
      <c r="PJJ29" s="371"/>
      <c r="PJK29" s="371"/>
      <c r="PJL29" s="371"/>
      <c r="PJM29" s="371"/>
      <c r="PJN29" s="371"/>
      <c r="PJO29" s="371"/>
      <c r="PJP29" s="371"/>
      <c r="PJQ29" s="371"/>
      <c r="PJR29" s="371"/>
      <c r="PJS29" s="371"/>
      <c r="PJT29" s="371"/>
      <c r="PJU29" s="371"/>
      <c r="PJV29" s="371"/>
      <c r="PJW29" s="371"/>
      <c r="PJX29" s="371"/>
      <c r="PJY29" s="382"/>
      <c r="PKC29" s="371"/>
      <c r="PKD29" s="371"/>
      <c r="PKE29" s="371"/>
      <c r="PKF29" s="371"/>
      <c r="PKG29" s="371"/>
      <c r="PKH29" s="371"/>
      <c r="PKI29" s="371"/>
      <c r="PKJ29" s="371"/>
      <c r="PKK29" s="371"/>
      <c r="PKL29" s="371"/>
      <c r="PKM29" s="371"/>
      <c r="PKN29" s="371"/>
      <c r="PKO29" s="371"/>
      <c r="PKP29" s="371"/>
      <c r="PKQ29" s="371"/>
      <c r="PKR29" s="371"/>
      <c r="PKS29" s="371"/>
      <c r="PKT29" s="371"/>
      <c r="PKU29" s="371"/>
      <c r="PKV29" s="371"/>
      <c r="PKW29" s="371"/>
      <c r="PKX29" s="371"/>
      <c r="PKY29" s="371"/>
      <c r="PKZ29" s="371"/>
      <c r="PLA29" s="371"/>
      <c r="PLB29" s="371"/>
      <c r="PLC29" s="382"/>
      <c r="PLG29" s="371"/>
      <c r="PLH29" s="371"/>
      <c r="PLI29" s="371"/>
      <c r="PLJ29" s="371"/>
      <c r="PLK29" s="371"/>
      <c r="PLL29" s="371"/>
      <c r="PLM29" s="371"/>
      <c r="PLN29" s="371"/>
      <c r="PLO29" s="371"/>
      <c r="PLP29" s="371"/>
      <c r="PLQ29" s="371"/>
      <c r="PLR29" s="371"/>
      <c r="PLS29" s="371"/>
      <c r="PLT29" s="371"/>
      <c r="PLU29" s="371"/>
      <c r="PLV29" s="371"/>
      <c r="PLW29" s="371"/>
      <c r="PLX29" s="371"/>
      <c r="PLY29" s="371"/>
      <c r="PLZ29" s="371"/>
      <c r="PMA29" s="371"/>
      <c r="PMB29" s="371"/>
      <c r="PMC29" s="371"/>
      <c r="PMD29" s="371"/>
      <c r="PME29" s="371"/>
      <c r="PMF29" s="371"/>
      <c r="PMG29" s="382"/>
      <c r="PMK29" s="371"/>
      <c r="PML29" s="371"/>
      <c r="PMM29" s="371"/>
      <c r="PMN29" s="371"/>
      <c r="PMO29" s="371"/>
      <c r="PMP29" s="371"/>
      <c r="PMQ29" s="371"/>
      <c r="PMR29" s="371"/>
      <c r="PMS29" s="371"/>
      <c r="PMT29" s="371"/>
      <c r="PMU29" s="371"/>
      <c r="PMV29" s="371"/>
      <c r="PMW29" s="371"/>
      <c r="PMX29" s="371"/>
      <c r="PMY29" s="371"/>
      <c r="PMZ29" s="371"/>
      <c r="PNA29" s="371"/>
      <c r="PNB29" s="371"/>
      <c r="PNC29" s="371"/>
      <c r="PND29" s="371"/>
      <c r="PNE29" s="371"/>
      <c r="PNF29" s="371"/>
      <c r="PNG29" s="371"/>
      <c r="PNH29" s="371"/>
      <c r="PNI29" s="371"/>
      <c r="PNJ29" s="371"/>
      <c r="PNK29" s="382"/>
      <c r="PNO29" s="371"/>
      <c r="PNP29" s="371"/>
      <c r="PNQ29" s="371"/>
      <c r="PNR29" s="371"/>
      <c r="PNS29" s="371"/>
      <c r="PNT29" s="371"/>
      <c r="PNU29" s="371"/>
      <c r="PNV29" s="371"/>
      <c r="PNW29" s="371"/>
      <c r="PNX29" s="371"/>
      <c r="PNY29" s="371"/>
      <c r="PNZ29" s="371"/>
      <c r="POA29" s="371"/>
      <c r="POB29" s="371"/>
      <c r="POC29" s="371"/>
      <c r="POD29" s="371"/>
      <c r="POE29" s="371"/>
      <c r="POF29" s="371"/>
      <c r="POG29" s="371"/>
      <c r="POH29" s="371"/>
      <c r="POI29" s="371"/>
      <c r="POJ29" s="371"/>
      <c r="POK29" s="371"/>
      <c r="POL29" s="371"/>
      <c r="POM29" s="371"/>
      <c r="PON29" s="371"/>
      <c r="POO29" s="382"/>
      <c r="POS29" s="371"/>
      <c r="POT29" s="371"/>
      <c r="POU29" s="371"/>
      <c r="POV29" s="371"/>
      <c r="POW29" s="371"/>
      <c r="POX29" s="371"/>
      <c r="POY29" s="371"/>
      <c r="POZ29" s="371"/>
      <c r="PPA29" s="371"/>
      <c r="PPB29" s="371"/>
      <c r="PPC29" s="371"/>
      <c r="PPD29" s="371"/>
      <c r="PPE29" s="371"/>
      <c r="PPF29" s="371"/>
      <c r="PPG29" s="371"/>
      <c r="PPH29" s="371"/>
      <c r="PPI29" s="371"/>
      <c r="PPJ29" s="371"/>
      <c r="PPK29" s="371"/>
      <c r="PPL29" s="371"/>
      <c r="PPM29" s="371"/>
      <c r="PPN29" s="371"/>
      <c r="PPO29" s="371"/>
      <c r="PPP29" s="371"/>
      <c r="PPQ29" s="371"/>
      <c r="PPR29" s="371"/>
      <c r="PPS29" s="382"/>
      <c r="PPW29" s="371"/>
      <c r="PPX29" s="371"/>
      <c r="PPY29" s="371"/>
      <c r="PPZ29" s="371"/>
      <c r="PQA29" s="371"/>
      <c r="PQB29" s="371"/>
      <c r="PQC29" s="371"/>
      <c r="PQD29" s="371"/>
      <c r="PQE29" s="371"/>
      <c r="PQF29" s="371"/>
      <c r="PQG29" s="371"/>
      <c r="PQH29" s="371"/>
      <c r="PQI29" s="371"/>
      <c r="PQJ29" s="371"/>
      <c r="PQK29" s="371"/>
      <c r="PQL29" s="371"/>
      <c r="PQM29" s="371"/>
      <c r="PQN29" s="371"/>
      <c r="PQO29" s="371"/>
      <c r="PQP29" s="371"/>
      <c r="PQQ29" s="371"/>
      <c r="PQR29" s="371"/>
      <c r="PQS29" s="371"/>
      <c r="PQT29" s="371"/>
      <c r="PQU29" s="371"/>
      <c r="PQV29" s="371"/>
      <c r="PQW29" s="382"/>
      <c r="PRA29" s="371"/>
      <c r="PRB29" s="371"/>
      <c r="PRC29" s="371"/>
      <c r="PRD29" s="371"/>
      <c r="PRE29" s="371"/>
      <c r="PRF29" s="371"/>
      <c r="PRG29" s="371"/>
      <c r="PRH29" s="371"/>
      <c r="PRI29" s="371"/>
      <c r="PRJ29" s="371"/>
      <c r="PRK29" s="371"/>
      <c r="PRL29" s="371"/>
      <c r="PRM29" s="371"/>
      <c r="PRN29" s="371"/>
      <c r="PRO29" s="371"/>
      <c r="PRP29" s="371"/>
      <c r="PRQ29" s="371"/>
      <c r="PRR29" s="371"/>
      <c r="PRS29" s="371"/>
      <c r="PRT29" s="371"/>
      <c r="PRU29" s="371"/>
      <c r="PRV29" s="371"/>
      <c r="PRW29" s="371"/>
      <c r="PRX29" s="371"/>
      <c r="PRY29" s="371"/>
      <c r="PRZ29" s="371"/>
      <c r="PSA29" s="382"/>
      <c r="PSE29" s="371"/>
      <c r="PSF29" s="371"/>
      <c r="PSG29" s="371"/>
      <c r="PSH29" s="371"/>
      <c r="PSI29" s="371"/>
      <c r="PSJ29" s="371"/>
      <c r="PSK29" s="371"/>
      <c r="PSL29" s="371"/>
      <c r="PSM29" s="371"/>
      <c r="PSN29" s="371"/>
      <c r="PSO29" s="371"/>
      <c r="PSP29" s="371"/>
      <c r="PSQ29" s="371"/>
      <c r="PSR29" s="371"/>
      <c r="PSS29" s="371"/>
      <c r="PST29" s="371"/>
      <c r="PSU29" s="371"/>
      <c r="PSV29" s="371"/>
      <c r="PSW29" s="371"/>
      <c r="PSX29" s="371"/>
      <c r="PSY29" s="371"/>
      <c r="PSZ29" s="371"/>
      <c r="PTA29" s="371"/>
      <c r="PTB29" s="371"/>
      <c r="PTC29" s="371"/>
      <c r="PTD29" s="371"/>
      <c r="PTE29" s="382"/>
      <c r="PTI29" s="371"/>
      <c r="PTJ29" s="371"/>
      <c r="PTK29" s="371"/>
      <c r="PTL29" s="371"/>
      <c r="PTM29" s="371"/>
      <c r="PTN29" s="371"/>
      <c r="PTO29" s="371"/>
      <c r="PTP29" s="371"/>
      <c r="PTQ29" s="371"/>
      <c r="PTR29" s="371"/>
      <c r="PTS29" s="371"/>
      <c r="PTT29" s="371"/>
      <c r="PTU29" s="371"/>
      <c r="PTV29" s="371"/>
      <c r="PTW29" s="371"/>
      <c r="PTX29" s="371"/>
      <c r="PTY29" s="371"/>
      <c r="PTZ29" s="371"/>
      <c r="PUA29" s="371"/>
      <c r="PUB29" s="371"/>
      <c r="PUC29" s="371"/>
      <c r="PUD29" s="371"/>
      <c r="PUE29" s="371"/>
      <c r="PUF29" s="371"/>
      <c r="PUG29" s="371"/>
      <c r="PUH29" s="371"/>
      <c r="PUI29" s="382"/>
      <c r="PUM29" s="371"/>
      <c r="PUN29" s="371"/>
      <c r="PUO29" s="371"/>
      <c r="PUP29" s="371"/>
      <c r="PUQ29" s="371"/>
      <c r="PUR29" s="371"/>
      <c r="PUS29" s="371"/>
      <c r="PUT29" s="371"/>
      <c r="PUU29" s="371"/>
      <c r="PUV29" s="371"/>
      <c r="PUW29" s="371"/>
      <c r="PUX29" s="371"/>
      <c r="PUY29" s="371"/>
      <c r="PUZ29" s="371"/>
      <c r="PVA29" s="371"/>
      <c r="PVB29" s="371"/>
      <c r="PVC29" s="371"/>
      <c r="PVD29" s="371"/>
      <c r="PVE29" s="371"/>
      <c r="PVF29" s="371"/>
      <c r="PVG29" s="371"/>
      <c r="PVH29" s="371"/>
      <c r="PVI29" s="371"/>
      <c r="PVJ29" s="371"/>
      <c r="PVK29" s="371"/>
      <c r="PVL29" s="371"/>
      <c r="PVM29" s="382"/>
      <c r="PVQ29" s="371"/>
      <c r="PVR29" s="371"/>
      <c r="PVS29" s="371"/>
      <c r="PVT29" s="371"/>
      <c r="PVU29" s="371"/>
      <c r="PVV29" s="371"/>
      <c r="PVW29" s="371"/>
      <c r="PVX29" s="371"/>
      <c r="PVY29" s="371"/>
      <c r="PVZ29" s="371"/>
      <c r="PWA29" s="371"/>
      <c r="PWB29" s="371"/>
      <c r="PWC29" s="371"/>
      <c r="PWD29" s="371"/>
      <c r="PWE29" s="371"/>
      <c r="PWF29" s="371"/>
      <c r="PWG29" s="371"/>
      <c r="PWH29" s="371"/>
      <c r="PWI29" s="371"/>
      <c r="PWJ29" s="371"/>
      <c r="PWK29" s="371"/>
      <c r="PWL29" s="371"/>
      <c r="PWM29" s="371"/>
      <c r="PWN29" s="371"/>
      <c r="PWO29" s="371"/>
      <c r="PWP29" s="371"/>
      <c r="PWQ29" s="382"/>
      <c r="PWU29" s="371"/>
      <c r="PWV29" s="371"/>
      <c r="PWW29" s="371"/>
      <c r="PWX29" s="371"/>
      <c r="PWY29" s="371"/>
      <c r="PWZ29" s="371"/>
      <c r="PXA29" s="371"/>
      <c r="PXB29" s="371"/>
      <c r="PXC29" s="371"/>
      <c r="PXD29" s="371"/>
      <c r="PXE29" s="371"/>
      <c r="PXF29" s="371"/>
      <c r="PXG29" s="371"/>
      <c r="PXH29" s="371"/>
      <c r="PXI29" s="371"/>
      <c r="PXJ29" s="371"/>
      <c r="PXK29" s="371"/>
      <c r="PXL29" s="371"/>
      <c r="PXM29" s="371"/>
      <c r="PXN29" s="371"/>
      <c r="PXO29" s="371"/>
      <c r="PXP29" s="371"/>
      <c r="PXQ29" s="371"/>
      <c r="PXR29" s="371"/>
      <c r="PXS29" s="371"/>
      <c r="PXT29" s="371"/>
      <c r="PXU29" s="382"/>
      <c r="PXY29" s="371"/>
      <c r="PXZ29" s="371"/>
      <c r="PYA29" s="371"/>
      <c r="PYB29" s="371"/>
      <c r="PYC29" s="371"/>
      <c r="PYD29" s="371"/>
      <c r="PYE29" s="371"/>
      <c r="PYF29" s="371"/>
      <c r="PYG29" s="371"/>
      <c r="PYH29" s="371"/>
      <c r="PYI29" s="371"/>
      <c r="PYJ29" s="371"/>
      <c r="PYK29" s="371"/>
      <c r="PYL29" s="371"/>
      <c r="PYM29" s="371"/>
      <c r="PYN29" s="371"/>
      <c r="PYO29" s="371"/>
      <c r="PYP29" s="371"/>
      <c r="PYQ29" s="371"/>
      <c r="PYR29" s="371"/>
      <c r="PYS29" s="371"/>
      <c r="PYT29" s="371"/>
      <c r="PYU29" s="371"/>
      <c r="PYV29" s="371"/>
      <c r="PYW29" s="371"/>
      <c r="PYX29" s="371"/>
      <c r="PYY29" s="382"/>
      <c r="PZC29" s="371"/>
      <c r="PZD29" s="371"/>
      <c r="PZE29" s="371"/>
      <c r="PZF29" s="371"/>
      <c r="PZG29" s="371"/>
      <c r="PZH29" s="371"/>
      <c r="PZI29" s="371"/>
      <c r="PZJ29" s="371"/>
      <c r="PZK29" s="371"/>
      <c r="PZL29" s="371"/>
      <c r="PZM29" s="371"/>
      <c r="PZN29" s="371"/>
      <c r="PZO29" s="371"/>
      <c r="PZP29" s="371"/>
      <c r="PZQ29" s="371"/>
      <c r="PZR29" s="371"/>
      <c r="PZS29" s="371"/>
      <c r="PZT29" s="371"/>
      <c r="PZU29" s="371"/>
      <c r="PZV29" s="371"/>
      <c r="PZW29" s="371"/>
      <c r="PZX29" s="371"/>
      <c r="PZY29" s="371"/>
      <c r="PZZ29" s="371"/>
      <c r="QAA29" s="371"/>
      <c r="QAB29" s="371"/>
      <c r="QAC29" s="382"/>
      <c r="QAG29" s="371"/>
      <c r="QAH29" s="371"/>
      <c r="QAI29" s="371"/>
      <c r="QAJ29" s="371"/>
      <c r="QAK29" s="371"/>
      <c r="QAL29" s="371"/>
      <c r="QAM29" s="371"/>
      <c r="QAN29" s="371"/>
      <c r="QAO29" s="371"/>
      <c r="QAP29" s="371"/>
      <c r="QAQ29" s="371"/>
      <c r="QAR29" s="371"/>
      <c r="QAS29" s="371"/>
      <c r="QAT29" s="371"/>
      <c r="QAU29" s="371"/>
      <c r="QAV29" s="371"/>
      <c r="QAW29" s="371"/>
      <c r="QAX29" s="371"/>
      <c r="QAY29" s="371"/>
      <c r="QAZ29" s="371"/>
      <c r="QBA29" s="371"/>
      <c r="QBB29" s="371"/>
      <c r="QBC29" s="371"/>
      <c r="QBD29" s="371"/>
      <c r="QBE29" s="371"/>
      <c r="QBF29" s="371"/>
      <c r="QBG29" s="382"/>
      <c r="QBK29" s="371"/>
      <c r="QBL29" s="371"/>
      <c r="QBM29" s="371"/>
      <c r="QBN29" s="371"/>
      <c r="QBO29" s="371"/>
      <c r="QBP29" s="371"/>
      <c r="QBQ29" s="371"/>
      <c r="QBR29" s="371"/>
      <c r="QBS29" s="371"/>
      <c r="QBT29" s="371"/>
      <c r="QBU29" s="371"/>
      <c r="QBV29" s="371"/>
      <c r="QBW29" s="371"/>
      <c r="QBX29" s="371"/>
      <c r="QBY29" s="371"/>
      <c r="QBZ29" s="371"/>
      <c r="QCA29" s="371"/>
      <c r="QCB29" s="371"/>
      <c r="QCC29" s="371"/>
      <c r="QCD29" s="371"/>
      <c r="QCE29" s="371"/>
      <c r="QCF29" s="371"/>
      <c r="QCG29" s="371"/>
      <c r="QCH29" s="371"/>
      <c r="QCI29" s="371"/>
      <c r="QCJ29" s="371"/>
      <c r="QCK29" s="382"/>
      <c r="QCO29" s="371"/>
      <c r="QCP29" s="371"/>
      <c r="QCQ29" s="371"/>
      <c r="QCR29" s="371"/>
      <c r="QCS29" s="371"/>
      <c r="QCT29" s="371"/>
      <c r="QCU29" s="371"/>
      <c r="QCV29" s="371"/>
      <c r="QCW29" s="371"/>
      <c r="QCX29" s="371"/>
      <c r="QCY29" s="371"/>
      <c r="QCZ29" s="371"/>
      <c r="QDA29" s="371"/>
      <c r="QDB29" s="371"/>
      <c r="QDC29" s="371"/>
      <c r="QDD29" s="371"/>
      <c r="QDE29" s="371"/>
      <c r="QDF29" s="371"/>
      <c r="QDG29" s="371"/>
      <c r="QDH29" s="371"/>
      <c r="QDI29" s="371"/>
      <c r="QDJ29" s="371"/>
      <c r="QDK29" s="371"/>
      <c r="QDL29" s="371"/>
      <c r="QDM29" s="371"/>
      <c r="QDN29" s="371"/>
      <c r="QDO29" s="382"/>
      <c r="QDS29" s="371"/>
      <c r="QDT29" s="371"/>
      <c r="QDU29" s="371"/>
      <c r="QDV29" s="371"/>
      <c r="QDW29" s="371"/>
      <c r="QDX29" s="371"/>
      <c r="QDY29" s="371"/>
      <c r="QDZ29" s="371"/>
      <c r="QEA29" s="371"/>
      <c r="QEB29" s="371"/>
      <c r="QEC29" s="371"/>
      <c r="QED29" s="371"/>
      <c r="QEE29" s="371"/>
      <c r="QEF29" s="371"/>
      <c r="QEG29" s="371"/>
      <c r="QEH29" s="371"/>
      <c r="QEI29" s="371"/>
      <c r="QEJ29" s="371"/>
      <c r="QEK29" s="371"/>
      <c r="QEL29" s="371"/>
      <c r="QEM29" s="371"/>
      <c r="QEN29" s="371"/>
      <c r="QEO29" s="371"/>
      <c r="QEP29" s="371"/>
      <c r="QEQ29" s="371"/>
      <c r="QER29" s="371"/>
      <c r="QES29" s="382"/>
      <c r="QEW29" s="371"/>
      <c r="QEX29" s="371"/>
      <c r="QEY29" s="371"/>
      <c r="QEZ29" s="371"/>
      <c r="QFA29" s="371"/>
      <c r="QFB29" s="371"/>
      <c r="QFC29" s="371"/>
      <c r="QFD29" s="371"/>
      <c r="QFE29" s="371"/>
      <c r="QFF29" s="371"/>
      <c r="QFG29" s="371"/>
      <c r="QFH29" s="371"/>
      <c r="QFI29" s="371"/>
      <c r="QFJ29" s="371"/>
      <c r="QFK29" s="371"/>
      <c r="QFL29" s="371"/>
      <c r="QFM29" s="371"/>
      <c r="QFN29" s="371"/>
      <c r="QFO29" s="371"/>
      <c r="QFP29" s="371"/>
      <c r="QFQ29" s="371"/>
      <c r="QFR29" s="371"/>
      <c r="QFS29" s="371"/>
      <c r="QFT29" s="371"/>
      <c r="QFU29" s="371"/>
      <c r="QFV29" s="371"/>
      <c r="QFW29" s="382"/>
      <c r="QGA29" s="371"/>
      <c r="QGB29" s="371"/>
      <c r="QGC29" s="371"/>
      <c r="QGD29" s="371"/>
      <c r="QGE29" s="371"/>
      <c r="QGF29" s="371"/>
      <c r="QGG29" s="371"/>
      <c r="QGH29" s="371"/>
      <c r="QGI29" s="371"/>
      <c r="QGJ29" s="371"/>
      <c r="QGK29" s="371"/>
      <c r="QGL29" s="371"/>
      <c r="QGM29" s="371"/>
      <c r="QGN29" s="371"/>
      <c r="QGO29" s="371"/>
      <c r="QGP29" s="371"/>
      <c r="QGQ29" s="371"/>
      <c r="QGR29" s="371"/>
      <c r="QGS29" s="371"/>
      <c r="QGT29" s="371"/>
      <c r="QGU29" s="371"/>
      <c r="QGV29" s="371"/>
      <c r="QGW29" s="371"/>
      <c r="QGX29" s="371"/>
      <c r="QGY29" s="371"/>
      <c r="QGZ29" s="371"/>
      <c r="QHA29" s="382"/>
      <c r="QHE29" s="371"/>
      <c r="QHF29" s="371"/>
      <c r="QHG29" s="371"/>
      <c r="QHH29" s="371"/>
      <c r="QHI29" s="371"/>
      <c r="QHJ29" s="371"/>
      <c r="QHK29" s="371"/>
      <c r="QHL29" s="371"/>
      <c r="QHM29" s="371"/>
      <c r="QHN29" s="371"/>
      <c r="QHO29" s="371"/>
      <c r="QHP29" s="371"/>
      <c r="QHQ29" s="371"/>
      <c r="QHR29" s="371"/>
      <c r="QHS29" s="371"/>
      <c r="QHT29" s="371"/>
      <c r="QHU29" s="371"/>
      <c r="QHV29" s="371"/>
      <c r="QHW29" s="371"/>
      <c r="QHX29" s="371"/>
      <c r="QHY29" s="371"/>
      <c r="QHZ29" s="371"/>
      <c r="QIA29" s="371"/>
      <c r="QIB29" s="371"/>
      <c r="QIC29" s="371"/>
      <c r="QID29" s="371"/>
      <c r="QIE29" s="382"/>
      <c r="QII29" s="371"/>
      <c r="QIJ29" s="371"/>
      <c r="QIK29" s="371"/>
      <c r="QIL29" s="371"/>
      <c r="QIM29" s="371"/>
      <c r="QIN29" s="371"/>
      <c r="QIO29" s="371"/>
      <c r="QIP29" s="371"/>
      <c r="QIQ29" s="371"/>
      <c r="QIR29" s="371"/>
      <c r="QIS29" s="371"/>
      <c r="QIT29" s="371"/>
      <c r="QIU29" s="371"/>
      <c r="QIV29" s="371"/>
      <c r="QIW29" s="371"/>
      <c r="QIX29" s="371"/>
      <c r="QIY29" s="371"/>
      <c r="QIZ29" s="371"/>
      <c r="QJA29" s="371"/>
      <c r="QJB29" s="371"/>
      <c r="QJC29" s="371"/>
      <c r="QJD29" s="371"/>
      <c r="QJE29" s="371"/>
      <c r="QJF29" s="371"/>
      <c r="QJG29" s="371"/>
      <c r="QJH29" s="371"/>
      <c r="QJI29" s="382"/>
      <c r="QJM29" s="371"/>
      <c r="QJN29" s="371"/>
      <c r="QJO29" s="371"/>
      <c r="QJP29" s="371"/>
      <c r="QJQ29" s="371"/>
      <c r="QJR29" s="371"/>
      <c r="QJS29" s="371"/>
      <c r="QJT29" s="371"/>
      <c r="QJU29" s="371"/>
      <c r="QJV29" s="371"/>
      <c r="QJW29" s="371"/>
      <c r="QJX29" s="371"/>
      <c r="QJY29" s="371"/>
      <c r="QJZ29" s="371"/>
      <c r="QKA29" s="371"/>
      <c r="QKB29" s="371"/>
      <c r="QKC29" s="371"/>
      <c r="QKD29" s="371"/>
      <c r="QKE29" s="371"/>
      <c r="QKF29" s="371"/>
      <c r="QKG29" s="371"/>
      <c r="QKH29" s="371"/>
      <c r="QKI29" s="371"/>
      <c r="QKJ29" s="371"/>
      <c r="QKK29" s="371"/>
      <c r="QKL29" s="371"/>
      <c r="QKM29" s="382"/>
      <c r="QKQ29" s="371"/>
      <c r="QKR29" s="371"/>
      <c r="QKS29" s="371"/>
      <c r="QKT29" s="371"/>
      <c r="QKU29" s="371"/>
      <c r="QKV29" s="371"/>
      <c r="QKW29" s="371"/>
      <c r="QKX29" s="371"/>
      <c r="QKY29" s="371"/>
      <c r="QKZ29" s="371"/>
      <c r="QLA29" s="371"/>
      <c r="QLB29" s="371"/>
      <c r="QLC29" s="371"/>
      <c r="QLD29" s="371"/>
      <c r="QLE29" s="371"/>
      <c r="QLF29" s="371"/>
      <c r="QLG29" s="371"/>
      <c r="QLH29" s="371"/>
      <c r="QLI29" s="371"/>
      <c r="QLJ29" s="371"/>
      <c r="QLK29" s="371"/>
      <c r="QLL29" s="371"/>
      <c r="QLM29" s="371"/>
      <c r="QLN29" s="371"/>
      <c r="QLO29" s="371"/>
      <c r="QLP29" s="371"/>
      <c r="QLQ29" s="382"/>
      <c r="QLU29" s="371"/>
      <c r="QLV29" s="371"/>
      <c r="QLW29" s="371"/>
      <c r="QLX29" s="371"/>
      <c r="QLY29" s="371"/>
      <c r="QLZ29" s="371"/>
      <c r="QMA29" s="371"/>
      <c r="QMB29" s="371"/>
      <c r="QMC29" s="371"/>
      <c r="QMD29" s="371"/>
      <c r="QME29" s="371"/>
      <c r="QMF29" s="371"/>
      <c r="QMG29" s="371"/>
      <c r="QMH29" s="371"/>
      <c r="QMI29" s="371"/>
      <c r="QMJ29" s="371"/>
      <c r="QMK29" s="371"/>
      <c r="QML29" s="371"/>
      <c r="QMM29" s="371"/>
      <c r="QMN29" s="371"/>
      <c r="QMO29" s="371"/>
      <c r="QMP29" s="371"/>
      <c r="QMQ29" s="371"/>
      <c r="QMR29" s="371"/>
      <c r="QMS29" s="371"/>
      <c r="QMT29" s="371"/>
      <c r="QMU29" s="382"/>
      <c r="QMY29" s="371"/>
      <c r="QMZ29" s="371"/>
      <c r="QNA29" s="371"/>
      <c r="QNB29" s="371"/>
      <c r="QNC29" s="371"/>
      <c r="QND29" s="371"/>
      <c r="QNE29" s="371"/>
      <c r="QNF29" s="371"/>
      <c r="QNG29" s="371"/>
      <c r="QNH29" s="371"/>
      <c r="QNI29" s="371"/>
      <c r="QNJ29" s="371"/>
      <c r="QNK29" s="371"/>
      <c r="QNL29" s="371"/>
      <c r="QNM29" s="371"/>
      <c r="QNN29" s="371"/>
      <c r="QNO29" s="371"/>
      <c r="QNP29" s="371"/>
      <c r="QNQ29" s="371"/>
      <c r="QNR29" s="371"/>
      <c r="QNS29" s="371"/>
      <c r="QNT29" s="371"/>
      <c r="QNU29" s="371"/>
      <c r="QNV29" s="371"/>
      <c r="QNW29" s="371"/>
      <c r="QNX29" s="371"/>
      <c r="QNY29" s="382"/>
      <c r="QOC29" s="371"/>
      <c r="QOD29" s="371"/>
      <c r="QOE29" s="371"/>
      <c r="QOF29" s="371"/>
      <c r="QOG29" s="371"/>
      <c r="QOH29" s="371"/>
      <c r="QOI29" s="371"/>
      <c r="QOJ29" s="371"/>
      <c r="QOK29" s="371"/>
      <c r="QOL29" s="371"/>
      <c r="QOM29" s="371"/>
      <c r="QON29" s="371"/>
      <c r="QOO29" s="371"/>
      <c r="QOP29" s="371"/>
      <c r="QOQ29" s="371"/>
      <c r="QOR29" s="371"/>
      <c r="QOS29" s="371"/>
      <c r="QOT29" s="371"/>
      <c r="QOU29" s="371"/>
      <c r="QOV29" s="371"/>
      <c r="QOW29" s="371"/>
      <c r="QOX29" s="371"/>
      <c r="QOY29" s="371"/>
      <c r="QOZ29" s="371"/>
      <c r="QPA29" s="371"/>
      <c r="QPB29" s="371"/>
      <c r="QPC29" s="382"/>
      <c r="QPG29" s="371"/>
      <c r="QPH29" s="371"/>
      <c r="QPI29" s="371"/>
      <c r="QPJ29" s="371"/>
      <c r="QPK29" s="371"/>
      <c r="QPL29" s="371"/>
      <c r="QPM29" s="371"/>
      <c r="QPN29" s="371"/>
      <c r="QPO29" s="371"/>
      <c r="QPP29" s="371"/>
      <c r="QPQ29" s="371"/>
      <c r="QPR29" s="371"/>
      <c r="QPS29" s="371"/>
      <c r="QPT29" s="371"/>
      <c r="QPU29" s="371"/>
      <c r="QPV29" s="371"/>
      <c r="QPW29" s="371"/>
      <c r="QPX29" s="371"/>
      <c r="QPY29" s="371"/>
      <c r="QPZ29" s="371"/>
      <c r="QQA29" s="371"/>
      <c r="QQB29" s="371"/>
      <c r="QQC29" s="371"/>
      <c r="QQD29" s="371"/>
      <c r="QQE29" s="371"/>
      <c r="QQF29" s="371"/>
      <c r="QQG29" s="382"/>
      <c r="QQK29" s="371"/>
      <c r="QQL29" s="371"/>
      <c r="QQM29" s="371"/>
      <c r="QQN29" s="371"/>
      <c r="QQO29" s="371"/>
      <c r="QQP29" s="371"/>
      <c r="QQQ29" s="371"/>
      <c r="QQR29" s="371"/>
      <c r="QQS29" s="371"/>
      <c r="QQT29" s="371"/>
      <c r="QQU29" s="371"/>
      <c r="QQV29" s="371"/>
      <c r="QQW29" s="371"/>
      <c r="QQX29" s="371"/>
      <c r="QQY29" s="371"/>
      <c r="QQZ29" s="371"/>
      <c r="QRA29" s="371"/>
      <c r="QRB29" s="371"/>
      <c r="QRC29" s="371"/>
      <c r="QRD29" s="371"/>
      <c r="QRE29" s="371"/>
      <c r="QRF29" s="371"/>
      <c r="QRG29" s="371"/>
      <c r="QRH29" s="371"/>
      <c r="QRI29" s="371"/>
      <c r="QRJ29" s="371"/>
      <c r="QRK29" s="382"/>
      <c r="QRO29" s="371"/>
      <c r="QRP29" s="371"/>
      <c r="QRQ29" s="371"/>
      <c r="QRR29" s="371"/>
      <c r="QRS29" s="371"/>
      <c r="QRT29" s="371"/>
      <c r="QRU29" s="371"/>
      <c r="QRV29" s="371"/>
      <c r="QRW29" s="371"/>
      <c r="QRX29" s="371"/>
      <c r="QRY29" s="371"/>
      <c r="QRZ29" s="371"/>
      <c r="QSA29" s="371"/>
      <c r="QSB29" s="371"/>
      <c r="QSC29" s="371"/>
      <c r="QSD29" s="371"/>
      <c r="QSE29" s="371"/>
      <c r="QSF29" s="371"/>
      <c r="QSG29" s="371"/>
      <c r="QSH29" s="371"/>
      <c r="QSI29" s="371"/>
      <c r="QSJ29" s="371"/>
      <c r="QSK29" s="371"/>
      <c r="QSL29" s="371"/>
      <c r="QSM29" s="371"/>
      <c r="QSN29" s="371"/>
      <c r="QSO29" s="382"/>
      <c r="QSS29" s="371"/>
      <c r="QST29" s="371"/>
      <c r="QSU29" s="371"/>
      <c r="QSV29" s="371"/>
      <c r="QSW29" s="371"/>
      <c r="QSX29" s="371"/>
      <c r="QSY29" s="371"/>
      <c r="QSZ29" s="371"/>
      <c r="QTA29" s="371"/>
      <c r="QTB29" s="371"/>
      <c r="QTC29" s="371"/>
      <c r="QTD29" s="371"/>
      <c r="QTE29" s="371"/>
      <c r="QTF29" s="371"/>
      <c r="QTG29" s="371"/>
      <c r="QTH29" s="371"/>
      <c r="QTI29" s="371"/>
      <c r="QTJ29" s="371"/>
      <c r="QTK29" s="371"/>
      <c r="QTL29" s="371"/>
      <c r="QTM29" s="371"/>
      <c r="QTN29" s="371"/>
      <c r="QTO29" s="371"/>
      <c r="QTP29" s="371"/>
      <c r="QTQ29" s="371"/>
      <c r="QTR29" s="371"/>
      <c r="QTS29" s="382"/>
      <c r="QTW29" s="371"/>
      <c r="QTX29" s="371"/>
      <c r="QTY29" s="371"/>
      <c r="QTZ29" s="371"/>
      <c r="QUA29" s="371"/>
      <c r="QUB29" s="371"/>
      <c r="QUC29" s="371"/>
      <c r="QUD29" s="371"/>
      <c r="QUE29" s="371"/>
      <c r="QUF29" s="371"/>
      <c r="QUG29" s="371"/>
      <c r="QUH29" s="371"/>
      <c r="QUI29" s="371"/>
      <c r="QUJ29" s="371"/>
      <c r="QUK29" s="371"/>
      <c r="QUL29" s="371"/>
      <c r="QUM29" s="371"/>
      <c r="QUN29" s="371"/>
      <c r="QUO29" s="371"/>
      <c r="QUP29" s="371"/>
      <c r="QUQ29" s="371"/>
      <c r="QUR29" s="371"/>
      <c r="QUS29" s="371"/>
      <c r="QUT29" s="371"/>
      <c r="QUU29" s="371"/>
      <c r="QUV29" s="371"/>
      <c r="QUW29" s="382"/>
      <c r="QVA29" s="371"/>
      <c r="QVB29" s="371"/>
      <c r="QVC29" s="371"/>
      <c r="QVD29" s="371"/>
      <c r="QVE29" s="371"/>
      <c r="QVF29" s="371"/>
      <c r="QVG29" s="371"/>
      <c r="QVH29" s="371"/>
      <c r="QVI29" s="371"/>
      <c r="QVJ29" s="371"/>
      <c r="QVK29" s="371"/>
      <c r="QVL29" s="371"/>
      <c r="QVM29" s="371"/>
      <c r="QVN29" s="371"/>
      <c r="QVO29" s="371"/>
      <c r="QVP29" s="371"/>
      <c r="QVQ29" s="371"/>
      <c r="QVR29" s="371"/>
      <c r="QVS29" s="371"/>
      <c r="QVT29" s="371"/>
      <c r="QVU29" s="371"/>
      <c r="QVV29" s="371"/>
      <c r="QVW29" s="371"/>
      <c r="QVX29" s="371"/>
      <c r="QVY29" s="371"/>
      <c r="QVZ29" s="371"/>
      <c r="QWA29" s="382"/>
      <c r="QWE29" s="371"/>
      <c r="QWF29" s="371"/>
      <c r="QWG29" s="371"/>
      <c r="QWH29" s="371"/>
      <c r="QWI29" s="371"/>
      <c r="QWJ29" s="371"/>
      <c r="QWK29" s="371"/>
      <c r="QWL29" s="371"/>
      <c r="QWM29" s="371"/>
      <c r="QWN29" s="371"/>
      <c r="QWO29" s="371"/>
      <c r="QWP29" s="371"/>
      <c r="QWQ29" s="371"/>
      <c r="QWR29" s="371"/>
      <c r="QWS29" s="371"/>
      <c r="QWT29" s="371"/>
      <c r="QWU29" s="371"/>
      <c r="QWV29" s="371"/>
      <c r="QWW29" s="371"/>
      <c r="QWX29" s="371"/>
      <c r="QWY29" s="371"/>
      <c r="QWZ29" s="371"/>
      <c r="QXA29" s="371"/>
      <c r="QXB29" s="371"/>
      <c r="QXC29" s="371"/>
      <c r="QXD29" s="371"/>
      <c r="QXE29" s="382"/>
      <c r="QXI29" s="371"/>
      <c r="QXJ29" s="371"/>
      <c r="QXK29" s="371"/>
      <c r="QXL29" s="371"/>
      <c r="QXM29" s="371"/>
      <c r="QXN29" s="371"/>
      <c r="QXO29" s="371"/>
      <c r="QXP29" s="371"/>
      <c r="QXQ29" s="371"/>
      <c r="QXR29" s="371"/>
      <c r="QXS29" s="371"/>
      <c r="QXT29" s="371"/>
      <c r="QXU29" s="371"/>
      <c r="QXV29" s="371"/>
      <c r="QXW29" s="371"/>
      <c r="QXX29" s="371"/>
      <c r="QXY29" s="371"/>
      <c r="QXZ29" s="371"/>
      <c r="QYA29" s="371"/>
      <c r="QYB29" s="371"/>
      <c r="QYC29" s="371"/>
      <c r="QYD29" s="371"/>
      <c r="QYE29" s="371"/>
      <c r="QYF29" s="371"/>
      <c r="QYG29" s="371"/>
      <c r="QYH29" s="371"/>
      <c r="QYI29" s="382"/>
      <c r="QYM29" s="371"/>
      <c r="QYN29" s="371"/>
      <c r="QYO29" s="371"/>
      <c r="QYP29" s="371"/>
      <c r="QYQ29" s="371"/>
      <c r="QYR29" s="371"/>
      <c r="QYS29" s="371"/>
      <c r="QYT29" s="371"/>
      <c r="QYU29" s="371"/>
      <c r="QYV29" s="371"/>
      <c r="QYW29" s="371"/>
      <c r="QYX29" s="371"/>
      <c r="QYY29" s="371"/>
      <c r="QYZ29" s="371"/>
      <c r="QZA29" s="371"/>
      <c r="QZB29" s="371"/>
      <c r="QZC29" s="371"/>
      <c r="QZD29" s="371"/>
      <c r="QZE29" s="371"/>
      <c r="QZF29" s="371"/>
      <c r="QZG29" s="371"/>
      <c r="QZH29" s="371"/>
      <c r="QZI29" s="371"/>
      <c r="QZJ29" s="371"/>
      <c r="QZK29" s="371"/>
      <c r="QZL29" s="371"/>
      <c r="QZM29" s="382"/>
      <c r="QZQ29" s="371"/>
      <c r="QZR29" s="371"/>
      <c r="QZS29" s="371"/>
      <c r="QZT29" s="371"/>
      <c r="QZU29" s="371"/>
      <c r="QZV29" s="371"/>
      <c r="QZW29" s="371"/>
      <c r="QZX29" s="371"/>
      <c r="QZY29" s="371"/>
      <c r="QZZ29" s="371"/>
      <c r="RAA29" s="371"/>
      <c r="RAB29" s="371"/>
      <c r="RAC29" s="371"/>
      <c r="RAD29" s="371"/>
      <c r="RAE29" s="371"/>
      <c r="RAF29" s="371"/>
      <c r="RAG29" s="371"/>
      <c r="RAH29" s="371"/>
      <c r="RAI29" s="371"/>
      <c r="RAJ29" s="371"/>
      <c r="RAK29" s="371"/>
      <c r="RAL29" s="371"/>
      <c r="RAM29" s="371"/>
      <c r="RAN29" s="371"/>
      <c r="RAO29" s="371"/>
      <c r="RAP29" s="371"/>
      <c r="RAQ29" s="382"/>
      <c r="RAU29" s="371"/>
      <c r="RAV29" s="371"/>
      <c r="RAW29" s="371"/>
      <c r="RAX29" s="371"/>
      <c r="RAY29" s="371"/>
      <c r="RAZ29" s="371"/>
      <c r="RBA29" s="371"/>
      <c r="RBB29" s="371"/>
      <c r="RBC29" s="371"/>
      <c r="RBD29" s="371"/>
      <c r="RBE29" s="371"/>
      <c r="RBF29" s="371"/>
      <c r="RBG29" s="371"/>
      <c r="RBH29" s="371"/>
      <c r="RBI29" s="371"/>
      <c r="RBJ29" s="371"/>
      <c r="RBK29" s="371"/>
      <c r="RBL29" s="371"/>
      <c r="RBM29" s="371"/>
      <c r="RBN29" s="371"/>
      <c r="RBO29" s="371"/>
      <c r="RBP29" s="371"/>
      <c r="RBQ29" s="371"/>
      <c r="RBR29" s="371"/>
      <c r="RBS29" s="371"/>
      <c r="RBT29" s="371"/>
      <c r="RBU29" s="382"/>
      <c r="RBY29" s="371"/>
      <c r="RBZ29" s="371"/>
      <c r="RCA29" s="371"/>
      <c r="RCB29" s="371"/>
      <c r="RCC29" s="371"/>
      <c r="RCD29" s="371"/>
      <c r="RCE29" s="371"/>
      <c r="RCF29" s="371"/>
      <c r="RCG29" s="371"/>
      <c r="RCH29" s="371"/>
      <c r="RCI29" s="371"/>
      <c r="RCJ29" s="371"/>
      <c r="RCK29" s="371"/>
      <c r="RCL29" s="371"/>
      <c r="RCM29" s="371"/>
      <c r="RCN29" s="371"/>
      <c r="RCO29" s="371"/>
      <c r="RCP29" s="371"/>
      <c r="RCQ29" s="371"/>
      <c r="RCR29" s="371"/>
      <c r="RCS29" s="371"/>
      <c r="RCT29" s="371"/>
      <c r="RCU29" s="371"/>
      <c r="RCV29" s="371"/>
      <c r="RCW29" s="371"/>
      <c r="RCX29" s="371"/>
      <c r="RCY29" s="382"/>
      <c r="RDC29" s="371"/>
      <c r="RDD29" s="371"/>
      <c r="RDE29" s="371"/>
      <c r="RDF29" s="371"/>
      <c r="RDG29" s="371"/>
      <c r="RDH29" s="371"/>
      <c r="RDI29" s="371"/>
      <c r="RDJ29" s="371"/>
      <c r="RDK29" s="371"/>
      <c r="RDL29" s="371"/>
      <c r="RDM29" s="371"/>
      <c r="RDN29" s="371"/>
      <c r="RDO29" s="371"/>
      <c r="RDP29" s="371"/>
      <c r="RDQ29" s="371"/>
      <c r="RDR29" s="371"/>
      <c r="RDS29" s="371"/>
      <c r="RDT29" s="371"/>
      <c r="RDU29" s="371"/>
      <c r="RDV29" s="371"/>
      <c r="RDW29" s="371"/>
      <c r="RDX29" s="371"/>
      <c r="RDY29" s="371"/>
      <c r="RDZ29" s="371"/>
      <c r="REA29" s="371"/>
      <c r="REB29" s="371"/>
      <c r="REC29" s="382"/>
      <c r="REG29" s="371"/>
      <c r="REH29" s="371"/>
      <c r="REI29" s="371"/>
      <c r="REJ29" s="371"/>
      <c r="REK29" s="371"/>
      <c r="REL29" s="371"/>
      <c r="REM29" s="371"/>
      <c r="REN29" s="371"/>
      <c r="REO29" s="371"/>
      <c r="REP29" s="371"/>
      <c r="REQ29" s="371"/>
      <c r="RER29" s="371"/>
      <c r="RES29" s="371"/>
      <c r="RET29" s="371"/>
      <c r="REU29" s="371"/>
      <c r="REV29" s="371"/>
      <c r="REW29" s="371"/>
      <c r="REX29" s="371"/>
      <c r="REY29" s="371"/>
      <c r="REZ29" s="371"/>
      <c r="RFA29" s="371"/>
      <c r="RFB29" s="371"/>
      <c r="RFC29" s="371"/>
      <c r="RFD29" s="371"/>
      <c r="RFE29" s="371"/>
      <c r="RFF29" s="371"/>
      <c r="RFG29" s="382"/>
      <c r="RFK29" s="371"/>
      <c r="RFL29" s="371"/>
      <c r="RFM29" s="371"/>
      <c r="RFN29" s="371"/>
      <c r="RFO29" s="371"/>
      <c r="RFP29" s="371"/>
      <c r="RFQ29" s="371"/>
      <c r="RFR29" s="371"/>
      <c r="RFS29" s="371"/>
      <c r="RFT29" s="371"/>
      <c r="RFU29" s="371"/>
      <c r="RFV29" s="371"/>
      <c r="RFW29" s="371"/>
      <c r="RFX29" s="371"/>
      <c r="RFY29" s="371"/>
      <c r="RFZ29" s="371"/>
      <c r="RGA29" s="371"/>
      <c r="RGB29" s="371"/>
      <c r="RGC29" s="371"/>
      <c r="RGD29" s="371"/>
      <c r="RGE29" s="371"/>
      <c r="RGF29" s="371"/>
      <c r="RGG29" s="371"/>
      <c r="RGH29" s="371"/>
      <c r="RGI29" s="371"/>
      <c r="RGJ29" s="371"/>
      <c r="RGK29" s="382"/>
      <c r="RGO29" s="371"/>
      <c r="RGP29" s="371"/>
      <c r="RGQ29" s="371"/>
      <c r="RGR29" s="371"/>
      <c r="RGS29" s="371"/>
      <c r="RGT29" s="371"/>
      <c r="RGU29" s="371"/>
      <c r="RGV29" s="371"/>
      <c r="RGW29" s="371"/>
      <c r="RGX29" s="371"/>
      <c r="RGY29" s="371"/>
      <c r="RGZ29" s="371"/>
      <c r="RHA29" s="371"/>
      <c r="RHB29" s="371"/>
      <c r="RHC29" s="371"/>
      <c r="RHD29" s="371"/>
      <c r="RHE29" s="371"/>
      <c r="RHF29" s="371"/>
      <c r="RHG29" s="371"/>
      <c r="RHH29" s="371"/>
      <c r="RHI29" s="371"/>
      <c r="RHJ29" s="371"/>
      <c r="RHK29" s="371"/>
      <c r="RHL29" s="371"/>
      <c r="RHM29" s="371"/>
      <c r="RHN29" s="371"/>
      <c r="RHO29" s="382"/>
      <c r="RHS29" s="371"/>
      <c r="RHT29" s="371"/>
      <c r="RHU29" s="371"/>
      <c r="RHV29" s="371"/>
      <c r="RHW29" s="371"/>
      <c r="RHX29" s="371"/>
      <c r="RHY29" s="371"/>
      <c r="RHZ29" s="371"/>
      <c r="RIA29" s="371"/>
      <c r="RIB29" s="371"/>
      <c r="RIC29" s="371"/>
      <c r="RID29" s="371"/>
      <c r="RIE29" s="371"/>
      <c r="RIF29" s="371"/>
      <c r="RIG29" s="371"/>
      <c r="RIH29" s="371"/>
      <c r="RII29" s="371"/>
      <c r="RIJ29" s="371"/>
      <c r="RIK29" s="371"/>
      <c r="RIL29" s="371"/>
      <c r="RIM29" s="371"/>
      <c r="RIN29" s="371"/>
      <c r="RIO29" s="371"/>
      <c r="RIP29" s="371"/>
      <c r="RIQ29" s="371"/>
      <c r="RIR29" s="371"/>
      <c r="RIS29" s="382"/>
      <c r="RIW29" s="371"/>
      <c r="RIX29" s="371"/>
      <c r="RIY29" s="371"/>
      <c r="RIZ29" s="371"/>
      <c r="RJA29" s="371"/>
      <c r="RJB29" s="371"/>
      <c r="RJC29" s="371"/>
      <c r="RJD29" s="371"/>
      <c r="RJE29" s="371"/>
      <c r="RJF29" s="371"/>
      <c r="RJG29" s="371"/>
      <c r="RJH29" s="371"/>
      <c r="RJI29" s="371"/>
      <c r="RJJ29" s="371"/>
      <c r="RJK29" s="371"/>
      <c r="RJL29" s="371"/>
      <c r="RJM29" s="371"/>
      <c r="RJN29" s="371"/>
      <c r="RJO29" s="371"/>
      <c r="RJP29" s="371"/>
      <c r="RJQ29" s="371"/>
      <c r="RJR29" s="371"/>
      <c r="RJS29" s="371"/>
      <c r="RJT29" s="371"/>
      <c r="RJU29" s="371"/>
      <c r="RJV29" s="371"/>
      <c r="RJW29" s="382"/>
      <c r="RKA29" s="371"/>
      <c r="RKB29" s="371"/>
      <c r="RKC29" s="371"/>
      <c r="RKD29" s="371"/>
      <c r="RKE29" s="371"/>
      <c r="RKF29" s="371"/>
      <c r="RKG29" s="371"/>
      <c r="RKH29" s="371"/>
      <c r="RKI29" s="371"/>
      <c r="RKJ29" s="371"/>
      <c r="RKK29" s="371"/>
      <c r="RKL29" s="371"/>
      <c r="RKM29" s="371"/>
      <c r="RKN29" s="371"/>
      <c r="RKO29" s="371"/>
      <c r="RKP29" s="371"/>
      <c r="RKQ29" s="371"/>
      <c r="RKR29" s="371"/>
      <c r="RKS29" s="371"/>
      <c r="RKT29" s="371"/>
      <c r="RKU29" s="371"/>
      <c r="RKV29" s="371"/>
      <c r="RKW29" s="371"/>
      <c r="RKX29" s="371"/>
      <c r="RKY29" s="371"/>
      <c r="RKZ29" s="371"/>
      <c r="RLA29" s="382"/>
      <c r="RLE29" s="371"/>
      <c r="RLF29" s="371"/>
      <c r="RLG29" s="371"/>
      <c r="RLH29" s="371"/>
      <c r="RLI29" s="371"/>
      <c r="RLJ29" s="371"/>
      <c r="RLK29" s="371"/>
      <c r="RLL29" s="371"/>
      <c r="RLM29" s="371"/>
      <c r="RLN29" s="371"/>
      <c r="RLO29" s="371"/>
      <c r="RLP29" s="371"/>
      <c r="RLQ29" s="371"/>
      <c r="RLR29" s="371"/>
      <c r="RLS29" s="371"/>
      <c r="RLT29" s="371"/>
      <c r="RLU29" s="371"/>
      <c r="RLV29" s="371"/>
      <c r="RLW29" s="371"/>
      <c r="RLX29" s="371"/>
      <c r="RLY29" s="371"/>
      <c r="RLZ29" s="371"/>
      <c r="RMA29" s="371"/>
      <c r="RMB29" s="371"/>
      <c r="RMC29" s="371"/>
      <c r="RMD29" s="371"/>
      <c r="RME29" s="382"/>
      <c r="RMI29" s="371"/>
      <c r="RMJ29" s="371"/>
      <c r="RMK29" s="371"/>
      <c r="RML29" s="371"/>
      <c r="RMM29" s="371"/>
      <c r="RMN29" s="371"/>
      <c r="RMO29" s="371"/>
      <c r="RMP29" s="371"/>
      <c r="RMQ29" s="371"/>
      <c r="RMR29" s="371"/>
      <c r="RMS29" s="371"/>
      <c r="RMT29" s="371"/>
      <c r="RMU29" s="371"/>
      <c r="RMV29" s="371"/>
      <c r="RMW29" s="371"/>
      <c r="RMX29" s="371"/>
      <c r="RMY29" s="371"/>
      <c r="RMZ29" s="371"/>
      <c r="RNA29" s="371"/>
      <c r="RNB29" s="371"/>
      <c r="RNC29" s="371"/>
      <c r="RND29" s="371"/>
      <c r="RNE29" s="371"/>
      <c r="RNF29" s="371"/>
      <c r="RNG29" s="371"/>
      <c r="RNH29" s="371"/>
      <c r="RNI29" s="382"/>
      <c r="RNM29" s="371"/>
      <c r="RNN29" s="371"/>
      <c r="RNO29" s="371"/>
      <c r="RNP29" s="371"/>
      <c r="RNQ29" s="371"/>
      <c r="RNR29" s="371"/>
      <c r="RNS29" s="371"/>
      <c r="RNT29" s="371"/>
      <c r="RNU29" s="371"/>
      <c r="RNV29" s="371"/>
      <c r="RNW29" s="371"/>
      <c r="RNX29" s="371"/>
      <c r="RNY29" s="371"/>
      <c r="RNZ29" s="371"/>
      <c r="ROA29" s="371"/>
      <c r="ROB29" s="371"/>
      <c r="ROC29" s="371"/>
      <c r="ROD29" s="371"/>
      <c r="ROE29" s="371"/>
      <c r="ROF29" s="371"/>
      <c r="ROG29" s="371"/>
      <c r="ROH29" s="371"/>
      <c r="ROI29" s="371"/>
      <c r="ROJ29" s="371"/>
      <c r="ROK29" s="371"/>
      <c r="ROL29" s="371"/>
      <c r="ROM29" s="382"/>
      <c r="ROQ29" s="371"/>
      <c r="ROR29" s="371"/>
      <c r="ROS29" s="371"/>
      <c r="ROT29" s="371"/>
      <c r="ROU29" s="371"/>
      <c r="ROV29" s="371"/>
      <c r="ROW29" s="371"/>
      <c r="ROX29" s="371"/>
      <c r="ROY29" s="371"/>
      <c r="ROZ29" s="371"/>
      <c r="RPA29" s="371"/>
      <c r="RPB29" s="371"/>
      <c r="RPC29" s="371"/>
      <c r="RPD29" s="371"/>
      <c r="RPE29" s="371"/>
      <c r="RPF29" s="371"/>
      <c r="RPG29" s="371"/>
      <c r="RPH29" s="371"/>
      <c r="RPI29" s="371"/>
      <c r="RPJ29" s="371"/>
      <c r="RPK29" s="371"/>
      <c r="RPL29" s="371"/>
      <c r="RPM29" s="371"/>
      <c r="RPN29" s="371"/>
      <c r="RPO29" s="371"/>
      <c r="RPP29" s="371"/>
      <c r="RPQ29" s="382"/>
      <c r="RPU29" s="371"/>
      <c r="RPV29" s="371"/>
      <c r="RPW29" s="371"/>
      <c r="RPX29" s="371"/>
      <c r="RPY29" s="371"/>
      <c r="RPZ29" s="371"/>
      <c r="RQA29" s="371"/>
      <c r="RQB29" s="371"/>
      <c r="RQC29" s="371"/>
      <c r="RQD29" s="371"/>
      <c r="RQE29" s="371"/>
      <c r="RQF29" s="371"/>
      <c r="RQG29" s="371"/>
      <c r="RQH29" s="371"/>
      <c r="RQI29" s="371"/>
      <c r="RQJ29" s="371"/>
      <c r="RQK29" s="371"/>
      <c r="RQL29" s="371"/>
      <c r="RQM29" s="371"/>
      <c r="RQN29" s="371"/>
      <c r="RQO29" s="371"/>
      <c r="RQP29" s="371"/>
      <c r="RQQ29" s="371"/>
      <c r="RQR29" s="371"/>
      <c r="RQS29" s="371"/>
      <c r="RQT29" s="371"/>
      <c r="RQU29" s="382"/>
      <c r="RQY29" s="371"/>
      <c r="RQZ29" s="371"/>
      <c r="RRA29" s="371"/>
      <c r="RRB29" s="371"/>
      <c r="RRC29" s="371"/>
      <c r="RRD29" s="371"/>
      <c r="RRE29" s="371"/>
      <c r="RRF29" s="371"/>
      <c r="RRG29" s="371"/>
      <c r="RRH29" s="371"/>
      <c r="RRI29" s="371"/>
      <c r="RRJ29" s="371"/>
      <c r="RRK29" s="371"/>
      <c r="RRL29" s="371"/>
      <c r="RRM29" s="371"/>
      <c r="RRN29" s="371"/>
      <c r="RRO29" s="371"/>
      <c r="RRP29" s="371"/>
      <c r="RRQ29" s="371"/>
      <c r="RRR29" s="371"/>
      <c r="RRS29" s="371"/>
      <c r="RRT29" s="371"/>
      <c r="RRU29" s="371"/>
      <c r="RRV29" s="371"/>
      <c r="RRW29" s="371"/>
      <c r="RRX29" s="371"/>
      <c r="RRY29" s="382"/>
      <c r="RSC29" s="371"/>
      <c r="RSD29" s="371"/>
      <c r="RSE29" s="371"/>
      <c r="RSF29" s="371"/>
      <c r="RSG29" s="371"/>
      <c r="RSH29" s="371"/>
      <c r="RSI29" s="371"/>
      <c r="RSJ29" s="371"/>
      <c r="RSK29" s="371"/>
      <c r="RSL29" s="371"/>
      <c r="RSM29" s="371"/>
      <c r="RSN29" s="371"/>
      <c r="RSO29" s="371"/>
      <c r="RSP29" s="371"/>
      <c r="RSQ29" s="371"/>
      <c r="RSR29" s="371"/>
      <c r="RSS29" s="371"/>
      <c r="RST29" s="371"/>
      <c r="RSU29" s="371"/>
      <c r="RSV29" s="371"/>
      <c r="RSW29" s="371"/>
      <c r="RSX29" s="371"/>
      <c r="RSY29" s="371"/>
      <c r="RSZ29" s="371"/>
      <c r="RTA29" s="371"/>
      <c r="RTB29" s="371"/>
      <c r="RTC29" s="382"/>
      <c r="RTG29" s="371"/>
      <c r="RTH29" s="371"/>
      <c r="RTI29" s="371"/>
      <c r="RTJ29" s="371"/>
      <c r="RTK29" s="371"/>
      <c r="RTL29" s="371"/>
      <c r="RTM29" s="371"/>
      <c r="RTN29" s="371"/>
      <c r="RTO29" s="371"/>
      <c r="RTP29" s="371"/>
      <c r="RTQ29" s="371"/>
      <c r="RTR29" s="371"/>
      <c r="RTS29" s="371"/>
      <c r="RTT29" s="371"/>
      <c r="RTU29" s="371"/>
      <c r="RTV29" s="371"/>
      <c r="RTW29" s="371"/>
      <c r="RTX29" s="371"/>
      <c r="RTY29" s="371"/>
      <c r="RTZ29" s="371"/>
      <c r="RUA29" s="371"/>
      <c r="RUB29" s="371"/>
      <c r="RUC29" s="371"/>
      <c r="RUD29" s="371"/>
      <c r="RUE29" s="371"/>
      <c r="RUF29" s="371"/>
      <c r="RUG29" s="382"/>
      <c r="RUK29" s="371"/>
      <c r="RUL29" s="371"/>
      <c r="RUM29" s="371"/>
      <c r="RUN29" s="371"/>
      <c r="RUO29" s="371"/>
      <c r="RUP29" s="371"/>
      <c r="RUQ29" s="371"/>
      <c r="RUR29" s="371"/>
      <c r="RUS29" s="371"/>
      <c r="RUT29" s="371"/>
      <c r="RUU29" s="371"/>
      <c r="RUV29" s="371"/>
      <c r="RUW29" s="371"/>
      <c r="RUX29" s="371"/>
      <c r="RUY29" s="371"/>
      <c r="RUZ29" s="371"/>
      <c r="RVA29" s="371"/>
      <c r="RVB29" s="371"/>
      <c r="RVC29" s="371"/>
      <c r="RVD29" s="371"/>
      <c r="RVE29" s="371"/>
      <c r="RVF29" s="371"/>
      <c r="RVG29" s="371"/>
      <c r="RVH29" s="371"/>
      <c r="RVI29" s="371"/>
      <c r="RVJ29" s="371"/>
      <c r="RVK29" s="382"/>
      <c r="RVO29" s="371"/>
      <c r="RVP29" s="371"/>
      <c r="RVQ29" s="371"/>
      <c r="RVR29" s="371"/>
      <c r="RVS29" s="371"/>
      <c r="RVT29" s="371"/>
      <c r="RVU29" s="371"/>
      <c r="RVV29" s="371"/>
      <c r="RVW29" s="371"/>
      <c r="RVX29" s="371"/>
      <c r="RVY29" s="371"/>
      <c r="RVZ29" s="371"/>
      <c r="RWA29" s="371"/>
      <c r="RWB29" s="371"/>
      <c r="RWC29" s="371"/>
      <c r="RWD29" s="371"/>
      <c r="RWE29" s="371"/>
      <c r="RWF29" s="371"/>
      <c r="RWG29" s="371"/>
      <c r="RWH29" s="371"/>
      <c r="RWI29" s="371"/>
      <c r="RWJ29" s="371"/>
      <c r="RWK29" s="371"/>
      <c r="RWL29" s="371"/>
      <c r="RWM29" s="371"/>
      <c r="RWN29" s="371"/>
      <c r="RWO29" s="382"/>
      <c r="RWS29" s="371"/>
      <c r="RWT29" s="371"/>
      <c r="RWU29" s="371"/>
      <c r="RWV29" s="371"/>
      <c r="RWW29" s="371"/>
      <c r="RWX29" s="371"/>
      <c r="RWY29" s="371"/>
      <c r="RWZ29" s="371"/>
      <c r="RXA29" s="371"/>
      <c r="RXB29" s="371"/>
      <c r="RXC29" s="371"/>
      <c r="RXD29" s="371"/>
      <c r="RXE29" s="371"/>
      <c r="RXF29" s="371"/>
      <c r="RXG29" s="371"/>
      <c r="RXH29" s="371"/>
      <c r="RXI29" s="371"/>
      <c r="RXJ29" s="371"/>
      <c r="RXK29" s="371"/>
      <c r="RXL29" s="371"/>
      <c r="RXM29" s="371"/>
      <c r="RXN29" s="371"/>
      <c r="RXO29" s="371"/>
      <c r="RXP29" s="371"/>
      <c r="RXQ29" s="371"/>
      <c r="RXR29" s="371"/>
      <c r="RXS29" s="382"/>
      <c r="RXW29" s="371"/>
      <c r="RXX29" s="371"/>
      <c r="RXY29" s="371"/>
      <c r="RXZ29" s="371"/>
      <c r="RYA29" s="371"/>
      <c r="RYB29" s="371"/>
      <c r="RYC29" s="371"/>
      <c r="RYD29" s="371"/>
      <c r="RYE29" s="371"/>
      <c r="RYF29" s="371"/>
      <c r="RYG29" s="371"/>
      <c r="RYH29" s="371"/>
      <c r="RYI29" s="371"/>
      <c r="RYJ29" s="371"/>
      <c r="RYK29" s="371"/>
      <c r="RYL29" s="371"/>
      <c r="RYM29" s="371"/>
      <c r="RYN29" s="371"/>
      <c r="RYO29" s="371"/>
      <c r="RYP29" s="371"/>
      <c r="RYQ29" s="371"/>
      <c r="RYR29" s="371"/>
      <c r="RYS29" s="371"/>
      <c r="RYT29" s="371"/>
      <c r="RYU29" s="371"/>
      <c r="RYV29" s="371"/>
      <c r="RYW29" s="382"/>
      <c r="RZA29" s="371"/>
      <c r="RZB29" s="371"/>
      <c r="RZC29" s="371"/>
      <c r="RZD29" s="371"/>
      <c r="RZE29" s="371"/>
      <c r="RZF29" s="371"/>
      <c r="RZG29" s="371"/>
      <c r="RZH29" s="371"/>
      <c r="RZI29" s="371"/>
      <c r="RZJ29" s="371"/>
      <c r="RZK29" s="371"/>
      <c r="RZL29" s="371"/>
      <c r="RZM29" s="371"/>
      <c r="RZN29" s="371"/>
      <c r="RZO29" s="371"/>
      <c r="RZP29" s="371"/>
      <c r="RZQ29" s="371"/>
      <c r="RZR29" s="371"/>
      <c r="RZS29" s="371"/>
      <c r="RZT29" s="371"/>
      <c r="RZU29" s="371"/>
      <c r="RZV29" s="371"/>
      <c r="RZW29" s="371"/>
      <c r="RZX29" s="371"/>
      <c r="RZY29" s="371"/>
      <c r="RZZ29" s="371"/>
      <c r="SAA29" s="382"/>
      <c r="SAE29" s="371"/>
      <c r="SAF29" s="371"/>
      <c r="SAG29" s="371"/>
      <c r="SAH29" s="371"/>
      <c r="SAI29" s="371"/>
      <c r="SAJ29" s="371"/>
      <c r="SAK29" s="371"/>
      <c r="SAL29" s="371"/>
      <c r="SAM29" s="371"/>
      <c r="SAN29" s="371"/>
      <c r="SAO29" s="371"/>
      <c r="SAP29" s="371"/>
      <c r="SAQ29" s="371"/>
      <c r="SAR29" s="371"/>
      <c r="SAS29" s="371"/>
      <c r="SAT29" s="371"/>
      <c r="SAU29" s="371"/>
      <c r="SAV29" s="371"/>
      <c r="SAW29" s="371"/>
      <c r="SAX29" s="371"/>
      <c r="SAY29" s="371"/>
      <c r="SAZ29" s="371"/>
      <c r="SBA29" s="371"/>
      <c r="SBB29" s="371"/>
      <c r="SBC29" s="371"/>
      <c r="SBD29" s="371"/>
      <c r="SBE29" s="382"/>
      <c r="SBI29" s="371"/>
      <c r="SBJ29" s="371"/>
      <c r="SBK29" s="371"/>
      <c r="SBL29" s="371"/>
      <c r="SBM29" s="371"/>
      <c r="SBN29" s="371"/>
      <c r="SBO29" s="371"/>
      <c r="SBP29" s="371"/>
      <c r="SBQ29" s="371"/>
      <c r="SBR29" s="371"/>
      <c r="SBS29" s="371"/>
      <c r="SBT29" s="371"/>
      <c r="SBU29" s="371"/>
      <c r="SBV29" s="371"/>
      <c r="SBW29" s="371"/>
      <c r="SBX29" s="371"/>
      <c r="SBY29" s="371"/>
      <c r="SBZ29" s="371"/>
      <c r="SCA29" s="371"/>
      <c r="SCB29" s="371"/>
      <c r="SCC29" s="371"/>
      <c r="SCD29" s="371"/>
      <c r="SCE29" s="371"/>
      <c r="SCF29" s="371"/>
      <c r="SCG29" s="371"/>
      <c r="SCH29" s="371"/>
      <c r="SCI29" s="382"/>
      <c r="SCM29" s="371"/>
      <c r="SCN29" s="371"/>
      <c r="SCO29" s="371"/>
      <c r="SCP29" s="371"/>
      <c r="SCQ29" s="371"/>
      <c r="SCR29" s="371"/>
      <c r="SCS29" s="371"/>
      <c r="SCT29" s="371"/>
      <c r="SCU29" s="371"/>
      <c r="SCV29" s="371"/>
      <c r="SCW29" s="371"/>
      <c r="SCX29" s="371"/>
      <c r="SCY29" s="371"/>
      <c r="SCZ29" s="371"/>
      <c r="SDA29" s="371"/>
      <c r="SDB29" s="371"/>
      <c r="SDC29" s="371"/>
      <c r="SDD29" s="371"/>
      <c r="SDE29" s="371"/>
      <c r="SDF29" s="371"/>
      <c r="SDG29" s="371"/>
      <c r="SDH29" s="371"/>
      <c r="SDI29" s="371"/>
      <c r="SDJ29" s="371"/>
      <c r="SDK29" s="371"/>
      <c r="SDL29" s="371"/>
      <c r="SDM29" s="382"/>
      <c r="SDQ29" s="371"/>
      <c r="SDR29" s="371"/>
      <c r="SDS29" s="371"/>
      <c r="SDT29" s="371"/>
      <c r="SDU29" s="371"/>
      <c r="SDV29" s="371"/>
      <c r="SDW29" s="371"/>
      <c r="SDX29" s="371"/>
      <c r="SDY29" s="371"/>
      <c r="SDZ29" s="371"/>
      <c r="SEA29" s="371"/>
      <c r="SEB29" s="371"/>
      <c r="SEC29" s="371"/>
      <c r="SED29" s="371"/>
      <c r="SEE29" s="371"/>
      <c r="SEF29" s="371"/>
      <c r="SEG29" s="371"/>
      <c r="SEH29" s="371"/>
      <c r="SEI29" s="371"/>
      <c r="SEJ29" s="371"/>
      <c r="SEK29" s="371"/>
      <c r="SEL29" s="371"/>
      <c r="SEM29" s="371"/>
      <c r="SEN29" s="371"/>
      <c r="SEO29" s="371"/>
      <c r="SEP29" s="371"/>
      <c r="SEQ29" s="382"/>
      <c r="SEU29" s="371"/>
      <c r="SEV29" s="371"/>
      <c r="SEW29" s="371"/>
      <c r="SEX29" s="371"/>
      <c r="SEY29" s="371"/>
      <c r="SEZ29" s="371"/>
      <c r="SFA29" s="371"/>
      <c r="SFB29" s="371"/>
      <c r="SFC29" s="371"/>
      <c r="SFD29" s="371"/>
      <c r="SFE29" s="371"/>
      <c r="SFF29" s="371"/>
      <c r="SFG29" s="371"/>
      <c r="SFH29" s="371"/>
      <c r="SFI29" s="371"/>
      <c r="SFJ29" s="371"/>
      <c r="SFK29" s="371"/>
      <c r="SFL29" s="371"/>
      <c r="SFM29" s="371"/>
      <c r="SFN29" s="371"/>
      <c r="SFO29" s="371"/>
      <c r="SFP29" s="371"/>
      <c r="SFQ29" s="371"/>
      <c r="SFR29" s="371"/>
      <c r="SFS29" s="371"/>
      <c r="SFT29" s="371"/>
      <c r="SFU29" s="382"/>
      <c r="SFY29" s="371"/>
      <c r="SFZ29" s="371"/>
      <c r="SGA29" s="371"/>
      <c r="SGB29" s="371"/>
      <c r="SGC29" s="371"/>
      <c r="SGD29" s="371"/>
      <c r="SGE29" s="371"/>
      <c r="SGF29" s="371"/>
      <c r="SGG29" s="371"/>
      <c r="SGH29" s="371"/>
      <c r="SGI29" s="371"/>
      <c r="SGJ29" s="371"/>
      <c r="SGK29" s="371"/>
      <c r="SGL29" s="371"/>
      <c r="SGM29" s="371"/>
      <c r="SGN29" s="371"/>
      <c r="SGO29" s="371"/>
      <c r="SGP29" s="371"/>
      <c r="SGQ29" s="371"/>
      <c r="SGR29" s="371"/>
      <c r="SGS29" s="371"/>
      <c r="SGT29" s="371"/>
      <c r="SGU29" s="371"/>
      <c r="SGV29" s="371"/>
      <c r="SGW29" s="371"/>
      <c r="SGX29" s="371"/>
      <c r="SGY29" s="382"/>
      <c r="SHC29" s="371"/>
      <c r="SHD29" s="371"/>
      <c r="SHE29" s="371"/>
      <c r="SHF29" s="371"/>
      <c r="SHG29" s="371"/>
      <c r="SHH29" s="371"/>
      <c r="SHI29" s="371"/>
      <c r="SHJ29" s="371"/>
      <c r="SHK29" s="371"/>
      <c r="SHL29" s="371"/>
      <c r="SHM29" s="371"/>
      <c r="SHN29" s="371"/>
      <c r="SHO29" s="371"/>
      <c r="SHP29" s="371"/>
      <c r="SHQ29" s="371"/>
      <c r="SHR29" s="371"/>
      <c r="SHS29" s="371"/>
      <c r="SHT29" s="371"/>
      <c r="SHU29" s="371"/>
      <c r="SHV29" s="371"/>
      <c r="SHW29" s="371"/>
      <c r="SHX29" s="371"/>
      <c r="SHY29" s="371"/>
      <c r="SHZ29" s="371"/>
      <c r="SIA29" s="371"/>
      <c r="SIB29" s="371"/>
      <c r="SIC29" s="382"/>
      <c r="SIG29" s="371"/>
      <c r="SIH29" s="371"/>
      <c r="SII29" s="371"/>
      <c r="SIJ29" s="371"/>
      <c r="SIK29" s="371"/>
      <c r="SIL29" s="371"/>
      <c r="SIM29" s="371"/>
      <c r="SIN29" s="371"/>
      <c r="SIO29" s="371"/>
      <c r="SIP29" s="371"/>
      <c r="SIQ29" s="371"/>
      <c r="SIR29" s="371"/>
      <c r="SIS29" s="371"/>
      <c r="SIT29" s="371"/>
      <c r="SIU29" s="371"/>
      <c r="SIV29" s="371"/>
      <c r="SIW29" s="371"/>
      <c r="SIX29" s="371"/>
      <c r="SIY29" s="371"/>
      <c r="SIZ29" s="371"/>
      <c r="SJA29" s="371"/>
      <c r="SJB29" s="371"/>
      <c r="SJC29" s="371"/>
      <c r="SJD29" s="371"/>
      <c r="SJE29" s="371"/>
      <c r="SJF29" s="371"/>
      <c r="SJG29" s="382"/>
      <c r="SJK29" s="371"/>
      <c r="SJL29" s="371"/>
      <c r="SJM29" s="371"/>
      <c r="SJN29" s="371"/>
      <c r="SJO29" s="371"/>
      <c r="SJP29" s="371"/>
      <c r="SJQ29" s="371"/>
      <c r="SJR29" s="371"/>
      <c r="SJS29" s="371"/>
      <c r="SJT29" s="371"/>
      <c r="SJU29" s="371"/>
      <c r="SJV29" s="371"/>
      <c r="SJW29" s="371"/>
      <c r="SJX29" s="371"/>
      <c r="SJY29" s="371"/>
      <c r="SJZ29" s="371"/>
      <c r="SKA29" s="371"/>
      <c r="SKB29" s="371"/>
      <c r="SKC29" s="371"/>
      <c r="SKD29" s="371"/>
      <c r="SKE29" s="371"/>
      <c r="SKF29" s="371"/>
      <c r="SKG29" s="371"/>
      <c r="SKH29" s="371"/>
      <c r="SKI29" s="371"/>
      <c r="SKJ29" s="371"/>
      <c r="SKK29" s="382"/>
      <c r="SKO29" s="371"/>
      <c r="SKP29" s="371"/>
      <c r="SKQ29" s="371"/>
      <c r="SKR29" s="371"/>
      <c r="SKS29" s="371"/>
      <c r="SKT29" s="371"/>
      <c r="SKU29" s="371"/>
      <c r="SKV29" s="371"/>
      <c r="SKW29" s="371"/>
      <c r="SKX29" s="371"/>
      <c r="SKY29" s="371"/>
      <c r="SKZ29" s="371"/>
      <c r="SLA29" s="371"/>
      <c r="SLB29" s="371"/>
      <c r="SLC29" s="371"/>
      <c r="SLD29" s="371"/>
      <c r="SLE29" s="371"/>
      <c r="SLF29" s="371"/>
      <c r="SLG29" s="371"/>
      <c r="SLH29" s="371"/>
      <c r="SLI29" s="371"/>
      <c r="SLJ29" s="371"/>
      <c r="SLK29" s="371"/>
      <c r="SLL29" s="371"/>
      <c r="SLM29" s="371"/>
      <c r="SLN29" s="371"/>
      <c r="SLO29" s="382"/>
      <c r="SLS29" s="371"/>
      <c r="SLT29" s="371"/>
      <c r="SLU29" s="371"/>
      <c r="SLV29" s="371"/>
      <c r="SLW29" s="371"/>
      <c r="SLX29" s="371"/>
      <c r="SLY29" s="371"/>
      <c r="SLZ29" s="371"/>
      <c r="SMA29" s="371"/>
      <c r="SMB29" s="371"/>
      <c r="SMC29" s="371"/>
      <c r="SMD29" s="371"/>
      <c r="SME29" s="371"/>
      <c r="SMF29" s="371"/>
      <c r="SMG29" s="371"/>
      <c r="SMH29" s="371"/>
      <c r="SMI29" s="371"/>
      <c r="SMJ29" s="371"/>
      <c r="SMK29" s="371"/>
      <c r="SML29" s="371"/>
      <c r="SMM29" s="371"/>
      <c r="SMN29" s="371"/>
      <c r="SMO29" s="371"/>
      <c r="SMP29" s="371"/>
      <c r="SMQ29" s="371"/>
      <c r="SMR29" s="371"/>
      <c r="SMS29" s="382"/>
      <c r="SMW29" s="371"/>
      <c r="SMX29" s="371"/>
      <c r="SMY29" s="371"/>
      <c r="SMZ29" s="371"/>
      <c r="SNA29" s="371"/>
      <c r="SNB29" s="371"/>
      <c r="SNC29" s="371"/>
      <c r="SND29" s="371"/>
      <c r="SNE29" s="371"/>
      <c r="SNF29" s="371"/>
      <c r="SNG29" s="371"/>
      <c r="SNH29" s="371"/>
      <c r="SNI29" s="371"/>
      <c r="SNJ29" s="371"/>
      <c r="SNK29" s="371"/>
      <c r="SNL29" s="371"/>
      <c r="SNM29" s="371"/>
      <c r="SNN29" s="371"/>
      <c r="SNO29" s="371"/>
      <c r="SNP29" s="371"/>
      <c r="SNQ29" s="371"/>
      <c r="SNR29" s="371"/>
      <c r="SNS29" s="371"/>
      <c r="SNT29" s="371"/>
      <c r="SNU29" s="371"/>
      <c r="SNV29" s="371"/>
      <c r="SNW29" s="382"/>
      <c r="SOA29" s="371"/>
      <c r="SOB29" s="371"/>
      <c r="SOC29" s="371"/>
      <c r="SOD29" s="371"/>
      <c r="SOE29" s="371"/>
      <c r="SOF29" s="371"/>
      <c r="SOG29" s="371"/>
      <c r="SOH29" s="371"/>
      <c r="SOI29" s="371"/>
      <c r="SOJ29" s="371"/>
      <c r="SOK29" s="371"/>
      <c r="SOL29" s="371"/>
      <c r="SOM29" s="371"/>
      <c r="SON29" s="371"/>
      <c r="SOO29" s="371"/>
      <c r="SOP29" s="371"/>
      <c r="SOQ29" s="371"/>
      <c r="SOR29" s="371"/>
      <c r="SOS29" s="371"/>
      <c r="SOT29" s="371"/>
      <c r="SOU29" s="371"/>
      <c r="SOV29" s="371"/>
      <c r="SOW29" s="371"/>
      <c r="SOX29" s="371"/>
      <c r="SOY29" s="371"/>
      <c r="SOZ29" s="371"/>
      <c r="SPA29" s="382"/>
      <c r="SPE29" s="371"/>
      <c r="SPF29" s="371"/>
      <c r="SPG29" s="371"/>
      <c r="SPH29" s="371"/>
      <c r="SPI29" s="371"/>
      <c r="SPJ29" s="371"/>
      <c r="SPK29" s="371"/>
      <c r="SPL29" s="371"/>
      <c r="SPM29" s="371"/>
      <c r="SPN29" s="371"/>
      <c r="SPO29" s="371"/>
      <c r="SPP29" s="371"/>
      <c r="SPQ29" s="371"/>
      <c r="SPR29" s="371"/>
      <c r="SPS29" s="371"/>
      <c r="SPT29" s="371"/>
      <c r="SPU29" s="371"/>
      <c r="SPV29" s="371"/>
      <c r="SPW29" s="371"/>
      <c r="SPX29" s="371"/>
      <c r="SPY29" s="371"/>
      <c r="SPZ29" s="371"/>
      <c r="SQA29" s="371"/>
      <c r="SQB29" s="371"/>
      <c r="SQC29" s="371"/>
      <c r="SQD29" s="371"/>
      <c r="SQE29" s="382"/>
      <c r="SQI29" s="371"/>
      <c r="SQJ29" s="371"/>
      <c r="SQK29" s="371"/>
      <c r="SQL29" s="371"/>
      <c r="SQM29" s="371"/>
      <c r="SQN29" s="371"/>
      <c r="SQO29" s="371"/>
      <c r="SQP29" s="371"/>
      <c r="SQQ29" s="371"/>
      <c r="SQR29" s="371"/>
      <c r="SQS29" s="371"/>
      <c r="SQT29" s="371"/>
      <c r="SQU29" s="371"/>
      <c r="SQV29" s="371"/>
      <c r="SQW29" s="371"/>
      <c r="SQX29" s="371"/>
      <c r="SQY29" s="371"/>
      <c r="SQZ29" s="371"/>
      <c r="SRA29" s="371"/>
      <c r="SRB29" s="371"/>
      <c r="SRC29" s="371"/>
      <c r="SRD29" s="371"/>
      <c r="SRE29" s="371"/>
      <c r="SRF29" s="371"/>
      <c r="SRG29" s="371"/>
      <c r="SRH29" s="371"/>
      <c r="SRI29" s="382"/>
      <c r="SRM29" s="371"/>
      <c r="SRN29" s="371"/>
      <c r="SRO29" s="371"/>
      <c r="SRP29" s="371"/>
      <c r="SRQ29" s="371"/>
      <c r="SRR29" s="371"/>
      <c r="SRS29" s="371"/>
      <c r="SRT29" s="371"/>
      <c r="SRU29" s="371"/>
      <c r="SRV29" s="371"/>
      <c r="SRW29" s="371"/>
      <c r="SRX29" s="371"/>
      <c r="SRY29" s="371"/>
      <c r="SRZ29" s="371"/>
      <c r="SSA29" s="371"/>
      <c r="SSB29" s="371"/>
      <c r="SSC29" s="371"/>
      <c r="SSD29" s="371"/>
      <c r="SSE29" s="371"/>
      <c r="SSF29" s="371"/>
      <c r="SSG29" s="371"/>
      <c r="SSH29" s="371"/>
      <c r="SSI29" s="371"/>
      <c r="SSJ29" s="371"/>
      <c r="SSK29" s="371"/>
      <c r="SSL29" s="371"/>
      <c r="SSM29" s="382"/>
      <c r="SSQ29" s="371"/>
      <c r="SSR29" s="371"/>
      <c r="SSS29" s="371"/>
      <c r="SST29" s="371"/>
      <c r="SSU29" s="371"/>
      <c r="SSV29" s="371"/>
      <c r="SSW29" s="371"/>
      <c r="SSX29" s="371"/>
      <c r="SSY29" s="371"/>
      <c r="SSZ29" s="371"/>
      <c r="STA29" s="371"/>
      <c r="STB29" s="371"/>
      <c r="STC29" s="371"/>
      <c r="STD29" s="371"/>
      <c r="STE29" s="371"/>
      <c r="STF29" s="371"/>
      <c r="STG29" s="371"/>
      <c r="STH29" s="371"/>
      <c r="STI29" s="371"/>
      <c r="STJ29" s="371"/>
      <c r="STK29" s="371"/>
      <c r="STL29" s="371"/>
      <c r="STM29" s="371"/>
      <c r="STN29" s="371"/>
      <c r="STO29" s="371"/>
      <c r="STP29" s="371"/>
      <c r="STQ29" s="382"/>
      <c r="STU29" s="371"/>
      <c r="STV29" s="371"/>
      <c r="STW29" s="371"/>
      <c r="STX29" s="371"/>
      <c r="STY29" s="371"/>
      <c r="STZ29" s="371"/>
      <c r="SUA29" s="371"/>
      <c r="SUB29" s="371"/>
      <c r="SUC29" s="371"/>
      <c r="SUD29" s="371"/>
      <c r="SUE29" s="371"/>
      <c r="SUF29" s="371"/>
      <c r="SUG29" s="371"/>
      <c r="SUH29" s="371"/>
      <c r="SUI29" s="371"/>
      <c r="SUJ29" s="371"/>
      <c r="SUK29" s="371"/>
      <c r="SUL29" s="371"/>
      <c r="SUM29" s="371"/>
      <c r="SUN29" s="371"/>
      <c r="SUO29" s="371"/>
      <c r="SUP29" s="371"/>
      <c r="SUQ29" s="371"/>
      <c r="SUR29" s="371"/>
      <c r="SUS29" s="371"/>
      <c r="SUT29" s="371"/>
      <c r="SUU29" s="382"/>
      <c r="SUY29" s="371"/>
      <c r="SUZ29" s="371"/>
      <c r="SVA29" s="371"/>
      <c r="SVB29" s="371"/>
      <c r="SVC29" s="371"/>
      <c r="SVD29" s="371"/>
      <c r="SVE29" s="371"/>
      <c r="SVF29" s="371"/>
      <c r="SVG29" s="371"/>
      <c r="SVH29" s="371"/>
      <c r="SVI29" s="371"/>
      <c r="SVJ29" s="371"/>
      <c r="SVK29" s="371"/>
      <c r="SVL29" s="371"/>
      <c r="SVM29" s="371"/>
      <c r="SVN29" s="371"/>
      <c r="SVO29" s="371"/>
      <c r="SVP29" s="371"/>
      <c r="SVQ29" s="371"/>
      <c r="SVR29" s="371"/>
      <c r="SVS29" s="371"/>
      <c r="SVT29" s="371"/>
      <c r="SVU29" s="371"/>
      <c r="SVV29" s="371"/>
      <c r="SVW29" s="371"/>
      <c r="SVX29" s="371"/>
      <c r="SVY29" s="382"/>
      <c r="SWC29" s="371"/>
      <c r="SWD29" s="371"/>
      <c r="SWE29" s="371"/>
      <c r="SWF29" s="371"/>
      <c r="SWG29" s="371"/>
      <c r="SWH29" s="371"/>
      <c r="SWI29" s="371"/>
      <c r="SWJ29" s="371"/>
      <c r="SWK29" s="371"/>
      <c r="SWL29" s="371"/>
      <c r="SWM29" s="371"/>
      <c r="SWN29" s="371"/>
      <c r="SWO29" s="371"/>
      <c r="SWP29" s="371"/>
      <c r="SWQ29" s="371"/>
      <c r="SWR29" s="371"/>
      <c r="SWS29" s="371"/>
      <c r="SWT29" s="371"/>
      <c r="SWU29" s="371"/>
      <c r="SWV29" s="371"/>
      <c r="SWW29" s="371"/>
      <c r="SWX29" s="371"/>
      <c r="SWY29" s="371"/>
      <c r="SWZ29" s="371"/>
      <c r="SXA29" s="371"/>
      <c r="SXB29" s="371"/>
      <c r="SXC29" s="382"/>
      <c r="SXG29" s="371"/>
      <c r="SXH29" s="371"/>
      <c r="SXI29" s="371"/>
      <c r="SXJ29" s="371"/>
      <c r="SXK29" s="371"/>
      <c r="SXL29" s="371"/>
      <c r="SXM29" s="371"/>
      <c r="SXN29" s="371"/>
      <c r="SXO29" s="371"/>
      <c r="SXP29" s="371"/>
      <c r="SXQ29" s="371"/>
      <c r="SXR29" s="371"/>
      <c r="SXS29" s="371"/>
      <c r="SXT29" s="371"/>
      <c r="SXU29" s="371"/>
      <c r="SXV29" s="371"/>
      <c r="SXW29" s="371"/>
      <c r="SXX29" s="371"/>
      <c r="SXY29" s="371"/>
      <c r="SXZ29" s="371"/>
      <c r="SYA29" s="371"/>
      <c r="SYB29" s="371"/>
      <c r="SYC29" s="371"/>
      <c r="SYD29" s="371"/>
      <c r="SYE29" s="371"/>
      <c r="SYF29" s="371"/>
      <c r="SYG29" s="382"/>
      <c r="SYK29" s="371"/>
      <c r="SYL29" s="371"/>
      <c r="SYM29" s="371"/>
      <c r="SYN29" s="371"/>
      <c r="SYO29" s="371"/>
      <c r="SYP29" s="371"/>
      <c r="SYQ29" s="371"/>
      <c r="SYR29" s="371"/>
      <c r="SYS29" s="371"/>
      <c r="SYT29" s="371"/>
      <c r="SYU29" s="371"/>
      <c r="SYV29" s="371"/>
      <c r="SYW29" s="371"/>
      <c r="SYX29" s="371"/>
      <c r="SYY29" s="371"/>
      <c r="SYZ29" s="371"/>
      <c r="SZA29" s="371"/>
      <c r="SZB29" s="371"/>
      <c r="SZC29" s="371"/>
      <c r="SZD29" s="371"/>
      <c r="SZE29" s="371"/>
      <c r="SZF29" s="371"/>
      <c r="SZG29" s="371"/>
      <c r="SZH29" s="371"/>
      <c r="SZI29" s="371"/>
      <c r="SZJ29" s="371"/>
      <c r="SZK29" s="382"/>
      <c r="SZO29" s="371"/>
      <c r="SZP29" s="371"/>
      <c r="SZQ29" s="371"/>
      <c r="SZR29" s="371"/>
      <c r="SZS29" s="371"/>
      <c r="SZT29" s="371"/>
      <c r="SZU29" s="371"/>
      <c r="SZV29" s="371"/>
      <c r="SZW29" s="371"/>
      <c r="SZX29" s="371"/>
      <c r="SZY29" s="371"/>
      <c r="SZZ29" s="371"/>
      <c r="TAA29" s="371"/>
      <c r="TAB29" s="371"/>
      <c r="TAC29" s="371"/>
      <c r="TAD29" s="371"/>
      <c r="TAE29" s="371"/>
      <c r="TAF29" s="371"/>
      <c r="TAG29" s="371"/>
      <c r="TAH29" s="371"/>
      <c r="TAI29" s="371"/>
      <c r="TAJ29" s="371"/>
      <c r="TAK29" s="371"/>
      <c r="TAL29" s="371"/>
      <c r="TAM29" s="371"/>
      <c r="TAN29" s="371"/>
      <c r="TAO29" s="382"/>
      <c r="TAS29" s="371"/>
      <c r="TAT29" s="371"/>
      <c r="TAU29" s="371"/>
      <c r="TAV29" s="371"/>
      <c r="TAW29" s="371"/>
      <c r="TAX29" s="371"/>
      <c r="TAY29" s="371"/>
      <c r="TAZ29" s="371"/>
      <c r="TBA29" s="371"/>
      <c r="TBB29" s="371"/>
      <c r="TBC29" s="371"/>
      <c r="TBD29" s="371"/>
      <c r="TBE29" s="371"/>
      <c r="TBF29" s="371"/>
      <c r="TBG29" s="371"/>
      <c r="TBH29" s="371"/>
      <c r="TBI29" s="371"/>
      <c r="TBJ29" s="371"/>
      <c r="TBK29" s="371"/>
      <c r="TBL29" s="371"/>
      <c r="TBM29" s="371"/>
      <c r="TBN29" s="371"/>
      <c r="TBO29" s="371"/>
      <c r="TBP29" s="371"/>
      <c r="TBQ29" s="371"/>
      <c r="TBR29" s="371"/>
      <c r="TBS29" s="382"/>
      <c r="TBW29" s="371"/>
      <c r="TBX29" s="371"/>
      <c r="TBY29" s="371"/>
      <c r="TBZ29" s="371"/>
      <c r="TCA29" s="371"/>
      <c r="TCB29" s="371"/>
      <c r="TCC29" s="371"/>
      <c r="TCD29" s="371"/>
      <c r="TCE29" s="371"/>
      <c r="TCF29" s="371"/>
      <c r="TCG29" s="371"/>
      <c r="TCH29" s="371"/>
      <c r="TCI29" s="371"/>
      <c r="TCJ29" s="371"/>
      <c r="TCK29" s="371"/>
      <c r="TCL29" s="371"/>
      <c r="TCM29" s="371"/>
      <c r="TCN29" s="371"/>
      <c r="TCO29" s="371"/>
      <c r="TCP29" s="371"/>
      <c r="TCQ29" s="371"/>
      <c r="TCR29" s="371"/>
      <c r="TCS29" s="371"/>
      <c r="TCT29" s="371"/>
      <c r="TCU29" s="371"/>
      <c r="TCV29" s="371"/>
      <c r="TCW29" s="382"/>
      <c r="TDA29" s="371"/>
      <c r="TDB29" s="371"/>
      <c r="TDC29" s="371"/>
      <c r="TDD29" s="371"/>
      <c r="TDE29" s="371"/>
      <c r="TDF29" s="371"/>
      <c r="TDG29" s="371"/>
      <c r="TDH29" s="371"/>
      <c r="TDI29" s="371"/>
      <c r="TDJ29" s="371"/>
      <c r="TDK29" s="371"/>
      <c r="TDL29" s="371"/>
      <c r="TDM29" s="371"/>
      <c r="TDN29" s="371"/>
      <c r="TDO29" s="371"/>
      <c r="TDP29" s="371"/>
      <c r="TDQ29" s="371"/>
      <c r="TDR29" s="371"/>
      <c r="TDS29" s="371"/>
      <c r="TDT29" s="371"/>
      <c r="TDU29" s="371"/>
      <c r="TDV29" s="371"/>
      <c r="TDW29" s="371"/>
      <c r="TDX29" s="371"/>
      <c r="TDY29" s="371"/>
      <c r="TDZ29" s="371"/>
      <c r="TEA29" s="382"/>
      <c r="TEE29" s="371"/>
      <c r="TEF29" s="371"/>
      <c r="TEG29" s="371"/>
      <c r="TEH29" s="371"/>
      <c r="TEI29" s="371"/>
      <c r="TEJ29" s="371"/>
      <c r="TEK29" s="371"/>
      <c r="TEL29" s="371"/>
      <c r="TEM29" s="371"/>
      <c r="TEN29" s="371"/>
      <c r="TEO29" s="371"/>
      <c r="TEP29" s="371"/>
      <c r="TEQ29" s="371"/>
      <c r="TER29" s="371"/>
      <c r="TES29" s="371"/>
      <c r="TET29" s="371"/>
      <c r="TEU29" s="371"/>
      <c r="TEV29" s="371"/>
      <c r="TEW29" s="371"/>
      <c r="TEX29" s="371"/>
      <c r="TEY29" s="371"/>
      <c r="TEZ29" s="371"/>
      <c r="TFA29" s="371"/>
      <c r="TFB29" s="371"/>
      <c r="TFC29" s="371"/>
      <c r="TFD29" s="371"/>
      <c r="TFE29" s="382"/>
      <c r="TFI29" s="371"/>
      <c r="TFJ29" s="371"/>
      <c r="TFK29" s="371"/>
      <c r="TFL29" s="371"/>
      <c r="TFM29" s="371"/>
      <c r="TFN29" s="371"/>
      <c r="TFO29" s="371"/>
      <c r="TFP29" s="371"/>
      <c r="TFQ29" s="371"/>
      <c r="TFR29" s="371"/>
      <c r="TFS29" s="371"/>
      <c r="TFT29" s="371"/>
      <c r="TFU29" s="371"/>
      <c r="TFV29" s="371"/>
      <c r="TFW29" s="371"/>
      <c r="TFX29" s="371"/>
      <c r="TFY29" s="371"/>
      <c r="TFZ29" s="371"/>
      <c r="TGA29" s="371"/>
      <c r="TGB29" s="371"/>
      <c r="TGC29" s="371"/>
      <c r="TGD29" s="371"/>
      <c r="TGE29" s="371"/>
      <c r="TGF29" s="371"/>
      <c r="TGG29" s="371"/>
      <c r="TGH29" s="371"/>
      <c r="TGI29" s="382"/>
      <c r="TGM29" s="371"/>
      <c r="TGN29" s="371"/>
      <c r="TGO29" s="371"/>
      <c r="TGP29" s="371"/>
      <c r="TGQ29" s="371"/>
      <c r="TGR29" s="371"/>
      <c r="TGS29" s="371"/>
      <c r="TGT29" s="371"/>
      <c r="TGU29" s="371"/>
      <c r="TGV29" s="371"/>
      <c r="TGW29" s="371"/>
      <c r="TGX29" s="371"/>
      <c r="TGY29" s="371"/>
      <c r="TGZ29" s="371"/>
      <c r="THA29" s="371"/>
      <c r="THB29" s="371"/>
      <c r="THC29" s="371"/>
      <c r="THD29" s="371"/>
      <c r="THE29" s="371"/>
      <c r="THF29" s="371"/>
      <c r="THG29" s="371"/>
      <c r="THH29" s="371"/>
      <c r="THI29" s="371"/>
      <c r="THJ29" s="371"/>
      <c r="THK29" s="371"/>
      <c r="THL29" s="371"/>
      <c r="THM29" s="382"/>
      <c r="THQ29" s="371"/>
      <c r="THR29" s="371"/>
      <c r="THS29" s="371"/>
      <c r="THT29" s="371"/>
      <c r="THU29" s="371"/>
      <c r="THV29" s="371"/>
      <c r="THW29" s="371"/>
      <c r="THX29" s="371"/>
      <c r="THY29" s="371"/>
      <c r="THZ29" s="371"/>
      <c r="TIA29" s="371"/>
      <c r="TIB29" s="371"/>
      <c r="TIC29" s="371"/>
      <c r="TID29" s="371"/>
      <c r="TIE29" s="371"/>
      <c r="TIF29" s="371"/>
      <c r="TIG29" s="371"/>
      <c r="TIH29" s="371"/>
      <c r="TII29" s="371"/>
      <c r="TIJ29" s="371"/>
      <c r="TIK29" s="371"/>
      <c r="TIL29" s="371"/>
      <c r="TIM29" s="371"/>
      <c r="TIN29" s="371"/>
      <c r="TIO29" s="371"/>
      <c r="TIP29" s="371"/>
      <c r="TIQ29" s="382"/>
      <c r="TIU29" s="371"/>
      <c r="TIV29" s="371"/>
      <c r="TIW29" s="371"/>
      <c r="TIX29" s="371"/>
      <c r="TIY29" s="371"/>
      <c r="TIZ29" s="371"/>
      <c r="TJA29" s="371"/>
      <c r="TJB29" s="371"/>
      <c r="TJC29" s="371"/>
      <c r="TJD29" s="371"/>
      <c r="TJE29" s="371"/>
      <c r="TJF29" s="371"/>
      <c r="TJG29" s="371"/>
      <c r="TJH29" s="371"/>
      <c r="TJI29" s="371"/>
      <c r="TJJ29" s="371"/>
      <c r="TJK29" s="371"/>
      <c r="TJL29" s="371"/>
      <c r="TJM29" s="371"/>
      <c r="TJN29" s="371"/>
      <c r="TJO29" s="371"/>
      <c r="TJP29" s="371"/>
      <c r="TJQ29" s="371"/>
      <c r="TJR29" s="371"/>
      <c r="TJS29" s="371"/>
      <c r="TJT29" s="371"/>
      <c r="TJU29" s="382"/>
      <c r="TJY29" s="371"/>
      <c r="TJZ29" s="371"/>
      <c r="TKA29" s="371"/>
      <c r="TKB29" s="371"/>
      <c r="TKC29" s="371"/>
      <c r="TKD29" s="371"/>
      <c r="TKE29" s="371"/>
      <c r="TKF29" s="371"/>
      <c r="TKG29" s="371"/>
      <c r="TKH29" s="371"/>
      <c r="TKI29" s="371"/>
      <c r="TKJ29" s="371"/>
      <c r="TKK29" s="371"/>
      <c r="TKL29" s="371"/>
      <c r="TKM29" s="371"/>
      <c r="TKN29" s="371"/>
      <c r="TKO29" s="371"/>
      <c r="TKP29" s="371"/>
      <c r="TKQ29" s="371"/>
      <c r="TKR29" s="371"/>
      <c r="TKS29" s="371"/>
      <c r="TKT29" s="371"/>
      <c r="TKU29" s="371"/>
      <c r="TKV29" s="371"/>
      <c r="TKW29" s="371"/>
      <c r="TKX29" s="371"/>
      <c r="TKY29" s="382"/>
      <c r="TLC29" s="371"/>
      <c r="TLD29" s="371"/>
      <c r="TLE29" s="371"/>
      <c r="TLF29" s="371"/>
      <c r="TLG29" s="371"/>
      <c r="TLH29" s="371"/>
      <c r="TLI29" s="371"/>
      <c r="TLJ29" s="371"/>
      <c r="TLK29" s="371"/>
      <c r="TLL29" s="371"/>
      <c r="TLM29" s="371"/>
      <c r="TLN29" s="371"/>
      <c r="TLO29" s="371"/>
      <c r="TLP29" s="371"/>
      <c r="TLQ29" s="371"/>
      <c r="TLR29" s="371"/>
      <c r="TLS29" s="371"/>
      <c r="TLT29" s="371"/>
      <c r="TLU29" s="371"/>
      <c r="TLV29" s="371"/>
      <c r="TLW29" s="371"/>
      <c r="TLX29" s="371"/>
      <c r="TLY29" s="371"/>
      <c r="TLZ29" s="371"/>
      <c r="TMA29" s="371"/>
      <c r="TMB29" s="371"/>
      <c r="TMC29" s="382"/>
      <c r="TMG29" s="371"/>
      <c r="TMH29" s="371"/>
      <c r="TMI29" s="371"/>
      <c r="TMJ29" s="371"/>
      <c r="TMK29" s="371"/>
      <c r="TML29" s="371"/>
      <c r="TMM29" s="371"/>
      <c r="TMN29" s="371"/>
      <c r="TMO29" s="371"/>
      <c r="TMP29" s="371"/>
      <c r="TMQ29" s="371"/>
      <c r="TMR29" s="371"/>
      <c r="TMS29" s="371"/>
      <c r="TMT29" s="371"/>
      <c r="TMU29" s="371"/>
      <c r="TMV29" s="371"/>
      <c r="TMW29" s="371"/>
      <c r="TMX29" s="371"/>
      <c r="TMY29" s="371"/>
      <c r="TMZ29" s="371"/>
      <c r="TNA29" s="371"/>
      <c r="TNB29" s="371"/>
      <c r="TNC29" s="371"/>
      <c r="TND29" s="371"/>
      <c r="TNE29" s="371"/>
      <c r="TNF29" s="371"/>
      <c r="TNG29" s="382"/>
      <c r="TNK29" s="371"/>
      <c r="TNL29" s="371"/>
      <c r="TNM29" s="371"/>
      <c r="TNN29" s="371"/>
      <c r="TNO29" s="371"/>
      <c r="TNP29" s="371"/>
      <c r="TNQ29" s="371"/>
      <c r="TNR29" s="371"/>
      <c r="TNS29" s="371"/>
      <c r="TNT29" s="371"/>
      <c r="TNU29" s="371"/>
      <c r="TNV29" s="371"/>
      <c r="TNW29" s="371"/>
      <c r="TNX29" s="371"/>
      <c r="TNY29" s="371"/>
      <c r="TNZ29" s="371"/>
      <c r="TOA29" s="371"/>
      <c r="TOB29" s="371"/>
      <c r="TOC29" s="371"/>
      <c r="TOD29" s="371"/>
      <c r="TOE29" s="371"/>
      <c r="TOF29" s="371"/>
      <c r="TOG29" s="371"/>
      <c r="TOH29" s="371"/>
      <c r="TOI29" s="371"/>
      <c r="TOJ29" s="371"/>
      <c r="TOK29" s="382"/>
      <c r="TOO29" s="371"/>
      <c r="TOP29" s="371"/>
      <c r="TOQ29" s="371"/>
      <c r="TOR29" s="371"/>
      <c r="TOS29" s="371"/>
      <c r="TOT29" s="371"/>
      <c r="TOU29" s="371"/>
      <c r="TOV29" s="371"/>
      <c r="TOW29" s="371"/>
      <c r="TOX29" s="371"/>
      <c r="TOY29" s="371"/>
      <c r="TOZ29" s="371"/>
      <c r="TPA29" s="371"/>
      <c r="TPB29" s="371"/>
      <c r="TPC29" s="371"/>
      <c r="TPD29" s="371"/>
      <c r="TPE29" s="371"/>
      <c r="TPF29" s="371"/>
      <c r="TPG29" s="371"/>
      <c r="TPH29" s="371"/>
      <c r="TPI29" s="371"/>
      <c r="TPJ29" s="371"/>
      <c r="TPK29" s="371"/>
      <c r="TPL29" s="371"/>
      <c r="TPM29" s="371"/>
      <c r="TPN29" s="371"/>
      <c r="TPO29" s="382"/>
      <c r="TPS29" s="371"/>
      <c r="TPT29" s="371"/>
      <c r="TPU29" s="371"/>
      <c r="TPV29" s="371"/>
      <c r="TPW29" s="371"/>
      <c r="TPX29" s="371"/>
      <c r="TPY29" s="371"/>
      <c r="TPZ29" s="371"/>
      <c r="TQA29" s="371"/>
      <c r="TQB29" s="371"/>
      <c r="TQC29" s="371"/>
      <c r="TQD29" s="371"/>
      <c r="TQE29" s="371"/>
      <c r="TQF29" s="371"/>
      <c r="TQG29" s="371"/>
      <c r="TQH29" s="371"/>
      <c r="TQI29" s="371"/>
      <c r="TQJ29" s="371"/>
      <c r="TQK29" s="371"/>
      <c r="TQL29" s="371"/>
      <c r="TQM29" s="371"/>
      <c r="TQN29" s="371"/>
      <c r="TQO29" s="371"/>
      <c r="TQP29" s="371"/>
      <c r="TQQ29" s="371"/>
      <c r="TQR29" s="371"/>
      <c r="TQS29" s="382"/>
      <c r="TQW29" s="371"/>
      <c r="TQX29" s="371"/>
      <c r="TQY29" s="371"/>
      <c r="TQZ29" s="371"/>
      <c r="TRA29" s="371"/>
      <c r="TRB29" s="371"/>
      <c r="TRC29" s="371"/>
      <c r="TRD29" s="371"/>
      <c r="TRE29" s="371"/>
      <c r="TRF29" s="371"/>
      <c r="TRG29" s="371"/>
      <c r="TRH29" s="371"/>
      <c r="TRI29" s="371"/>
      <c r="TRJ29" s="371"/>
      <c r="TRK29" s="371"/>
      <c r="TRL29" s="371"/>
      <c r="TRM29" s="371"/>
      <c r="TRN29" s="371"/>
      <c r="TRO29" s="371"/>
      <c r="TRP29" s="371"/>
      <c r="TRQ29" s="371"/>
      <c r="TRR29" s="371"/>
      <c r="TRS29" s="371"/>
      <c r="TRT29" s="371"/>
      <c r="TRU29" s="371"/>
      <c r="TRV29" s="371"/>
      <c r="TRW29" s="382"/>
      <c r="TSA29" s="371"/>
      <c r="TSB29" s="371"/>
      <c r="TSC29" s="371"/>
      <c r="TSD29" s="371"/>
      <c r="TSE29" s="371"/>
      <c r="TSF29" s="371"/>
      <c r="TSG29" s="371"/>
      <c r="TSH29" s="371"/>
      <c r="TSI29" s="371"/>
      <c r="TSJ29" s="371"/>
      <c r="TSK29" s="371"/>
      <c r="TSL29" s="371"/>
      <c r="TSM29" s="371"/>
      <c r="TSN29" s="371"/>
      <c r="TSO29" s="371"/>
      <c r="TSP29" s="371"/>
      <c r="TSQ29" s="371"/>
      <c r="TSR29" s="371"/>
      <c r="TSS29" s="371"/>
      <c r="TST29" s="371"/>
      <c r="TSU29" s="371"/>
      <c r="TSV29" s="371"/>
      <c r="TSW29" s="371"/>
      <c r="TSX29" s="371"/>
      <c r="TSY29" s="371"/>
      <c r="TSZ29" s="371"/>
      <c r="TTA29" s="382"/>
      <c r="TTE29" s="371"/>
      <c r="TTF29" s="371"/>
      <c r="TTG29" s="371"/>
      <c r="TTH29" s="371"/>
      <c r="TTI29" s="371"/>
      <c r="TTJ29" s="371"/>
      <c r="TTK29" s="371"/>
      <c r="TTL29" s="371"/>
      <c r="TTM29" s="371"/>
      <c r="TTN29" s="371"/>
      <c r="TTO29" s="371"/>
      <c r="TTP29" s="371"/>
      <c r="TTQ29" s="371"/>
      <c r="TTR29" s="371"/>
      <c r="TTS29" s="371"/>
      <c r="TTT29" s="371"/>
      <c r="TTU29" s="371"/>
      <c r="TTV29" s="371"/>
      <c r="TTW29" s="371"/>
      <c r="TTX29" s="371"/>
      <c r="TTY29" s="371"/>
      <c r="TTZ29" s="371"/>
      <c r="TUA29" s="371"/>
      <c r="TUB29" s="371"/>
      <c r="TUC29" s="371"/>
      <c r="TUD29" s="371"/>
      <c r="TUE29" s="382"/>
      <c r="TUI29" s="371"/>
      <c r="TUJ29" s="371"/>
      <c r="TUK29" s="371"/>
      <c r="TUL29" s="371"/>
      <c r="TUM29" s="371"/>
      <c r="TUN29" s="371"/>
      <c r="TUO29" s="371"/>
      <c r="TUP29" s="371"/>
      <c r="TUQ29" s="371"/>
      <c r="TUR29" s="371"/>
      <c r="TUS29" s="371"/>
      <c r="TUT29" s="371"/>
      <c r="TUU29" s="371"/>
      <c r="TUV29" s="371"/>
      <c r="TUW29" s="371"/>
      <c r="TUX29" s="371"/>
      <c r="TUY29" s="371"/>
      <c r="TUZ29" s="371"/>
      <c r="TVA29" s="371"/>
      <c r="TVB29" s="371"/>
      <c r="TVC29" s="371"/>
      <c r="TVD29" s="371"/>
      <c r="TVE29" s="371"/>
      <c r="TVF29" s="371"/>
      <c r="TVG29" s="371"/>
      <c r="TVH29" s="371"/>
      <c r="TVI29" s="382"/>
      <c r="TVM29" s="371"/>
      <c r="TVN29" s="371"/>
      <c r="TVO29" s="371"/>
      <c r="TVP29" s="371"/>
      <c r="TVQ29" s="371"/>
      <c r="TVR29" s="371"/>
      <c r="TVS29" s="371"/>
      <c r="TVT29" s="371"/>
      <c r="TVU29" s="371"/>
      <c r="TVV29" s="371"/>
      <c r="TVW29" s="371"/>
      <c r="TVX29" s="371"/>
      <c r="TVY29" s="371"/>
      <c r="TVZ29" s="371"/>
      <c r="TWA29" s="371"/>
      <c r="TWB29" s="371"/>
      <c r="TWC29" s="371"/>
      <c r="TWD29" s="371"/>
      <c r="TWE29" s="371"/>
      <c r="TWF29" s="371"/>
      <c r="TWG29" s="371"/>
      <c r="TWH29" s="371"/>
      <c r="TWI29" s="371"/>
      <c r="TWJ29" s="371"/>
      <c r="TWK29" s="371"/>
      <c r="TWL29" s="371"/>
      <c r="TWM29" s="382"/>
      <c r="TWQ29" s="371"/>
      <c r="TWR29" s="371"/>
      <c r="TWS29" s="371"/>
      <c r="TWT29" s="371"/>
      <c r="TWU29" s="371"/>
      <c r="TWV29" s="371"/>
      <c r="TWW29" s="371"/>
      <c r="TWX29" s="371"/>
      <c r="TWY29" s="371"/>
      <c r="TWZ29" s="371"/>
      <c r="TXA29" s="371"/>
      <c r="TXB29" s="371"/>
      <c r="TXC29" s="371"/>
      <c r="TXD29" s="371"/>
      <c r="TXE29" s="371"/>
      <c r="TXF29" s="371"/>
      <c r="TXG29" s="371"/>
      <c r="TXH29" s="371"/>
      <c r="TXI29" s="371"/>
      <c r="TXJ29" s="371"/>
      <c r="TXK29" s="371"/>
      <c r="TXL29" s="371"/>
      <c r="TXM29" s="371"/>
      <c r="TXN29" s="371"/>
      <c r="TXO29" s="371"/>
      <c r="TXP29" s="371"/>
      <c r="TXQ29" s="382"/>
      <c r="TXU29" s="371"/>
      <c r="TXV29" s="371"/>
      <c r="TXW29" s="371"/>
      <c r="TXX29" s="371"/>
      <c r="TXY29" s="371"/>
      <c r="TXZ29" s="371"/>
      <c r="TYA29" s="371"/>
      <c r="TYB29" s="371"/>
      <c r="TYC29" s="371"/>
      <c r="TYD29" s="371"/>
      <c r="TYE29" s="371"/>
      <c r="TYF29" s="371"/>
      <c r="TYG29" s="371"/>
      <c r="TYH29" s="371"/>
      <c r="TYI29" s="371"/>
      <c r="TYJ29" s="371"/>
      <c r="TYK29" s="371"/>
      <c r="TYL29" s="371"/>
      <c r="TYM29" s="371"/>
      <c r="TYN29" s="371"/>
      <c r="TYO29" s="371"/>
      <c r="TYP29" s="371"/>
      <c r="TYQ29" s="371"/>
      <c r="TYR29" s="371"/>
      <c r="TYS29" s="371"/>
      <c r="TYT29" s="371"/>
      <c r="TYU29" s="382"/>
      <c r="TYY29" s="371"/>
      <c r="TYZ29" s="371"/>
      <c r="TZA29" s="371"/>
      <c r="TZB29" s="371"/>
      <c r="TZC29" s="371"/>
      <c r="TZD29" s="371"/>
      <c r="TZE29" s="371"/>
      <c r="TZF29" s="371"/>
      <c r="TZG29" s="371"/>
      <c r="TZH29" s="371"/>
      <c r="TZI29" s="371"/>
      <c r="TZJ29" s="371"/>
      <c r="TZK29" s="371"/>
      <c r="TZL29" s="371"/>
      <c r="TZM29" s="371"/>
      <c r="TZN29" s="371"/>
      <c r="TZO29" s="371"/>
      <c r="TZP29" s="371"/>
      <c r="TZQ29" s="371"/>
      <c r="TZR29" s="371"/>
      <c r="TZS29" s="371"/>
      <c r="TZT29" s="371"/>
      <c r="TZU29" s="371"/>
      <c r="TZV29" s="371"/>
      <c r="TZW29" s="371"/>
      <c r="TZX29" s="371"/>
      <c r="TZY29" s="382"/>
      <c r="UAC29" s="371"/>
      <c r="UAD29" s="371"/>
      <c r="UAE29" s="371"/>
      <c r="UAF29" s="371"/>
      <c r="UAG29" s="371"/>
      <c r="UAH29" s="371"/>
      <c r="UAI29" s="371"/>
      <c r="UAJ29" s="371"/>
      <c r="UAK29" s="371"/>
      <c r="UAL29" s="371"/>
      <c r="UAM29" s="371"/>
      <c r="UAN29" s="371"/>
      <c r="UAO29" s="371"/>
      <c r="UAP29" s="371"/>
      <c r="UAQ29" s="371"/>
      <c r="UAR29" s="371"/>
      <c r="UAS29" s="371"/>
      <c r="UAT29" s="371"/>
      <c r="UAU29" s="371"/>
      <c r="UAV29" s="371"/>
      <c r="UAW29" s="371"/>
      <c r="UAX29" s="371"/>
      <c r="UAY29" s="371"/>
      <c r="UAZ29" s="371"/>
      <c r="UBA29" s="371"/>
      <c r="UBB29" s="371"/>
      <c r="UBC29" s="382"/>
      <c r="UBG29" s="371"/>
      <c r="UBH29" s="371"/>
      <c r="UBI29" s="371"/>
      <c r="UBJ29" s="371"/>
      <c r="UBK29" s="371"/>
      <c r="UBL29" s="371"/>
      <c r="UBM29" s="371"/>
      <c r="UBN29" s="371"/>
      <c r="UBO29" s="371"/>
      <c r="UBP29" s="371"/>
      <c r="UBQ29" s="371"/>
      <c r="UBR29" s="371"/>
      <c r="UBS29" s="371"/>
      <c r="UBT29" s="371"/>
      <c r="UBU29" s="371"/>
      <c r="UBV29" s="371"/>
      <c r="UBW29" s="371"/>
      <c r="UBX29" s="371"/>
      <c r="UBY29" s="371"/>
      <c r="UBZ29" s="371"/>
      <c r="UCA29" s="371"/>
      <c r="UCB29" s="371"/>
      <c r="UCC29" s="371"/>
      <c r="UCD29" s="371"/>
      <c r="UCE29" s="371"/>
      <c r="UCF29" s="371"/>
      <c r="UCG29" s="382"/>
      <c r="UCK29" s="371"/>
      <c r="UCL29" s="371"/>
      <c r="UCM29" s="371"/>
      <c r="UCN29" s="371"/>
      <c r="UCO29" s="371"/>
      <c r="UCP29" s="371"/>
      <c r="UCQ29" s="371"/>
      <c r="UCR29" s="371"/>
      <c r="UCS29" s="371"/>
      <c r="UCT29" s="371"/>
      <c r="UCU29" s="371"/>
      <c r="UCV29" s="371"/>
      <c r="UCW29" s="371"/>
      <c r="UCX29" s="371"/>
      <c r="UCY29" s="371"/>
      <c r="UCZ29" s="371"/>
      <c r="UDA29" s="371"/>
      <c r="UDB29" s="371"/>
      <c r="UDC29" s="371"/>
      <c r="UDD29" s="371"/>
      <c r="UDE29" s="371"/>
      <c r="UDF29" s="371"/>
      <c r="UDG29" s="371"/>
      <c r="UDH29" s="371"/>
      <c r="UDI29" s="371"/>
      <c r="UDJ29" s="371"/>
      <c r="UDK29" s="382"/>
      <c r="UDO29" s="371"/>
      <c r="UDP29" s="371"/>
      <c r="UDQ29" s="371"/>
      <c r="UDR29" s="371"/>
      <c r="UDS29" s="371"/>
      <c r="UDT29" s="371"/>
      <c r="UDU29" s="371"/>
      <c r="UDV29" s="371"/>
      <c r="UDW29" s="371"/>
      <c r="UDX29" s="371"/>
      <c r="UDY29" s="371"/>
      <c r="UDZ29" s="371"/>
      <c r="UEA29" s="371"/>
      <c r="UEB29" s="371"/>
      <c r="UEC29" s="371"/>
      <c r="UED29" s="371"/>
      <c r="UEE29" s="371"/>
      <c r="UEF29" s="371"/>
      <c r="UEG29" s="371"/>
      <c r="UEH29" s="371"/>
      <c r="UEI29" s="371"/>
      <c r="UEJ29" s="371"/>
      <c r="UEK29" s="371"/>
      <c r="UEL29" s="371"/>
      <c r="UEM29" s="371"/>
      <c r="UEN29" s="371"/>
      <c r="UEO29" s="382"/>
      <c r="UES29" s="371"/>
      <c r="UET29" s="371"/>
      <c r="UEU29" s="371"/>
      <c r="UEV29" s="371"/>
      <c r="UEW29" s="371"/>
      <c r="UEX29" s="371"/>
      <c r="UEY29" s="371"/>
      <c r="UEZ29" s="371"/>
      <c r="UFA29" s="371"/>
      <c r="UFB29" s="371"/>
      <c r="UFC29" s="371"/>
      <c r="UFD29" s="371"/>
      <c r="UFE29" s="371"/>
      <c r="UFF29" s="371"/>
      <c r="UFG29" s="371"/>
      <c r="UFH29" s="371"/>
      <c r="UFI29" s="371"/>
      <c r="UFJ29" s="371"/>
      <c r="UFK29" s="371"/>
      <c r="UFL29" s="371"/>
      <c r="UFM29" s="371"/>
      <c r="UFN29" s="371"/>
      <c r="UFO29" s="371"/>
      <c r="UFP29" s="371"/>
      <c r="UFQ29" s="371"/>
      <c r="UFR29" s="371"/>
      <c r="UFS29" s="382"/>
      <c r="UFW29" s="371"/>
      <c r="UFX29" s="371"/>
      <c r="UFY29" s="371"/>
      <c r="UFZ29" s="371"/>
      <c r="UGA29" s="371"/>
      <c r="UGB29" s="371"/>
      <c r="UGC29" s="371"/>
      <c r="UGD29" s="371"/>
      <c r="UGE29" s="371"/>
      <c r="UGF29" s="371"/>
      <c r="UGG29" s="371"/>
      <c r="UGH29" s="371"/>
      <c r="UGI29" s="371"/>
      <c r="UGJ29" s="371"/>
      <c r="UGK29" s="371"/>
      <c r="UGL29" s="371"/>
      <c r="UGM29" s="371"/>
      <c r="UGN29" s="371"/>
      <c r="UGO29" s="371"/>
      <c r="UGP29" s="371"/>
      <c r="UGQ29" s="371"/>
      <c r="UGR29" s="371"/>
      <c r="UGS29" s="371"/>
      <c r="UGT29" s="371"/>
      <c r="UGU29" s="371"/>
      <c r="UGV29" s="371"/>
      <c r="UGW29" s="382"/>
      <c r="UHA29" s="371"/>
      <c r="UHB29" s="371"/>
      <c r="UHC29" s="371"/>
      <c r="UHD29" s="371"/>
      <c r="UHE29" s="371"/>
      <c r="UHF29" s="371"/>
      <c r="UHG29" s="371"/>
      <c r="UHH29" s="371"/>
      <c r="UHI29" s="371"/>
      <c r="UHJ29" s="371"/>
      <c r="UHK29" s="371"/>
      <c r="UHL29" s="371"/>
      <c r="UHM29" s="371"/>
      <c r="UHN29" s="371"/>
      <c r="UHO29" s="371"/>
      <c r="UHP29" s="371"/>
      <c r="UHQ29" s="371"/>
      <c r="UHR29" s="371"/>
      <c r="UHS29" s="371"/>
      <c r="UHT29" s="371"/>
      <c r="UHU29" s="371"/>
      <c r="UHV29" s="371"/>
      <c r="UHW29" s="371"/>
      <c r="UHX29" s="371"/>
      <c r="UHY29" s="371"/>
      <c r="UHZ29" s="371"/>
      <c r="UIA29" s="382"/>
      <c r="UIE29" s="371"/>
      <c r="UIF29" s="371"/>
      <c r="UIG29" s="371"/>
      <c r="UIH29" s="371"/>
      <c r="UII29" s="371"/>
      <c r="UIJ29" s="371"/>
      <c r="UIK29" s="371"/>
      <c r="UIL29" s="371"/>
      <c r="UIM29" s="371"/>
      <c r="UIN29" s="371"/>
      <c r="UIO29" s="371"/>
      <c r="UIP29" s="371"/>
      <c r="UIQ29" s="371"/>
      <c r="UIR29" s="371"/>
      <c r="UIS29" s="371"/>
      <c r="UIT29" s="371"/>
      <c r="UIU29" s="371"/>
      <c r="UIV29" s="371"/>
      <c r="UIW29" s="371"/>
      <c r="UIX29" s="371"/>
      <c r="UIY29" s="371"/>
      <c r="UIZ29" s="371"/>
      <c r="UJA29" s="371"/>
      <c r="UJB29" s="371"/>
      <c r="UJC29" s="371"/>
      <c r="UJD29" s="371"/>
      <c r="UJE29" s="382"/>
      <c r="UJI29" s="371"/>
      <c r="UJJ29" s="371"/>
      <c r="UJK29" s="371"/>
      <c r="UJL29" s="371"/>
      <c r="UJM29" s="371"/>
      <c r="UJN29" s="371"/>
      <c r="UJO29" s="371"/>
      <c r="UJP29" s="371"/>
      <c r="UJQ29" s="371"/>
      <c r="UJR29" s="371"/>
      <c r="UJS29" s="371"/>
      <c r="UJT29" s="371"/>
      <c r="UJU29" s="371"/>
      <c r="UJV29" s="371"/>
      <c r="UJW29" s="371"/>
      <c r="UJX29" s="371"/>
      <c r="UJY29" s="371"/>
      <c r="UJZ29" s="371"/>
      <c r="UKA29" s="371"/>
      <c r="UKB29" s="371"/>
      <c r="UKC29" s="371"/>
      <c r="UKD29" s="371"/>
      <c r="UKE29" s="371"/>
      <c r="UKF29" s="371"/>
      <c r="UKG29" s="371"/>
      <c r="UKH29" s="371"/>
      <c r="UKI29" s="382"/>
      <c r="UKM29" s="371"/>
      <c r="UKN29" s="371"/>
      <c r="UKO29" s="371"/>
      <c r="UKP29" s="371"/>
      <c r="UKQ29" s="371"/>
      <c r="UKR29" s="371"/>
      <c r="UKS29" s="371"/>
      <c r="UKT29" s="371"/>
      <c r="UKU29" s="371"/>
      <c r="UKV29" s="371"/>
      <c r="UKW29" s="371"/>
      <c r="UKX29" s="371"/>
      <c r="UKY29" s="371"/>
      <c r="UKZ29" s="371"/>
      <c r="ULA29" s="371"/>
      <c r="ULB29" s="371"/>
      <c r="ULC29" s="371"/>
      <c r="ULD29" s="371"/>
      <c r="ULE29" s="371"/>
      <c r="ULF29" s="371"/>
      <c r="ULG29" s="371"/>
      <c r="ULH29" s="371"/>
      <c r="ULI29" s="371"/>
      <c r="ULJ29" s="371"/>
      <c r="ULK29" s="371"/>
      <c r="ULL29" s="371"/>
      <c r="ULM29" s="382"/>
      <c r="ULQ29" s="371"/>
      <c r="ULR29" s="371"/>
      <c r="ULS29" s="371"/>
      <c r="ULT29" s="371"/>
      <c r="ULU29" s="371"/>
      <c r="ULV29" s="371"/>
      <c r="ULW29" s="371"/>
      <c r="ULX29" s="371"/>
      <c r="ULY29" s="371"/>
      <c r="ULZ29" s="371"/>
      <c r="UMA29" s="371"/>
      <c r="UMB29" s="371"/>
      <c r="UMC29" s="371"/>
      <c r="UMD29" s="371"/>
      <c r="UME29" s="371"/>
      <c r="UMF29" s="371"/>
      <c r="UMG29" s="371"/>
      <c r="UMH29" s="371"/>
      <c r="UMI29" s="371"/>
      <c r="UMJ29" s="371"/>
      <c r="UMK29" s="371"/>
      <c r="UML29" s="371"/>
      <c r="UMM29" s="371"/>
      <c r="UMN29" s="371"/>
      <c r="UMO29" s="371"/>
      <c r="UMP29" s="371"/>
      <c r="UMQ29" s="382"/>
      <c r="UMU29" s="371"/>
      <c r="UMV29" s="371"/>
      <c r="UMW29" s="371"/>
      <c r="UMX29" s="371"/>
      <c r="UMY29" s="371"/>
      <c r="UMZ29" s="371"/>
      <c r="UNA29" s="371"/>
      <c r="UNB29" s="371"/>
      <c r="UNC29" s="371"/>
      <c r="UND29" s="371"/>
      <c r="UNE29" s="371"/>
      <c r="UNF29" s="371"/>
      <c r="UNG29" s="371"/>
      <c r="UNH29" s="371"/>
      <c r="UNI29" s="371"/>
      <c r="UNJ29" s="371"/>
      <c r="UNK29" s="371"/>
      <c r="UNL29" s="371"/>
      <c r="UNM29" s="371"/>
      <c r="UNN29" s="371"/>
      <c r="UNO29" s="371"/>
      <c r="UNP29" s="371"/>
      <c r="UNQ29" s="371"/>
      <c r="UNR29" s="371"/>
      <c r="UNS29" s="371"/>
      <c r="UNT29" s="371"/>
      <c r="UNU29" s="382"/>
      <c r="UNY29" s="371"/>
      <c r="UNZ29" s="371"/>
      <c r="UOA29" s="371"/>
      <c r="UOB29" s="371"/>
      <c r="UOC29" s="371"/>
      <c r="UOD29" s="371"/>
      <c r="UOE29" s="371"/>
      <c r="UOF29" s="371"/>
      <c r="UOG29" s="371"/>
      <c r="UOH29" s="371"/>
      <c r="UOI29" s="371"/>
      <c r="UOJ29" s="371"/>
      <c r="UOK29" s="371"/>
      <c r="UOL29" s="371"/>
      <c r="UOM29" s="371"/>
      <c r="UON29" s="371"/>
      <c r="UOO29" s="371"/>
      <c r="UOP29" s="371"/>
      <c r="UOQ29" s="371"/>
      <c r="UOR29" s="371"/>
      <c r="UOS29" s="371"/>
      <c r="UOT29" s="371"/>
      <c r="UOU29" s="371"/>
      <c r="UOV29" s="371"/>
      <c r="UOW29" s="371"/>
      <c r="UOX29" s="371"/>
      <c r="UOY29" s="382"/>
      <c r="UPC29" s="371"/>
      <c r="UPD29" s="371"/>
      <c r="UPE29" s="371"/>
      <c r="UPF29" s="371"/>
      <c r="UPG29" s="371"/>
      <c r="UPH29" s="371"/>
      <c r="UPI29" s="371"/>
      <c r="UPJ29" s="371"/>
      <c r="UPK29" s="371"/>
      <c r="UPL29" s="371"/>
      <c r="UPM29" s="371"/>
      <c r="UPN29" s="371"/>
      <c r="UPO29" s="371"/>
      <c r="UPP29" s="371"/>
      <c r="UPQ29" s="371"/>
      <c r="UPR29" s="371"/>
      <c r="UPS29" s="371"/>
      <c r="UPT29" s="371"/>
      <c r="UPU29" s="371"/>
      <c r="UPV29" s="371"/>
      <c r="UPW29" s="371"/>
      <c r="UPX29" s="371"/>
      <c r="UPY29" s="371"/>
      <c r="UPZ29" s="371"/>
      <c r="UQA29" s="371"/>
      <c r="UQB29" s="371"/>
      <c r="UQC29" s="382"/>
      <c r="UQG29" s="371"/>
      <c r="UQH29" s="371"/>
      <c r="UQI29" s="371"/>
      <c r="UQJ29" s="371"/>
      <c r="UQK29" s="371"/>
      <c r="UQL29" s="371"/>
      <c r="UQM29" s="371"/>
      <c r="UQN29" s="371"/>
      <c r="UQO29" s="371"/>
      <c r="UQP29" s="371"/>
      <c r="UQQ29" s="371"/>
      <c r="UQR29" s="371"/>
      <c r="UQS29" s="371"/>
      <c r="UQT29" s="371"/>
      <c r="UQU29" s="371"/>
      <c r="UQV29" s="371"/>
      <c r="UQW29" s="371"/>
      <c r="UQX29" s="371"/>
      <c r="UQY29" s="371"/>
      <c r="UQZ29" s="371"/>
      <c r="URA29" s="371"/>
      <c r="URB29" s="371"/>
      <c r="URC29" s="371"/>
      <c r="URD29" s="371"/>
      <c r="URE29" s="371"/>
      <c r="URF29" s="371"/>
      <c r="URG29" s="382"/>
      <c r="URK29" s="371"/>
      <c r="URL29" s="371"/>
      <c r="URM29" s="371"/>
      <c r="URN29" s="371"/>
      <c r="URO29" s="371"/>
      <c r="URP29" s="371"/>
      <c r="URQ29" s="371"/>
      <c r="URR29" s="371"/>
      <c r="URS29" s="371"/>
      <c r="URT29" s="371"/>
      <c r="URU29" s="371"/>
      <c r="URV29" s="371"/>
      <c r="URW29" s="371"/>
      <c r="URX29" s="371"/>
      <c r="URY29" s="371"/>
      <c r="URZ29" s="371"/>
      <c r="USA29" s="371"/>
      <c r="USB29" s="371"/>
      <c r="USC29" s="371"/>
      <c r="USD29" s="371"/>
      <c r="USE29" s="371"/>
      <c r="USF29" s="371"/>
      <c r="USG29" s="371"/>
      <c r="USH29" s="371"/>
      <c r="USI29" s="371"/>
      <c r="USJ29" s="371"/>
      <c r="USK29" s="382"/>
      <c r="USO29" s="371"/>
      <c r="USP29" s="371"/>
      <c r="USQ29" s="371"/>
      <c r="USR29" s="371"/>
      <c r="USS29" s="371"/>
      <c r="UST29" s="371"/>
      <c r="USU29" s="371"/>
      <c r="USV29" s="371"/>
      <c r="USW29" s="371"/>
      <c r="USX29" s="371"/>
      <c r="USY29" s="371"/>
      <c r="USZ29" s="371"/>
      <c r="UTA29" s="371"/>
      <c r="UTB29" s="371"/>
      <c r="UTC29" s="371"/>
      <c r="UTD29" s="371"/>
      <c r="UTE29" s="371"/>
      <c r="UTF29" s="371"/>
      <c r="UTG29" s="371"/>
      <c r="UTH29" s="371"/>
      <c r="UTI29" s="371"/>
      <c r="UTJ29" s="371"/>
      <c r="UTK29" s="371"/>
      <c r="UTL29" s="371"/>
      <c r="UTM29" s="371"/>
      <c r="UTN29" s="371"/>
      <c r="UTO29" s="382"/>
      <c r="UTS29" s="371"/>
      <c r="UTT29" s="371"/>
      <c r="UTU29" s="371"/>
      <c r="UTV29" s="371"/>
      <c r="UTW29" s="371"/>
      <c r="UTX29" s="371"/>
      <c r="UTY29" s="371"/>
      <c r="UTZ29" s="371"/>
      <c r="UUA29" s="371"/>
      <c r="UUB29" s="371"/>
      <c r="UUC29" s="371"/>
      <c r="UUD29" s="371"/>
      <c r="UUE29" s="371"/>
      <c r="UUF29" s="371"/>
      <c r="UUG29" s="371"/>
      <c r="UUH29" s="371"/>
      <c r="UUI29" s="371"/>
      <c r="UUJ29" s="371"/>
      <c r="UUK29" s="371"/>
      <c r="UUL29" s="371"/>
      <c r="UUM29" s="371"/>
      <c r="UUN29" s="371"/>
      <c r="UUO29" s="371"/>
      <c r="UUP29" s="371"/>
      <c r="UUQ29" s="371"/>
      <c r="UUR29" s="371"/>
      <c r="UUS29" s="382"/>
      <c r="UUW29" s="371"/>
      <c r="UUX29" s="371"/>
      <c r="UUY29" s="371"/>
      <c r="UUZ29" s="371"/>
      <c r="UVA29" s="371"/>
      <c r="UVB29" s="371"/>
      <c r="UVC29" s="371"/>
      <c r="UVD29" s="371"/>
      <c r="UVE29" s="371"/>
      <c r="UVF29" s="371"/>
      <c r="UVG29" s="371"/>
      <c r="UVH29" s="371"/>
      <c r="UVI29" s="371"/>
      <c r="UVJ29" s="371"/>
      <c r="UVK29" s="371"/>
      <c r="UVL29" s="371"/>
      <c r="UVM29" s="371"/>
      <c r="UVN29" s="371"/>
      <c r="UVO29" s="371"/>
      <c r="UVP29" s="371"/>
      <c r="UVQ29" s="371"/>
      <c r="UVR29" s="371"/>
      <c r="UVS29" s="371"/>
      <c r="UVT29" s="371"/>
      <c r="UVU29" s="371"/>
      <c r="UVV29" s="371"/>
      <c r="UVW29" s="382"/>
      <c r="UWA29" s="371"/>
      <c r="UWB29" s="371"/>
      <c r="UWC29" s="371"/>
      <c r="UWD29" s="371"/>
      <c r="UWE29" s="371"/>
      <c r="UWF29" s="371"/>
      <c r="UWG29" s="371"/>
      <c r="UWH29" s="371"/>
      <c r="UWI29" s="371"/>
      <c r="UWJ29" s="371"/>
      <c r="UWK29" s="371"/>
      <c r="UWL29" s="371"/>
      <c r="UWM29" s="371"/>
      <c r="UWN29" s="371"/>
      <c r="UWO29" s="371"/>
      <c r="UWP29" s="371"/>
      <c r="UWQ29" s="371"/>
      <c r="UWR29" s="371"/>
      <c r="UWS29" s="371"/>
      <c r="UWT29" s="371"/>
      <c r="UWU29" s="371"/>
      <c r="UWV29" s="371"/>
      <c r="UWW29" s="371"/>
      <c r="UWX29" s="371"/>
      <c r="UWY29" s="371"/>
      <c r="UWZ29" s="371"/>
      <c r="UXA29" s="382"/>
      <c r="UXE29" s="371"/>
      <c r="UXF29" s="371"/>
      <c r="UXG29" s="371"/>
      <c r="UXH29" s="371"/>
      <c r="UXI29" s="371"/>
      <c r="UXJ29" s="371"/>
      <c r="UXK29" s="371"/>
      <c r="UXL29" s="371"/>
      <c r="UXM29" s="371"/>
      <c r="UXN29" s="371"/>
      <c r="UXO29" s="371"/>
      <c r="UXP29" s="371"/>
      <c r="UXQ29" s="371"/>
      <c r="UXR29" s="371"/>
      <c r="UXS29" s="371"/>
      <c r="UXT29" s="371"/>
      <c r="UXU29" s="371"/>
      <c r="UXV29" s="371"/>
      <c r="UXW29" s="371"/>
      <c r="UXX29" s="371"/>
      <c r="UXY29" s="371"/>
      <c r="UXZ29" s="371"/>
      <c r="UYA29" s="371"/>
      <c r="UYB29" s="371"/>
      <c r="UYC29" s="371"/>
      <c r="UYD29" s="371"/>
      <c r="UYE29" s="382"/>
      <c r="UYI29" s="371"/>
      <c r="UYJ29" s="371"/>
      <c r="UYK29" s="371"/>
      <c r="UYL29" s="371"/>
      <c r="UYM29" s="371"/>
      <c r="UYN29" s="371"/>
      <c r="UYO29" s="371"/>
      <c r="UYP29" s="371"/>
      <c r="UYQ29" s="371"/>
      <c r="UYR29" s="371"/>
      <c r="UYS29" s="371"/>
      <c r="UYT29" s="371"/>
      <c r="UYU29" s="371"/>
      <c r="UYV29" s="371"/>
      <c r="UYW29" s="371"/>
      <c r="UYX29" s="371"/>
      <c r="UYY29" s="371"/>
      <c r="UYZ29" s="371"/>
      <c r="UZA29" s="371"/>
      <c r="UZB29" s="371"/>
      <c r="UZC29" s="371"/>
      <c r="UZD29" s="371"/>
      <c r="UZE29" s="371"/>
      <c r="UZF29" s="371"/>
      <c r="UZG29" s="371"/>
      <c r="UZH29" s="371"/>
      <c r="UZI29" s="382"/>
      <c r="UZM29" s="371"/>
      <c r="UZN29" s="371"/>
      <c r="UZO29" s="371"/>
      <c r="UZP29" s="371"/>
      <c r="UZQ29" s="371"/>
      <c r="UZR29" s="371"/>
      <c r="UZS29" s="371"/>
      <c r="UZT29" s="371"/>
      <c r="UZU29" s="371"/>
      <c r="UZV29" s="371"/>
      <c r="UZW29" s="371"/>
      <c r="UZX29" s="371"/>
      <c r="UZY29" s="371"/>
      <c r="UZZ29" s="371"/>
      <c r="VAA29" s="371"/>
      <c r="VAB29" s="371"/>
      <c r="VAC29" s="371"/>
      <c r="VAD29" s="371"/>
      <c r="VAE29" s="371"/>
      <c r="VAF29" s="371"/>
      <c r="VAG29" s="371"/>
      <c r="VAH29" s="371"/>
      <c r="VAI29" s="371"/>
      <c r="VAJ29" s="371"/>
      <c r="VAK29" s="371"/>
      <c r="VAL29" s="371"/>
      <c r="VAM29" s="382"/>
      <c r="VAQ29" s="371"/>
      <c r="VAR29" s="371"/>
      <c r="VAS29" s="371"/>
      <c r="VAT29" s="371"/>
      <c r="VAU29" s="371"/>
      <c r="VAV29" s="371"/>
      <c r="VAW29" s="371"/>
      <c r="VAX29" s="371"/>
      <c r="VAY29" s="371"/>
      <c r="VAZ29" s="371"/>
      <c r="VBA29" s="371"/>
      <c r="VBB29" s="371"/>
      <c r="VBC29" s="371"/>
      <c r="VBD29" s="371"/>
      <c r="VBE29" s="371"/>
      <c r="VBF29" s="371"/>
      <c r="VBG29" s="371"/>
      <c r="VBH29" s="371"/>
      <c r="VBI29" s="371"/>
      <c r="VBJ29" s="371"/>
      <c r="VBK29" s="371"/>
      <c r="VBL29" s="371"/>
      <c r="VBM29" s="371"/>
      <c r="VBN29" s="371"/>
      <c r="VBO29" s="371"/>
      <c r="VBP29" s="371"/>
      <c r="VBQ29" s="382"/>
      <c r="VBU29" s="371"/>
      <c r="VBV29" s="371"/>
      <c r="VBW29" s="371"/>
      <c r="VBX29" s="371"/>
      <c r="VBY29" s="371"/>
      <c r="VBZ29" s="371"/>
      <c r="VCA29" s="371"/>
      <c r="VCB29" s="371"/>
      <c r="VCC29" s="371"/>
      <c r="VCD29" s="371"/>
      <c r="VCE29" s="371"/>
      <c r="VCF29" s="371"/>
      <c r="VCG29" s="371"/>
      <c r="VCH29" s="371"/>
      <c r="VCI29" s="371"/>
      <c r="VCJ29" s="371"/>
      <c r="VCK29" s="371"/>
      <c r="VCL29" s="371"/>
      <c r="VCM29" s="371"/>
      <c r="VCN29" s="371"/>
      <c r="VCO29" s="371"/>
      <c r="VCP29" s="371"/>
      <c r="VCQ29" s="371"/>
      <c r="VCR29" s="371"/>
      <c r="VCS29" s="371"/>
      <c r="VCT29" s="371"/>
      <c r="VCU29" s="382"/>
      <c r="VCY29" s="371"/>
      <c r="VCZ29" s="371"/>
      <c r="VDA29" s="371"/>
      <c r="VDB29" s="371"/>
      <c r="VDC29" s="371"/>
      <c r="VDD29" s="371"/>
      <c r="VDE29" s="371"/>
      <c r="VDF29" s="371"/>
      <c r="VDG29" s="371"/>
      <c r="VDH29" s="371"/>
      <c r="VDI29" s="371"/>
      <c r="VDJ29" s="371"/>
      <c r="VDK29" s="371"/>
      <c r="VDL29" s="371"/>
      <c r="VDM29" s="371"/>
      <c r="VDN29" s="371"/>
      <c r="VDO29" s="371"/>
      <c r="VDP29" s="371"/>
      <c r="VDQ29" s="371"/>
      <c r="VDR29" s="371"/>
      <c r="VDS29" s="371"/>
      <c r="VDT29" s="371"/>
      <c r="VDU29" s="371"/>
      <c r="VDV29" s="371"/>
      <c r="VDW29" s="371"/>
      <c r="VDX29" s="371"/>
      <c r="VDY29" s="382"/>
      <c r="VEC29" s="371"/>
      <c r="VED29" s="371"/>
      <c r="VEE29" s="371"/>
      <c r="VEF29" s="371"/>
      <c r="VEG29" s="371"/>
      <c r="VEH29" s="371"/>
      <c r="VEI29" s="371"/>
      <c r="VEJ29" s="371"/>
      <c r="VEK29" s="371"/>
      <c r="VEL29" s="371"/>
      <c r="VEM29" s="371"/>
      <c r="VEN29" s="371"/>
      <c r="VEO29" s="371"/>
      <c r="VEP29" s="371"/>
      <c r="VEQ29" s="371"/>
      <c r="VER29" s="371"/>
      <c r="VES29" s="371"/>
      <c r="VET29" s="371"/>
      <c r="VEU29" s="371"/>
      <c r="VEV29" s="371"/>
      <c r="VEW29" s="371"/>
      <c r="VEX29" s="371"/>
      <c r="VEY29" s="371"/>
      <c r="VEZ29" s="371"/>
      <c r="VFA29" s="371"/>
      <c r="VFB29" s="371"/>
      <c r="VFC29" s="382"/>
      <c r="VFG29" s="371"/>
      <c r="VFH29" s="371"/>
      <c r="VFI29" s="371"/>
      <c r="VFJ29" s="371"/>
      <c r="VFK29" s="371"/>
      <c r="VFL29" s="371"/>
      <c r="VFM29" s="371"/>
      <c r="VFN29" s="371"/>
      <c r="VFO29" s="371"/>
      <c r="VFP29" s="371"/>
      <c r="VFQ29" s="371"/>
      <c r="VFR29" s="371"/>
      <c r="VFS29" s="371"/>
      <c r="VFT29" s="371"/>
      <c r="VFU29" s="371"/>
      <c r="VFV29" s="371"/>
      <c r="VFW29" s="371"/>
      <c r="VFX29" s="371"/>
      <c r="VFY29" s="371"/>
      <c r="VFZ29" s="371"/>
      <c r="VGA29" s="371"/>
      <c r="VGB29" s="371"/>
      <c r="VGC29" s="371"/>
      <c r="VGD29" s="371"/>
      <c r="VGE29" s="371"/>
      <c r="VGF29" s="371"/>
      <c r="VGG29" s="382"/>
      <c r="VGK29" s="371"/>
      <c r="VGL29" s="371"/>
      <c r="VGM29" s="371"/>
      <c r="VGN29" s="371"/>
      <c r="VGO29" s="371"/>
      <c r="VGP29" s="371"/>
      <c r="VGQ29" s="371"/>
      <c r="VGR29" s="371"/>
      <c r="VGS29" s="371"/>
      <c r="VGT29" s="371"/>
      <c r="VGU29" s="371"/>
      <c r="VGV29" s="371"/>
      <c r="VGW29" s="371"/>
      <c r="VGX29" s="371"/>
      <c r="VGY29" s="371"/>
      <c r="VGZ29" s="371"/>
      <c r="VHA29" s="371"/>
      <c r="VHB29" s="371"/>
      <c r="VHC29" s="371"/>
      <c r="VHD29" s="371"/>
      <c r="VHE29" s="371"/>
      <c r="VHF29" s="371"/>
      <c r="VHG29" s="371"/>
      <c r="VHH29" s="371"/>
      <c r="VHI29" s="371"/>
      <c r="VHJ29" s="371"/>
      <c r="VHK29" s="382"/>
      <c r="VHO29" s="371"/>
      <c r="VHP29" s="371"/>
      <c r="VHQ29" s="371"/>
      <c r="VHR29" s="371"/>
      <c r="VHS29" s="371"/>
      <c r="VHT29" s="371"/>
      <c r="VHU29" s="371"/>
      <c r="VHV29" s="371"/>
      <c r="VHW29" s="371"/>
      <c r="VHX29" s="371"/>
      <c r="VHY29" s="371"/>
      <c r="VHZ29" s="371"/>
      <c r="VIA29" s="371"/>
      <c r="VIB29" s="371"/>
      <c r="VIC29" s="371"/>
      <c r="VID29" s="371"/>
      <c r="VIE29" s="371"/>
      <c r="VIF29" s="371"/>
      <c r="VIG29" s="371"/>
      <c r="VIH29" s="371"/>
      <c r="VII29" s="371"/>
      <c r="VIJ29" s="371"/>
      <c r="VIK29" s="371"/>
      <c r="VIL29" s="371"/>
      <c r="VIM29" s="371"/>
      <c r="VIN29" s="371"/>
      <c r="VIO29" s="382"/>
      <c r="VIS29" s="371"/>
      <c r="VIT29" s="371"/>
      <c r="VIU29" s="371"/>
      <c r="VIV29" s="371"/>
      <c r="VIW29" s="371"/>
      <c r="VIX29" s="371"/>
      <c r="VIY29" s="371"/>
      <c r="VIZ29" s="371"/>
      <c r="VJA29" s="371"/>
      <c r="VJB29" s="371"/>
      <c r="VJC29" s="371"/>
      <c r="VJD29" s="371"/>
      <c r="VJE29" s="371"/>
      <c r="VJF29" s="371"/>
      <c r="VJG29" s="371"/>
      <c r="VJH29" s="371"/>
      <c r="VJI29" s="371"/>
      <c r="VJJ29" s="371"/>
      <c r="VJK29" s="371"/>
      <c r="VJL29" s="371"/>
      <c r="VJM29" s="371"/>
      <c r="VJN29" s="371"/>
      <c r="VJO29" s="371"/>
      <c r="VJP29" s="371"/>
      <c r="VJQ29" s="371"/>
      <c r="VJR29" s="371"/>
      <c r="VJS29" s="382"/>
      <c r="VJW29" s="371"/>
      <c r="VJX29" s="371"/>
      <c r="VJY29" s="371"/>
      <c r="VJZ29" s="371"/>
      <c r="VKA29" s="371"/>
      <c r="VKB29" s="371"/>
      <c r="VKC29" s="371"/>
      <c r="VKD29" s="371"/>
      <c r="VKE29" s="371"/>
      <c r="VKF29" s="371"/>
      <c r="VKG29" s="371"/>
      <c r="VKH29" s="371"/>
      <c r="VKI29" s="371"/>
      <c r="VKJ29" s="371"/>
      <c r="VKK29" s="371"/>
      <c r="VKL29" s="371"/>
      <c r="VKM29" s="371"/>
      <c r="VKN29" s="371"/>
      <c r="VKO29" s="371"/>
      <c r="VKP29" s="371"/>
      <c r="VKQ29" s="371"/>
      <c r="VKR29" s="371"/>
      <c r="VKS29" s="371"/>
      <c r="VKT29" s="371"/>
      <c r="VKU29" s="371"/>
      <c r="VKV29" s="371"/>
      <c r="VKW29" s="382"/>
      <c r="VLA29" s="371"/>
      <c r="VLB29" s="371"/>
      <c r="VLC29" s="371"/>
      <c r="VLD29" s="371"/>
      <c r="VLE29" s="371"/>
      <c r="VLF29" s="371"/>
      <c r="VLG29" s="371"/>
      <c r="VLH29" s="371"/>
      <c r="VLI29" s="371"/>
      <c r="VLJ29" s="371"/>
      <c r="VLK29" s="371"/>
      <c r="VLL29" s="371"/>
      <c r="VLM29" s="371"/>
      <c r="VLN29" s="371"/>
      <c r="VLO29" s="371"/>
      <c r="VLP29" s="371"/>
      <c r="VLQ29" s="371"/>
      <c r="VLR29" s="371"/>
      <c r="VLS29" s="371"/>
      <c r="VLT29" s="371"/>
      <c r="VLU29" s="371"/>
      <c r="VLV29" s="371"/>
      <c r="VLW29" s="371"/>
      <c r="VLX29" s="371"/>
      <c r="VLY29" s="371"/>
      <c r="VLZ29" s="371"/>
      <c r="VMA29" s="382"/>
      <c r="VME29" s="371"/>
      <c r="VMF29" s="371"/>
      <c r="VMG29" s="371"/>
      <c r="VMH29" s="371"/>
      <c r="VMI29" s="371"/>
      <c r="VMJ29" s="371"/>
      <c r="VMK29" s="371"/>
      <c r="VML29" s="371"/>
      <c r="VMM29" s="371"/>
      <c r="VMN29" s="371"/>
      <c r="VMO29" s="371"/>
      <c r="VMP29" s="371"/>
      <c r="VMQ29" s="371"/>
      <c r="VMR29" s="371"/>
      <c r="VMS29" s="371"/>
      <c r="VMT29" s="371"/>
      <c r="VMU29" s="371"/>
      <c r="VMV29" s="371"/>
      <c r="VMW29" s="371"/>
      <c r="VMX29" s="371"/>
      <c r="VMY29" s="371"/>
      <c r="VMZ29" s="371"/>
      <c r="VNA29" s="371"/>
      <c r="VNB29" s="371"/>
      <c r="VNC29" s="371"/>
      <c r="VND29" s="371"/>
      <c r="VNE29" s="382"/>
      <c r="VNI29" s="371"/>
      <c r="VNJ29" s="371"/>
      <c r="VNK29" s="371"/>
      <c r="VNL29" s="371"/>
      <c r="VNM29" s="371"/>
      <c r="VNN29" s="371"/>
      <c r="VNO29" s="371"/>
      <c r="VNP29" s="371"/>
      <c r="VNQ29" s="371"/>
      <c r="VNR29" s="371"/>
      <c r="VNS29" s="371"/>
      <c r="VNT29" s="371"/>
      <c r="VNU29" s="371"/>
      <c r="VNV29" s="371"/>
      <c r="VNW29" s="371"/>
      <c r="VNX29" s="371"/>
      <c r="VNY29" s="371"/>
      <c r="VNZ29" s="371"/>
      <c r="VOA29" s="371"/>
      <c r="VOB29" s="371"/>
      <c r="VOC29" s="371"/>
      <c r="VOD29" s="371"/>
      <c r="VOE29" s="371"/>
      <c r="VOF29" s="371"/>
      <c r="VOG29" s="371"/>
      <c r="VOH29" s="371"/>
      <c r="VOI29" s="382"/>
      <c r="VOM29" s="371"/>
      <c r="VON29" s="371"/>
      <c r="VOO29" s="371"/>
      <c r="VOP29" s="371"/>
      <c r="VOQ29" s="371"/>
      <c r="VOR29" s="371"/>
      <c r="VOS29" s="371"/>
      <c r="VOT29" s="371"/>
      <c r="VOU29" s="371"/>
      <c r="VOV29" s="371"/>
      <c r="VOW29" s="371"/>
      <c r="VOX29" s="371"/>
      <c r="VOY29" s="371"/>
      <c r="VOZ29" s="371"/>
      <c r="VPA29" s="371"/>
      <c r="VPB29" s="371"/>
      <c r="VPC29" s="371"/>
      <c r="VPD29" s="371"/>
      <c r="VPE29" s="371"/>
      <c r="VPF29" s="371"/>
      <c r="VPG29" s="371"/>
      <c r="VPH29" s="371"/>
      <c r="VPI29" s="371"/>
      <c r="VPJ29" s="371"/>
      <c r="VPK29" s="371"/>
      <c r="VPL29" s="371"/>
      <c r="VPM29" s="382"/>
      <c r="VPQ29" s="371"/>
      <c r="VPR29" s="371"/>
      <c r="VPS29" s="371"/>
      <c r="VPT29" s="371"/>
      <c r="VPU29" s="371"/>
      <c r="VPV29" s="371"/>
      <c r="VPW29" s="371"/>
      <c r="VPX29" s="371"/>
      <c r="VPY29" s="371"/>
      <c r="VPZ29" s="371"/>
      <c r="VQA29" s="371"/>
      <c r="VQB29" s="371"/>
      <c r="VQC29" s="371"/>
      <c r="VQD29" s="371"/>
      <c r="VQE29" s="371"/>
      <c r="VQF29" s="371"/>
      <c r="VQG29" s="371"/>
      <c r="VQH29" s="371"/>
      <c r="VQI29" s="371"/>
      <c r="VQJ29" s="371"/>
      <c r="VQK29" s="371"/>
      <c r="VQL29" s="371"/>
      <c r="VQM29" s="371"/>
      <c r="VQN29" s="371"/>
      <c r="VQO29" s="371"/>
      <c r="VQP29" s="371"/>
      <c r="VQQ29" s="382"/>
      <c r="VQU29" s="371"/>
      <c r="VQV29" s="371"/>
      <c r="VQW29" s="371"/>
      <c r="VQX29" s="371"/>
      <c r="VQY29" s="371"/>
      <c r="VQZ29" s="371"/>
      <c r="VRA29" s="371"/>
      <c r="VRB29" s="371"/>
      <c r="VRC29" s="371"/>
      <c r="VRD29" s="371"/>
      <c r="VRE29" s="371"/>
      <c r="VRF29" s="371"/>
      <c r="VRG29" s="371"/>
      <c r="VRH29" s="371"/>
      <c r="VRI29" s="371"/>
      <c r="VRJ29" s="371"/>
      <c r="VRK29" s="371"/>
      <c r="VRL29" s="371"/>
      <c r="VRM29" s="371"/>
      <c r="VRN29" s="371"/>
      <c r="VRO29" s="371"/>
      <c r="VRP29" s="371"/>
      <c r="VRQ29" s="371"/>
      <c r="VRR29" s="371"/>
      <c r="VRS29" s="371"/>
      <c r="VRT29" s="371"/>
      <c r="VRU29" s="382"/>
      <c r="VRY29" s="371"/>
      <c r="VRZ29" s="371"/>
      <c r="VSA29" s="371"/>
      <c r="VSB29" s="371"/>
      <c r="VSC29" s="371"/>
      <c r="VSD29" s="371"/>
      <c r="VSE29" s="371"/>
      <c r="VSF29" s="371"/>
      <c r="VSG29" s="371"/>
      <c r="VSH29" s="371"/>
      <c r="VSI29" s="371"/>
      <c r="VSJ29" s="371"/>
      <c r="VSK29" s="371"/>
      <c r="VSL29" s="371"/>
      <c r="VSM29" s="371"/>
      <c r="VSN29" s="371"/>
      <c r="VSO29" s="371"/>
      <c r="VSP29" s="371"/>
      <c r="VSQ29" s="371"/>
      <c r="VSR29" s="371"/>
      <c r="VSS29" s="371"/>
      <c r="VST29" s="371"/>
      <c r="VSU29" s="371"/>
      <c r="VSV29" s="371"/>
      <c r="VSW29" s="371"/>
      <c r="VSX29" s="371"/>
      <c r="VSY29" s="382"/>
      <c r="VTC29" s="371"/>
      <c r="VTD29" s="371"/>
      <c r="VTE29" s="371"/>
      <c r="VTF29" s="371"/>
      <c r="VTG29" s="371"/>
      <c r="VTH29" s="371"/>
      <c r="VTI29" s="371"/>
      <c r="VTJ29" s="371"/>
      <c r="VTK29" s="371"/>
      <c r="VTL29" s="371"/>
      <c r="VTM29" s="371"/>
      <c r="VTN29" s="371"/>
      <c r="VTO29" s="371"/>
      <c r="VTP29" s="371"/>
      <c r="VTQ29" s="371"/>
      <c r="VTR29" s="371"/>
      <c r="VTS29" s="371"/>
      <c r="VTT29" s="371"/>
      <c r="VTU29" s="371"/>
      <c r="VTV29" s="371"/>
      <c r="VTW29" s="371"/>
      <c r="VTX29" s="371"/>
      <c r="VTY29" s="371"/>
      <c r="VTZ29" s="371"/>
      <c r="VUA29" s="371"/>
      <c r="VUB29" s="371"/>
      <c r="VUC29" s="382"/>
      <c r="VUG29" s="371"/>
      <c r="VUH29" s="371"/>
      <c r="VUI29" s="371"/>
      <c r="VUJ29" s="371"/>
      <c r="VUK29" s="371"/>
      <c r="VUL29" s="371"/>
      <c r="VUM29" s="371"/>
      <c r="VUN29" s="371"/>
      <c r="VUO29" s="371"/>
      <c r="VUP29" s="371"/>
      <c r="VUQ29" s="371"/>
      <c r="VUR29" s="371"/>
      <c r="VUS29" s="371"/>
      <c r="VUT29" s="371"/>
      <c r="VUU29" s="371"/>
      <c r="VUV29" s="371"/>
      <c r="VUW29" s="371"/>
      <c r="VUX29" s="371"/>
      <c r="VUY29" s="371"/>
      <c r="VUZ29" s="371"/>
      <c r="VVA29" s="371"/>
      <c r="VVB29" s="371"/>
      <c r="VVC29" s="371"/>
      <c r="VVD29" s="371"/>
      <c r="VVE29" s="371"/>
      <c r="VVF29" s="371"/>
      <c r="VVG29" s="382"/>
      <c r="VVK29" s="371"/>
      <c r="VVL29" s="371"/>
      <c r="VVM29" s="371"/>
      <c r="VVN29" s="371"/>
      <c r="VVO29" s="371"/>
      <c r="VVP29" s="371"/>
      <c r="VVQ29" s="371"/>
      <c r="VVR29" s="371"/>
      <c r="VVS29" s="371"/>
      <c r="VVT29" s="371"/>
      <c r="VVU29" s="371"/>
      <c r="VVV29" s="371"/>
      <c r="VVW29" s="371"/>
      <c r="VVX29" s="371"/>
      <c r="VVY29" s="371"/>
      <c r="VVZ29" s="371"/>
      <c r="VWA29" s="371"/>
      <c r="VWB29" s="371"/>
      <c r="VWC29" s="371"/>
      <c r="VWD29" s="371"/>
      <c r="VWE29" s="371"/>
      <c r="VWF29" s="371"/>
      <c r="VWG29" s="371"/>
      <c r="VWH29" s="371"/>
      <c r="VWI29" s="371"/>
      <c r="VWJ29" s="371"/>
      <c r="VWK29" s="382"/>
      <c r="VWO29" s="371"/>
      <c r="VWP29" s="371"/>
      <c r="VWQ29" s="371"/>
      <c r="VWR29" s="371"/>
      <c r="VWS29" s="371"/>
      <c r="VWT29" s="371"/>
      <c r="VWU29" s="371"/>
      <c r="VWV29" s="371"/>
      <c r="VWW29" s="371"/>
      <c r="VWX29" s="371"/>
      <c r="VWY29" s="371"/>
      <c r="VWZ29" s="371"/>
      <c r="VXA29" s="371"/>
      <c r="VXB29" s="371"/>
      <c r="VXC29" s="371"/>
      <c r="VXD29" s="371"/>
      <c r="VXE29" s="371"/>
      <c r="VXF29" s="371"/>
      <c r="VXG29" s="371"/>
      <c r="VXH29" s="371"/>
      <c r="VXI29" s="371"/>
      <c r="VXJ29" s="371"/>
      <c r="VXK29" s="371"/>
      <c r="VXL29" s="371"/>
      <c r="VXM29" s="371"/>
      <c r="VXN29" s="371"/>
      <c r="VXO29" s="382"/>
      <c r="VXS29" s="371"/>
      <c r="VXT29" s="371"/>
      <c r="VXU29" s="371"/>
      <c r="VXV29" s="371"/>
      <c r="VXW29" s="371"/>
      <c r="VXX29" s="371"/>
      <c r="VXY29" s="371"/>
      <c r="VXZ29" s="371"/>
      <c r="VYA29" s="371"/>
      <c r="VYB29" s="371"/>
      <c r="VYC29" s="371"/>
      <c r="VYD29" s="371"/>
      <c r="VYE29" s="371"/>
      <c r="VYF29" s="371"/>
      <c r="VYG29" s="371"/>
      <c r="VYH29" s="371"/>
      <c r="VYI29" s="371"/>
      <c r="VYJ29" s="371"/>
      <c r="VYK29" s="371"/>
      <c r="VYL29" s="371"/>
      <c r="VYM29" s="371"/>
      <c r="VYN29" s="371"/>
      <c r="VYO29" s="371"/>
      <c r="VYP29" s="371"/>
      <c r="VYQ29" s="371"/>
      <c r="VYR29" s="371"/>
      <c r="VYS29" s="382"/>
      <c r="VYW29" s="371"/>
      <c r="VYX29" s="371"/>
      <c r="VYY29" s="371"/>
      <c r="VYZ29" s="371"/>
      <c r="VZA29" s="371"/>
      <c r="VZB29" s="371"/>
      <c r="VZC29" s="371"/>
      <c r="VZD29" s="371"/>
      <c r="VZE29" s="371"/>
      <c r="VZF29" s="371"/>
      <c r="VZG29" s="371"/>
      <c r="VZH29" s="371"/>
      <c r="VZI29" s="371"/>
      <c r="VZJ29" s="371"/>
      <c r="VZK29" s="371"/>
      <c r="VZL29" s="371"/>
      <c r="VZM29" s="371"/>
      <c r="VZN29" s="371"/>
      <c r="VZO29" s="371"/>
      <c r="VZP29" s="371"/>
      <c r="VZQ29" s="371"/>
      <c r="VZR29" s="371"/>
      <c r="VZS29" s="371"/>
      <c r="VZT29" s="371"/>
      <c r="VZU29" s="371"/>
      <c r="VZV29" s="371"/>
      <c r="VZW29" s="382"/>
      <c r="WAA29" s="371"/>
      <c r="WAB29" s="371"/>
      <c r="WAC29" s="371"/>
      <c r="WAD29" s="371"/>
      <c r="WAE29" s="371"/>
      <c r="WAF29" s="371"/>
      <c r="WAG29" s="371"/>
      <c r="WAH29" s="371"/>
      <c r="WAI29" s="371"/>
      <c r="WAJ29" s="371"/>
      <c r="WAK29" s="371"/>
      <c r="WAL29" s="371"/>
      <c r="WAM29" s="371"/>
      <c r="WAN29" s="371"/>
      <c r="WAO29" s="371"/>
      <c r="WAP29" s="371"/>
      <c r="WAQ29" s="371"/>
      <c r="WAR29" s="371"/>
      <c r="WAS29" s="371"/>
      <c r="WAT29" s="371"/>
      <c r="WAU29" s="371"/>
      <c r="WAV29" s="371"/>
      <c r="WAW29" s="371"/>
      <c r="WAX29" s="371"/>
      <c r="WAY29" s="371"/>
      <c r="WAZ29" s="371"/>
      <c r="WBA29" s="382"/>
      <c r="WBE29" s="371"/>
      <c r="WBF29" s="371"/>
      <c r="WBG29" s="371"/>
      <c r="WBH29" s="371"/>
      <c r="WBI29" s="371"/>
      <c r="WBJ29" s="371"/>
      <c r="WBK29" s="371"/>
      <c r="WBL29" s="371"/>
      <c r="WBM29" s="371"/>
      <c r="WBN29" s="371"/>
      <c r="WBO29" s="371"/>
      <c r="WBP29" s="371"/>
      <c r="WBQ29" s="371"/>
      <c r="WBR29" s="371"/>
      <c r="WBS29" s="371"/>
      <c r="WBT29" s="371"/>
      <c r="WBU29" s="371"/>
      <c r="WBV29" s="371"/>
      <c r="WBW29" s="371"/>
      <c r="WBX29" s="371"/>
      <c r="WBY29" s="371"/>
      <c r="WBZ29" s="371"/>
      <c r="WCA29" s="371"/>
      <c r="WCB29" s="371"/>
      <c r="WCC29" s="371"/>
      <c r="WCD29" s="371"/>
      <c r="WCE29" s="382"/>
      <c r="WCI29" s="371"/>
      <c r="WCJ29" s="371"/>
      <c r="WCK29" s="371"/>
      <c r="WCL29" s="371"/>
      <c r="WCM29" s="371"/>
      <c r="WCN29" s="371"/>
      <c r="WCO29" s="371"/>
      <c r="WCP29" s="371"/>
      <c r="WCQ29" s="371"/>
      <c r="WCR29" s="371"/>
      <c r="WCS29" s="371"/>
      <c r="WCT29" s="371"/>
      <c r="WCU29" s="371"/>
      <c r="WCV29" s="371"/>
      <c r="WCW29" s="371"/>
      <c r="WCX29" s="371"/>
      <c r="WCY29" s="371"/>
      <c r="WCZ29" s="371"/>
      <c r="WDA29" s="371"/>
      <c r="WDB29" s="371"/>
      <c r="WDC29" s="371"/>
      <c r="WDD29" s="371"/>
      <c r="WDE29" s="371"/>
      <c r="WDF29" s="371"/>
      <c r="WDG29" s="371"/>
      <c r="WDH29" s="371"/>
      <c r="WDI29" s="382"/>
      <c r="WDM29" s="371"/>
      <c r="WDN29" s="371"/>
      <c r="WDO29" s="371"/>
      <c r="WDP29" s="371"/>
      <c r="WDQ29" s="371"/>
      <c r="WDR29" s="371"/>
      <c r="WDS29" s="371"/>
      <c r="WDT29" s="371"/>
      <c r="WDU29" s="371"/>
      <c r="WDV29" s="371"/>
      <c r="WDW29" s="371"/>
      <c r="WDX29" s="371"/>
      <c r="WDY29" s="371"/>
      <c r="WDZ29" s="371"/>
      <c r="WEA29" s="371"/>
      <c r="WEB29" s="371"/>
      <c r="WEC29" s="371"/>
      <c r="WED29" s="371"/>
      <c r="WEE29" s="371"/>
      <c r="WEF29" s="371"/>
      <c r="WEG29" s="371"/>
      <c r="WEH29" s="371"/>
      <c r="WEI29" s="371"/>
      <c r="WEJ29" s="371"/>
      <c r="WEK29" s="371"/>
      <c r="WEL29" s="371"/>
      <c r="WEM29" s="382"/>
      <c r="WEQ29" s="371"/>
      <c r="WER29" s="371"/>
      <c r="WES29" s="371"/>
      <c r="WET29" s="371"/>
      <c r="WEU29" s="371"/>
      <c r="WEV29" s="371"/>
      <c r="WEW29" s="371"/>
      <c r="WEX29" s="371"/>
      <c r="WEY29" s="371"/>
      <c r="WEZ29" s="371"/>
      <c r="WFA29" s="371"/>
      <c r="WFB29" s="371"/>
      <c r="WFC29" s="371"/>
      <c r="WFD29" s="371"/>
      <c r="WFE29" s="371"/>
      <c r="WFF29" s="371"/>
      <c r="WFG29" s="371"/>
      <c r="WFH29" s="371"/>
      <c r="WFI29" s="371"/>
      <c r="WFJ29" s="371"/>
      <c r="WFK29" s="371"/>
      <c r="WFL29" s="371"/>
      <c r="WFM29" s="371"/>
      <c r="WFN29" s="371"/>
      <c r="WFO29" s="371"/>
      <c r="WFP29" s="371"/>
      <c r="WFQ29" s="382"/>
      <c r="WFU29" s="371"/>
      <c r="WFV29" s="371"/>
      <c r="WFW29" s="371"/>
      <c r="WFX29" s="371"/>
      <c r="WFY29" s="371"/>
      <c r="WFZ29" s="371"/>
      <c r="WGA29" s="371"/>
      <c r="WGB29" s="371"/>
      <c r="WGC29" s="371"/>
      <c r="WGD29" s="371"/>
      <c r="WGE29" s="371"/>
      <c r="WGF29" s="371"/>
      <c r="WGG29" s="371"/>
      <c r="WGH29" s="371"/>
      <c r="WGI29" s="371"/>
      <c r="WGJ29" s="371"/>
      <c r="WGK29" s="371"/>
      <c r="WGL29" s="371"/>
      <c r="WGM29" s="371"/>
      <c r="WGN29" s="371"/>
      <c r="WGO29" s="371"/>
      <c r="WGP29" s="371"/>
      <c r="WGQ29" s="371"/>
      <c r="WGR29" s="371"/>
      <c r="WGS29" s="371"/>
      <c r="WGT29" s="371"/>
      <c r="WGU29" s="382"/>
      <c r="WGY29" s="371"/>
      <c r="WGZ29" s="371"/>
      <c r="WHA29" s="371"/>
      <c r="WHB29" s="371"/>
      <c r="WHC29" s="371"/>
      <c r="WHD29" s="371"/>
      <c r="WHE29" s="371"/>
      <c r="WHF29" s="371"/>
      <c r="WHG29" s="371"/>
      <c r="WHH29" s="371"/>
      <c r="WHI29" s="371"/>
      <c r="WHJ29" s="371"/>
      <c r="WHK29" s="371"/>
      <c r="WHL29" s="371"/>
      <c r="WHM29" s="371"/>
      <c r="WHN29" s="371"/>
      <c r="WHO29" s="371"/>
      <c r="WHP29" s="371"/>
      <c r="WHQ29" s="371"/>
      <c r="WHR29" s="371"/>
      <c r="WHS29" s="371"/>
      <c r="WHT29" s="371"/>
      <c r="WHU29" s="371"/>
      <c r="WHV29" s="371"/>
      <c r="WHW29" s="371"/>
      <c r="WHX29" s="371"/>
      <c r="WHY29" s="382"/>
      <c r="WIC29" s="371"/>
      <c r="WID29" s="371"/>
      <c r="WIE29" s="371"/>
      <c r="WIF29" s="371"/>
      <c r="WIG29" s="371"/>
      <c r="WIH29" s="371"/>
      <c r="WII29" s="371"/>
      <c r="WIJ29" s="371"/>
      <c r="WIK29" s="371"/>
      <c r="WIL29" s="371"/>
      <c r="WIM29" s="371"/>
      <c r="WIN29" s="371"/>
      <c r="WIO29" s="371"/>
      <c r="WIP29" s="371"/>
      <c r="WIQ29" s="371"/>
      <c r="WIR29" s="371"/>
      <c r="WIS29" s="371"/>
      <c r="WIT29" s="371"/>
      <c r="WIU29" s="371"/>
      <c r="WIV29" s="371"/>
      <c r="WIW29" s="371"/>
      <c r="WIX29" s="371"/>
      <c r="WIY29" s="371"/>
      <c r="WIZ29" s="371"/>
      <c r="WJA29" s="371"/>
      <c r="WJB29" s="371"/>
      <c r="WJC29" s="382"/>
      <c r="WJG29" s="371"/>
      <c r="WJH29" s="371"/>
      <c r="WJI29" s="371"/>
      <c r="WJJ29" s="371"/>
      <c r="WJK29" s="371"/>
      <c r="WJL29" s="371"/>
      <c r="WJM29" s="371"/>
      <c r="WJN29" s="371"/>
      <c r="WJO29" s="371"/>
      <c r="WJP29" s="371"/>
      <c r="WJQ29" s="371"/>
      <c r="WJR29" s="371"/>
      <c r="WJS29" s="371"/>
      <c r="WJT29" s="371"/>
      <c r="WJU29" s="371"/>
      <c r="WJV29" s="371"/>
      <c r="WJW29" s="371"/>
      <c r="WJX29" s="371"/>
      <c r="WJY29" s="371"/>
      <c r="WJZ29" s="371"/>
      <c r="WKA29" s="371"/>
      <c r="WKB29" s="371"/>
      <c r="WKC29" s="371"/>
      <c r="WKD29" s="371"/>
      <c r="WKE29" s="371"/>
      <c r="WKF29" s="371"/>
      <c r="WKG29" s="382"/>
      <c r="WKK29" s="371"/>
      <c r="WKL29" s="371"/>
      <c r="WKM29" s="371"/>
      <c r="WKN29" s="371"/>
      <c r="WKO29" s="371"/>
      <c r="WKP29" s="371"/>
      <c r="WKQ29" s="371"/>
      <c r="WKR29" s="371"/>
      <c r="WKS29" s="371"/>
      <c r="WKT29" s="371"/>
      <c r="WKU29" s="371"/>
      <c r="WKV29" s="371"/>
      <c r="WKW29" s="371"/>
      <c r="WKX29" s="371"/>
      <c r="WKY29" s="371"/>
      <c r="WKZ29" s="371"/>
      <c r="WLA29" s="371"/>
      <c r="WLB29" s="371"/>
      <c r="WLC29" s="371"/>
      <c r="WLD29" s="371"/>
      <c r="WLE29" s="371"/>
      <c r="WLF29" s="371"/>
      <c r="WLG29" s="371"/>
      <c r="WLH29" s="371"/>
      <c r="WLI29" s="371"/>
      <c r="WLJ29" s="371"/>
      <c r="WLK29" s="382"/>
      <c r="WLO29" s="371"/>
      <c r="WLP29" s="371"/>
      <c r="WLQ29" s="371"/>
      <c r="WLR29" s="371"/>
      <c r="WLS29" s="371"/>
      <c r="WLT29" s="371"/>
      <c r="WLU29" s="371"/>
      <c r="WLV29" s="371"/>
      <c r="WLW29" s="371"/>
      <c r="WLX29" s="371"/>
      <c r="WLY29" s="371"/>
      <c r="WLZ29" s="371"/>
      <c r="WMA29" s="371"/>
      <c r="WMB29" s="371"/>
      <c r="WMC29" s="371"/>
      <c r="WMD29" s="371"/>
      <c r="WME29" s="371"/>
      <c r="WMF29" s="371"/>
      <c r="WMG29" s="371"/>
      <c r="WMH29" s="371"/>
      <c r="WMI29" s="371"/>
      <c r="WMJ29" s="371"/>
      <c r="WMK29" s="371"/>
      <c r="WML29" s="371"/>
      <c r="WMM29" s="371"/>
      <c r="WMN29" s="371"/>
      <c r="WMO29" s="382"/>
      <c r="WMS29" s="371"/>
      <c r="WMT29" s="371"/>
      <c r="WMU29" s="371"/>
      <c r="WMV29" s="371"/>
      <c r="WMW29" s="371"/>
      <c r="WMX29" s="371"/>
      <c r="WMY29" s="371"/>
      <c r="WMZ29" s="371"/>
      <c r="WNA29" s="371"/>
      <c r="WNB29" s="371"/>
      <c r="WNC29" s="371"/>
      <c r="WND29" s="371"/>
      <c r="WNE29" s="371"/>
      <c r="WNF29" s="371"/>
      <c r="WNG29" s="371"/>
      <c r="WNH29" s="371"/>
      <c r="WNI29" s="371"/>
      <c r="WNJ29" s="371"/>
      <c r="WNK29" s="371"/>
      <c r="WNL29" s="371"/>
      <c r="WNM29" s="371"/>
      <c r="WNN29" s="371"/>
      <c r="WNO29" s="371"/>
      <c r="WNP29" s="371"/>
      <c r="WNQ29" s="371"/>
      <c r="WNR29" s="371"/>
      <c r="WNS29" s="382"/>
      <c r="WNW29" s="371"/>
      <c r="WNX29" s="371"/>
      <c r="WNY29" s="371"/>
      <c r="WNZ29" s="371"/>
      <c r="WOA29" s="371"/>
      <c r="WOB29" s="371"/>
      <c r="WOC29" s="371"/>
      <c r="WOD29" s="371"/>
      <c r="WOE29" s="371"/>
      <c r="WOF29" s="371"/>
      <c r="WOG29" s="371"/>
      <c r="WOH29" s="371"/>
      <c r="WOI29" s="371"/>
      <c r="WOJ29" s="371"/>
      <c r="WOK29" s="371"/>
      <c r="WOL29" s="371"/>
      <c r="WOM29" s="371"/>
      <c r="WON29" s="371"/>
      <c r="WOO29" s="371"/>
      <c r="WOP29" s="371"/>
      <c r="WOQ29" s="371"/>
      <c r="WOR29" s="371"/>
      <c r="WOS29" s="371"/>
      <c r="WOT29" s="371"/>
      <c r="WOU29" s="371"/>
      <c r="WOV29" s="371"/>
      <c r="WOW29" s="382"/>
      <c r="WPA29" s="371"/>
      <c r="WPB29" s="371"/>
      <c r="WPC29" s="371"/>
      <c r="WPD29" s="371"/>
      <c r="WPE29" s="371"/>
      <c r="WPF29" s="371"/>
      <c r="WPG29" s="371"/>
      <c r="WPH29" s="371"/>
      <c r="WPI29" s="371"/>
      <c r="WPJ29" s="371"/>
      <c r="WPK29" s="371"/>
      <c r="WPL29" s="371"/>
      <c r="WPM29" s="371"/>
      <c r="WPN29" s="371"/>
      <c r="WPO29" s="371"/>
      <c r="WPP29" s="371"/>
      <c r="WPQ29" s="371"/>
      <c r="WPR29" s="371"/>
      <c r="WPS29" s="371"/>
      <c r="WPT29" s="371"/>
      <c r="WPU29" s="371"/>
      <c r="WPV29" s="371"/>
      <c r="WPW29" s="371"/>
      <c r="WPX29" s="371"/>
      <c r="WPY29" s="371"/>
      <c r="WPZ29" s="371"/>
      <c r="WQA29" s="382"/>
      <c r="WQE29" s="371"/>
      <c r="WQF29" s="371"/>
      <c r="WQG29" s="371"/>
      <c r="WQH29" s="371"/>
      <c r="WQI29" s="371"/>
      <c r="WQJ29" s="371"/>
      <c r="WQK29" s="371"/>
      <c r="WQL29" s="371"/>
      <c r="WQM29" s="371"/>
      <c r="WQN29" s="371"/>
      <c r="WQO29" s="371"/>
      <c r="WQP29" s="371"/>
      <c r="WQQ29" s="371"/>
      <c r="WQR29" s="371"/>
      <c r="WQS29" s="371"/>
      <c r="WQT29" s="371"/>
      <c r="WQU29" s="371"/>
      <c r="WQV29" s="371"/>
      <c r="WQW29" s="371"/>
      <c r="WQX29" s="371"/>
      <c r="WQY29" s="371"/>
      <c r="WQZ29" s="371"/>
      <c r="WRA29" s="371"/>
      <c r="WRB29" s="371"/>
      <c r="WRC29" s="371"/>
      <c r="WRD29" s="371"/>
      <c r="WRE29" s="382"/>
      <c r="WRI29" s="371"/>
      <c r="WRJ29" s="371"/>
      <c r="WRK29" s="371"/>
      <c r="WRL29" s="371"/>
      <c r="WRM29" s="371"/>
      <c r="WRN29" s="371"/>
      <c r="WRO29" s="371"/>
      <c r="WRP29" s="371"/>
      <c r="WRQ29" s="371"/>
      <c r="WRR29" s="371"/>
      <c r="WRS29" s="371"/>
      <c r="WRT29" s="371"/>
      <c r="WRU29" s="371"/>
      <c r="WRV29" s="371"/>
      <c r="WRW29" s="371"/>
      <c r="WRX29" s="371"/>
      <c r="WRY29" s="371"/>
      <c r="WRZ29" s="371"/>
      <c r="WSA29" s="371"/>
      <c r="WSB29" s="371"/>
      <c r="WSC29" s="371"/>
      <c r="WSD29" s="371"/>
      <c r="WSE29" s="371"/>
      <c r="WSF29" s="371"/>
      <c r="WSG29" s="371"/>
      <c r="WSH29" s="371"/>
      <c r="WSI29" s="382"/>
      <c r="WSM29" s="371"/>
      <c r="WSN29" s="371"/>
      <c r="WSO29" s="371"/>
      <c r="WSP29" s="371"/>
      <c r="WSQ29" s="371"/>
      <c r="WSR29" s="371"/>
      <c r="WSS29" s="371"/>
      <c r="WST29" s="371"/>
      <c r="WSU29" s="371"/>
      <c r="WSV29" s="371"/>
      <c r="WSW29" s="371"/>
      <c r="WSX29" s="371"/>
      <c r="WSY29" s="371"/>
      <c r="WSZ29" s="371"/>
      <c r="WTA29" s="371"/>
      <c r="WTB29" s="371"/>
      <c r="WTC29" s="371"/>
      <c r="WTD29" s="371"/>
      <c r="WTE29" s="371"/>
      <c r="WTF29" s="371"/>
      <c r="WTG29" s="371"/>
      <c r="WTH29" s="371"/>
      <c r="WTI29" s="371"/>
      <c r="WTJ29" s="371"/>
      <c r="WTK29" s="371"/>
      <c r="WTL29" s="371"/>
      <c r="WTM29" s="382"/>
      <c r="WTQ29" s="371"/>
      <c r="WTR29" s="371"/>
      <c r="WTS29" s="371"/>
      <c r="WTT29" s="371"/>
      <c r="WTU29" s="371"/>
      <c r="WTV29" s="371"/>
      <c r="WTW29" s="371"/>
      <c r="WTX29" s="371"/>
      <c r="WTY29" s="371"/>
      <c r="WTZ29" s="371"/>
      <c r="WUA29" s="371"/>
      <c r="WUB29" s="371"/>
      <c r="WUC29" s="371"/>
      <c r="WUD29" s="371"/>
      <c r="WUE29" s="371"/>
      <c r="WUF29" s="371"/>
      <c r="WUG29" s="371"/>
      <c r="WUH29" s="371"/>
      <c r="WUI29" s="371"/>
      <c r="WUJ29" s="371"/>
      <c r="WUK29" s="371"/>
      <c r="WUL29" s="371"/>
      <c r="WUM29" s="371"/>
      <c r="WUN29" s="371"/>
      <c r="WUO29" s="371"/>
      <c r="WUP29" s="371"/>
      <c r="WUQ29" s="382"/>
      <c r="WUU29" s="371"/>
      <c r="WUV29" s="371"/>
      <c r="WUW29" s="371"/>
      <c r="WUX29" s="371"/>
      <c r="WUY29" s="371"/>
      <c r="WUZ29" s="371"/>
      <c r="WVA29" s="371"/>
      <c r="WVB29" s="371"/>
      <c r="WVC29" s="371"/>
      <c r="WVD29" s="371"/>
      <c r="WVE29" s="371"/>
      <c r="WVF29" s="371"/>
      <c r="WVG29" s="371"/>
      <c r="WVH29" s="371"/>
      <c r="WVI29" s="371"/>
      <c r="WVJ29" s="371"/>
      <c r="WVK29" s="371"/>
      <c r="WVL29" s="371"/>
      <c r="WVM29" s="371"/>
      <c r="WVN29" s="371"/>
      <c r="WVO29" s="371"/>
      <c r="WVP29" s="371"/>
      <c r="WVQ29" s="371"/>
      <c r="WVR29" s="371"/>
      <c r="WVS29" s="371"/>
      <c r="WVT29" s="371"/>
      <c r="WVU29" s="382"/>
      <c r="WVY29" s="371"/>
      <c r="WVZ29" s="371"/>
      <c r="WWA29" s="371"/>
      <c r="WWB29" s="371"/>
      <c r="WWC29" s="371"/>
      <c r="WWD29" s="371"/>
      <c r="WWE29" s="371"/>
      <c r="WWF29" s="371"/>
      <c r="WWG29" s="371"/>
      <c r="WWH29" s="371"/>
      <c r="WWI29" s="371"/>
      <c r="WWJ29" s="371"/>
      <c r="WWK29" s="371"/>
      <c r="WWL29" s="371"/>
      <c r="WWM29" s="371"/>
      <c r="WWN29" s="371"/>
      <c r="WWO29" s="371"/>
      <c r="WWP29" s="371"/>
      <c r="WWQ29" s="371"/>
      <c r="WWR29" s="371"/>
      <c r="WWS29" s="371"/>
      <c r="WWT29" s="371"/>
      <c r="WWU29" s="371"/>
      <c r="WWV29" s="371"/>
      <c r="WWW29" s="371"/>
      <c r="WWX29" s="371"/>
      <c r="WWY29" s="382"/>
      <c r="WXC29" s="371"/>
      <c r="WXD29" s="371"/>
      <c r="WXE29" s="371"/>
      <c r="WXF29" s="371"/>
      <c r="WXG29" s="371"/>
      <c r="WXH29" s="371"/>
      <c r="WXI29" s="371"/>
      <c r="WXJ29" s="371"/>
      <c r="WXK29" s="371"/>
      <c r="WXL29" s="371"/>
      <c r="WXM29" s="371"/>
      <c r="WXN29" s="371"/>
      <c r="WXO29" s="371"/>
      <c r="WXP29" s="371"/>
      <c r="WXQ29" s="371"/>
      <c r="WXR29" s="371"/>
      <c r="WXS29" s="371"/>
      <c r="WXT29" s="371"/>
      <c r="WXU29" s="371"/>
      <c r="WXV29" s="371"/>
      <c r="WXW29" s="371"/>
      <c r="WXX29" s="371"/>
      <c r="WXY29" s="371"/>
      <c r="WXZ29" s="371"/>
      <c r="WYA29" s="371"/>
      <c r="WYB29" s="371"/>
      <c r="WYC29" s="382"/>
      <c r="WYG29" s="371"/>
      <c r="WYH29" s="371"/>
      <c r="WYI29" s="371"/>
      <c r="WYJ29" s="371"/>
      <c r="WYK29" s="371"/>
      <c r="WYL29" s="371"/>
      <c r="WYM29" s="371"/>
      <c r="WYN29" s="371"/>
      <c r="WYO29" s="371"/>
      <c r="WYP29" s="371"/>
      <c r="WYQ29" s="371"/>
      <c r="WYR29" s="371"/>
      <c r="WYS29" s="371"/>
      <c r="WYT29" s="371"/>
      <c r="WYU29" s="371"/>
      <c r="WYV29" s="371"/>
      <c r="WYW29" s="371"/>
      <c r="WYX29" s="371"/>
      <c r="WYY29" s="371"/>
      <c r="WYZ29" s="371"/>
      <c r="WZA29" s="371"/>
      <c r="WZB29" s="371"/>
      <c r="WZC29" s="371"/>
      <c r="WZD29" s="371"/>
      <c r="WZE29" s="371"/>
      <c r="WZF29" s="371"/>
      <c r="WZG29" s="382"/>
      <c r="WZK29" s="371"/>
      <c r="WZL29" s="371"/>
      <c r="WZM29" s="371"/>
      <c r="WZN29" s="371"/>
      <c r="WZO29" s="371"/>
      <c r="WZP29" s="371"/>
      <c r="WZQ29" s="371"/>
      <c r="WZR29" s="371"/>
      <c r="WZS29" s="371"/>
      <c r="WZT29" s="371"/>
      <c r="WZU29" s="371"/>
      <c r="WZV29" s="371"/>
      <c r="WZW29" s="371"/>
      <c r="WZX29" s="371"/>
      <c r="WZY29" s="371"/>
      <c r="WZZ29" s="371"/>
      <c r="XAA29" s="371"/>
      <c r="XAB29" s="371"/>
      <c r="XAC29" s="371"/>
      <c r="XAD29" s="371"/>
      <c r="XAE29" s="371"/>
      <c r="XAF29" s="371"/>
      <c r="XAG29" s="371"/>
      <c r="XAH29" s="371"/>
      <c r="XAI29" s="371"/>
      <c r="XAJ29" s="371"/>
      <c r="XAK29" s="382"/>
      <c r="XAO29" s="371"/>
      <c r="XAP29" s="371"/>
      <c r="XAQ29" s="371"/>
      <c r="XAR29" s="371"/>
      <c r="XAS29" s="371"/>
      <c r="XAT29" s="371"/>
      <c r="XAU29" s="371"/>
      <c r="XAV29" s="371"/>
      <c r="XAW29" s="371"/>
      <c r="XAX29" s="371"/>
      <c r="XAY29" s="371"/>
      <c r="XAZ29" s="371"/>
      <c r="XBA29" s="371"/>
      <c r="XBB29" s="371"/>
      <c r="XBC29" s="371"/>
      <c r="XBD29" s="371"/>
      <c r="XBE29" s="371"/>
      <c r="XBF29" s="371"/>
      <c r="XBG29" s="371"/>
      <c r="XBH29" s="371"/>
      <c r="XBI29" s="371"/>
      <c r="XBJ29" s="371"/>
      <c r="XBK29" s="371"/>
      <c r="XBL29" s="371"/>
      <c r="XBM29" s="371"/>
      <c r="XBN29" s="371"/>
      <c r="XBO29" s="382"/>
      <c r="XBS29" s="371"/>
      <c r="XBT29" s="371"/>
      <c r="XBU29" s="371"/>
      <c r="XBV29" s="371"/>
      <c r="XBW29" s="371"/>
      <c r="XBX29" s="371"/>
      <c r="XBY29" s="371"/>
      <c r="XBZ29" s="371"/>
      <c r="XCA29" s="371"/>
      <c r="XCB29" s="371"/>
      <c r="XCC29" s="371"/>
      <c r="XCD29" s="371"/>
      <c r="XCE29" s="371"/>
      <c r="XCF29" s="371"/>
      <c r="XCG29" s="371"/>
      <c r="XCH29" s="371"/>
      <c r="XCI29" s="371"/>
      <c r="XCJ29" s="371"/>
      <c r="XCK29" s="371"/>
      <c r="XCL29" s="371"/>
      <c r="XCM29" s="371"/>
      <c r="XCN29" s="371"/>
      <c r="XCO29" s="371"/>
      <c r="XCP29" s="371"/>
      <c r="XCQ29" s="371"/>
      <c r="XCR29" s="371"/>
      <c r="XCS29" s="382"/>
      <c r="XCW29" s="371"/>
      <c r="XCX29" s="371"/>
      <c r="XCY29" s="371"/>
      <c r="XCZ29" s="371"/>
      <c r="XDA29" s="371"/>
      <c r="XDB29" s="371"/>
      <c r="XDC29" s="371"/>
      <c r="XDD29" s="371"/>
      <c r="XDE29" s="371"/>
      <c r="XDF29" s="371"/>
      <c r="XDG29" s="371"/>
      <c r="XDH29" s="371"/>
      <c r="XDI29" s="371"/>
      <c r="XDJ29" s="371"/>
      <c r="XDK29" s="371"/>
      <c r="XDL29" s="371"/>
      <c r="XDM29" s="371"/>
      <c r="XDN29" s="371"/>
      <c r="XDO29" s="371"/>
      <c r="XDP29" s="371"/>
      <c r="XDQ29" s="371"/>
      <c r="XDR29" s="371"/>
      <c r="XDS29" s="371"/>
      <c r="XDT29" s="371"/>
      <c r="XDU29" s="371"/>
      <c r="XDV29" s="371"/>
      <c r="XDW29" s="382"/>
      <c r="XEA29" s="371"/>
      <c r="XEB29" s="371"/>
      <c r="XEC29" s="371"/>
      <c r="XED29" s="371"/>
      <c r="XEE29" s="371"/>
      <c r="XEF29" s="371"/>
      <c r="XEG29" s="371"/>
      <c r="XEH29" s="371"/>
      <c r="XEI29" s="371"/>
      <c r="XEJ29" s="371"/>
      <c r="XEK29" s="371"/>
      <c r="XEL29" s="371"/>
      <c r="XEM29" s="371"/>
      <c r="XEN29" s="371"/>
      <c r="XEO29" s="371"/>
      <c r="XEP29" s="371"/>
      <c r="XEQ29" s="371"/>
      <c r="XER29" s="371"/>
      <c r="XES29" s="371"/>
      <c r="XET29" s="371"/>
      <c r="XEU29" s="371"/>
      <c r="XEV29" s="371"/>
      <c r="XEW29" s="371"/>
      <c r="XEX29" s="371"/>
      <c r="XEY29" s="371"/>
      <c r="XEZ29" s="371"/>
      <c r="XFA29" s="382"/>
    </row>
    <row r="30" spans="1:16384" s="383" customFormat="1" x14ac:dyDescent="0.35">
      <c r="A30" s="387"/>
      <c r="E30" s="371"/>
      <c r="F30" s="371"/>
      <c r="G30" s="371"/>
      <c r="H30" s="371"/>
      <c r="I30" s="371"/>
      <c r="J30" s="371"/>
      <c r="K30" s="371"/>
      <c r="L30" s="371"/>
      <c r="M30" s="371"/>
      <c r="N30" s="371"/>
      <c r="O30" s="371"/>
      <c r="P30" s="371"/>
      <c r="Q30" s="371"/>
      <c r="R30" s="371"/>
      <c r="S30" s="371"/>
      <c r="T30" s="371"/>
      <c r="U30" s="371"/>
      <c r="V30" s="371"/>
      <c r="W30" s="371"/>
      <c r="X30" s="371"/>
      <c r="Y30" s="371"/>
      <c r="Z30" s="371"/>
      <c r="AA30" s="371"/>
      <c r="AB30" s="371"/>
      <c r="AC30" s="371"/>
      <c r="AD30" s="371"/>
      <c r="AE30" s="382"/>
      <c r="AI30" s="371"/>
      <c r="AJ30" s="371"/>
      <c r="AK30" s="371"/>
      <c r="AL30" s="371"/>
      <c r="AM30" s="371"/>
      <c r="AN30" s="371"/>
      <c r="AO30" s="371"/>
      <c r="AP30" s="371"/>
      <c r="AQ30" s="371"/>
      <c r="AR30" s="371"/>
      <c r="AS30" s="371"/>
      <c r="AT30" s="371"/>
      <c r="AU30" s="371"/>
      <c r="AV30" s="371"/>
      <c r="AW30" s="371"/>
      <c r="AX30" s="371"/>
      <c r="AY30" s="371"/>
      <c r="AZ30" s="371"/>
      <c r="BA30" s="371"/>
      <c r="BB30" s="371"/>
      <c r="BC30" s="371"/>
      <c r="BD30" s="371"/>
      <c r="BE30" s="371"/>
      <c r="BF30" s="371"/>
      <c r="BG30" s="371"/>
      <c r="BH30" s="371"/>
      <c r="BI30" s="382"/>
      <c r="BM30" s="371"/>
      <c r="BN30" s="371"/>
      <c r="BO30" s="371"/>
      <c r="BP30" s="371"/>
      <c r="BQ30" s="371"/>
      <c r="BR30" s="371"/>
      <c r="BS30" s="371"/>
      <c r="BT30" s="371"/>
      <c r="BU30" s="371"/>
      <c r="BV30" s="371"/>
      <c r="BW30" s="371"/>
      <c r="BX30" s="371"/>
      <c r="BY30" s="371"/>
      <c r="BZ30" s="371"/>
      <c r="CA30" s="371"/>
      <c r="CB30" s="371"/>
      <c r="CC30" s="371"/>
      <c r="CD30" s="371"/>
      <c r="CE30" s="371"/>
      <c r="CF30" s="371"/>
      <c r="CG30" s="371"/>
      <c r="CH30" s="371"/>
      <c r="CI30" s="371"/>
      <c r="CJ30" s="371"/>
      <c r="CK30" s="371"/>
      <c r="CL30" s="371"/>
      <c r="CM30" s="382"/>
      <c r="CQ30" s="371"/>
      <c r="CR30" s="371"/>
      <c r="CS30" s="371"/>
      <c r="CT30" s="371"/>
      <c r="CU30" s="371"/>
      <c r="CV30" s="371"/>
      <c r="CW30" s="371"/>
      <c r="CX30" s="371"/>
      <c r="CY30" s="371"/>
      <c r="CZ30" s="371"/>
      <c r="DA30" s="371"/>
      <c r="DB30" s="371"/>
      <c r="DC30" s="371"/>
      <c r="DD30" s="371"/>
      <c r="DE30" s="371"/>
      <c r="DF30" s="371"/>
      <c r="DG30" s="371"/>
      <c r="DH30" s="371"/>
      <c r="DI30" s="371"/>
      <c r="DJ30" s="371"/>
      <c r="DK30" s="371"/>
      <c r="DL30" s="371"/>
      <c r="DM30" s="371"/>
      <c r="DN30" s="371"/>
      <c r="DO30" s="371"/>
      <c r="DP30" s="371"/>
      <c r="DQ30" s="382"/>
      <c r="DU30" s="371"/>
      <c r="DV30" s="371"/>
      <c r="DW30" s="371"/>
      <c r="DX30" s="371"/>
      <c r="DY30" s="371"/>
      <c r="DZ30" s="371"/>
      <c r="EA30" s="371"/>
      <c r="EB30" s="371"/>
      <c r="EC30" s="371"/>
      <c r="ED30" s="371"/>
      <c r="EE30" s="371"/>
      <c r="EF30" s="371"/>
      <c r="EG30" s="371"/>
      <c r="EH30" s="371"/>
      <c r="EI30" s="371"/>
      <c r="EJ30" s="371"/>
      <c r="EK30" s="371"/>
      <c r="EL30" s="371"/>
      <c r="EM30" s="371"/>
      <c r="EN30" s="371"/>
      <c r="EO30" s="371"/>
      <c r="EP30" s="371"/>
      <c r="EQ30" s="371"/>
      <c r="ER30" s="371"/>
      <c r="ES30" s="371"/>
      <c r="ET30" s="371"/>
      <c r="EU30" s="382"/>
      <c r="EY30" s="371"/>
      <c r="EZ30" s="371"/>
      <c r="FA30" s="371"/>
      <c r="FB30" s="371"/>
      <c r="FC30" s="371"/>
      <c r="FD30" s="371"/>
      <c r="FE30" s="371"/>
      <c r="FF30" s="371"/>
      <c r="FG30" s="371"/>
      <c r="FH30" s="371"/>
      <c r="FI30" s="371"/>
      <c r="FJ30" s="371"/>
      <c r="FK30" s="371"/>
      <c r="FL30" s="371"/>
      <c r="FM30" s="371"/>
      <c r="FN30" s="371"/>
      <c r="FO30" s="371"/>
      <c r="FP30" s="371"/>
      <c r="FQ30" s="371"/>
      <c r="FR30" s="371"/>
      <c r="FS30" s="371"/>
      <c r="FT30" s="371"/>
      <c r="FU30" s="371"/>
      <c r="FV30" s="371"/>
      <c r="FW30" s="371"/>
      <c r="FX30" s="371"/>
      <c r="FY30" s="382"/>
      <c r="GC30" s="371"/>
      <c r="GD30" s="371"/>
      <c r="GE30" s="371"/>
      <c r="GF30" s="371"/>
      <c r="GG30" s="371"/>
      <c r="GH30" s="371"/>
      <c r="GI30" s="371"/>
      <c r="GJ30" s="371"/>
      <c r="GK30" s="371"/>
      <c r="GL30" s="371"/>
      <c r="GM30" s="371"/>
      <c r="GN30" s="371"/>
      <c r="GO30" s="371"/>
      <c r="GP30" s="371"/>
      <c r="GQ30" s="371"/>
      <c r="GR30" s="371"/>
      <c r="GS30" s="371"/>
      <c r="GT30" s="371"/>
      <c r="GU30" s="371"/>
      <c r="GV30" s="371"/>
      <c r="GW30" s="371"/>
      <c r="GX30" s="371"/>
      <c r="GY30" s="371"/>
      <c r="GZ30" s="371"/>
      <c r="HA30" s="371"/>
      <c r="HB30" s="371"/>
      <c r="HC30" s="382"/>
      <c r="HG30" s="371"/>
      <c r="HH30" s="371"/>
      <c r="HI30" s="371"/>
      <c r="HJ30" s="371"/>
      <c r="HK30" s="371"/>
      <c r="HL30" s="371"/>
      <c r="HM30" s="371"/>
      <c r="HN30" s="371"/>
      <c r="HO30" s="371"/>
      <c r="HP30" s="371"/>
      <c r="HQ30" s="371"/>
      <c r="HR30" s="371"/>
      <c r="HS30" s="371"/>
      <c r="HT30" s="371"/>
      <c r="HU30" s="371"/>
      <c r="HV30" s="371"/>
      <c r="HW30" s="371"/>
      <c r="HX30" s="371"/>
      <c r="HY30" s="371"/>
      <c r="HZ30" s="371"/>
      <c r="IA30" s="371"/>
      <c r="IB30" s="371"/>
      <c r="IC30" s="371"/>
      <c r="ID30" s="371"/>
      <c r="IE30" s="371"/>
      <c r="IF30" s="371"/>
      <c r="IG30" s="382"/>
      <c r="IK30" s="371"/>
      <c r="IL30" s="371"/>
      <c r="IM30" s="371"/>
      <c r="IN30" s="371"/>
      <c r="IO30" s="371"/>
      <c r="IP30" s="371"/>
      <c r="IQ30" s="371"/>
      <c r="IR30" s="371"/>
      <c r="IS30" s="371"/>
      <c r="IT30" s="371"/>
      <c r="IU30" s="371"/>
      <c r="IV30" s="371"/>
      <c r="IW30" s="371"/>
      <c r="IX30" s="371"/>
      <c r="IY30" s="371"/>
      <c r="IZ30" s="371"/>
      <c r="JA30" s="371"/>
      <c r="JB30" s="371"/>
      <c r="JC30" s="371"/>
      <c r="JD30" s="371"/>
      <c r="JE30" s="371"/>
      <c r="JF30" s="371"/>
      <c r="JG30" s="371"/>
      <c r="JH30" s="371"/>
      <c r="JI30" s="371"/>
      <c r="JJ30" s="371"/>
      <c r="JK30" s="382"/>
      <c r="JO30" s="371"/>
      <c r="JP30" s="371"/>
      <c r="JQ30" s="371"/>
      <c r="JR30" s="371"/>
      <c r="JS30" s="371"/>
      <c r="JT30" s="371"/>
      <c r="JU30" s="371"/>
      <c r="JV30" s="371"/>
      <c r="JW30" s="371"/>
      <c r="JX30" s="371"/>
      <c r="JY30" s="371"/>
      <c r="JZ30" s="371"/>
      <c r="KA30" s="371"/>
      <c r="KB30" s="371"/>
      <c r="KC30" s="371"/>
      <c r="KD30" s="371"/>
      <c r="KE30" s="371"/>
      <c r="KF30" s="371"/>
      <c r="KG30" s="371"/>
      <c r="KH30" s="371"/>
      <c r="KI30" s="371"/>
      <c r="KJ30" s="371"/>
      <c r="KK30" s="371"/>
      <c r="KL30" s="371"/>
      <c r="KM30" s="371"/>
      <c r="KN30" s="371"/>
      <c r="KO30" s="382"/>
      <c r="KS30" s="371"/>
      <c r="KT30" s="371"/>
      <c r="KU30" s="371"/>
      <c r="KV30" s="371"/>
      <c r="KW30" s="371"/>
      <c r="KX30" s="371"/>
      <c r="KY30" s="371"/>
      <c r="KZ30" s="371"/>
      <c r="LA30" s="371"/>
      <c r="LB30" s="371"/>
      <c r="LC30" s="371"/>
      <c r="LD30" s="371"/>
      <c r="LE30" s="371"/>
      <c r="LF30" s="371"/>
      <c r="LG30" s="371"/>
      <c r="LH30" s="371"/>
      <c r="LI30" s="371"/>
      <c r="LJ30" s="371"/>
      <c r="LK30" s="371"/>
      <c r="LL30" s="371"/>
      <c r="LM30" s="371"/>
      <c r="LN30" s="371"/>
      <c r="LO30" s="371"/>
      <c r="LP30" s="371"/>
      <c r="LQ30" s="371"/>
      <c r="LR30" s="371"/>
      <c r="LS30" s="382"/>
      <c r="LW30" s="371"/>
      <c r="LX30" s="371"/>
      <c r="LY30" s="371"/>
      <c r="LZ30" s="371"/>
      <c r="MA30" s="371"/>
      <c r="MB30" s="371"/>
      <c r="MC30" s="371"/>
      <c r="MD30" s="371"/>
      <c r="ME30" s="371"/>
      <c r="MF30" s="371"/>
      <c r="MG30" s="371"/>
      <c r="MH30" s="371"/>
      <c r="MI30" s="371"/>
      <c r="MJ30" s="371"/>
      <c r="MK30" s="371"/>
      <c r="ML30" s="371"/>
      <c r="MM30" s="371"/>
      <c r="MN30" s="371"/>
      <c r="MO30" s="371"/>
      <c r="MP30" s="371"/>
      <c r="MQ30" s="371"/>
      <c r="MR30" s="371"/>
      <c r="MS30" s="371"/>
      <c r="MT30" s="371"/>
      <c r="MU30" s="371"/>
      <c r="MV30" s="371"/>
      <c r="MW30" s="382"/>
      <c r="NA30" s="371"/>
      <c r="NB30" s="371"/>
      <c r="NC30" s="371"/>
      <c r="ND30" s="371"/>
      <c r="NE30" s="371"/>
      <c r="NF30" s="371"/>
      <c r="NG30" s="371"/>
      <c r="NH30" s="371"/>
      <c r="NI30" s="371"/>
      <c r="NJ30" s="371"/>
      <c r="NK30" s="371"/>
      <c r="NL30" s="371"/>
      <c r="NM30" s="371"/>
      <c r="NN30" s="371"/>
      <c r="NO30" s="371"/>
      <c r="NP30" s="371"/>
      <c r="NQ30" s="371"/>
      <c r="NR30" s="371"/>
      <c r="NS30" s="371"/>
      <c r="NT30" s="371"/>
      <c r="NU30" s="371"/>
      <c r="NV30" s="371"/>
      <c r="NW30" s="371"/>
      <c r="NX30" s="371"/>
      <c r="NY30" s="371"/>
      <c r="NZ30" s="371"/>
      <c r="OA30" s="382"/>
      <c r="OE30" s="371"/>
      <c r="OF30" s="371"/>
      <c r="OG30" s="371"/>
      <c r="OH30" s="371"/>
      <c r="OI30" s="371"/>
      <c r="OJ30" s="371"/>
      <c r="OK30" s="371"/>
      <c r="OL30" s="371"/>
      <c r="OM30" s="371"/>
      <c r="ON30" s="371"/>
      <c r="OO30" s="371"/>
      <c r="OP30" s="371"/>
      <c r="OQ30" s="371"/>
      <c r="OR30" s="371"/>
      <c r="OS30" s="371"/>
      <c r="OT30" s="371"/>
      <c r="OU30" s="371"/>
      <c r="OV30" s="371"/>
      <c r="OW30" s="371"/>
      <c r="OX30" s="371"/>
      <c r="OY30" s="371"/>
      <c r="OZ30" s="371"/>
      <c r="PA30" s="371"/>
      <c r="PB30" s="371"/>
      <c r="PC30" s="371"/>
      <c r="PD30" s="371"/>
      <c r="PE30" s="382"/>
      <c r="PI30" s="371"/>
      <c r="PJ30" s="371"/>
      <c r="PK30" s="371"/>
      <c r="PL30" s="371"/>
      <c r="PM30" s="371"/>
      <c r="PN30" s="371"/>
      <c r="PO30" s="371"/>
      <c r="PP30" s="371"/>
      <c r="PQ30" s="371"/>
      <c r="PR30" s="371"/>
      <c r="PS30" s="371"/>
      <c r="PT30" s="371"/>
      <c r="PU30" s="371"/>
      <c r="PV30" s="371"/>
      <c r="PW30" s="371"/>
      <c r="PX30" s="371"/>
      <c r="PY30" s="371"/>
      <c r="PZ30" s="371"/>
      <c r="QA30" s="371"/>
      <c r="QB30" s="371"/>
      <c r="QC30" s="371"/>
      <c r="QD30" s="371"/>
      <c r="QE30" s="371"/>
      <c r="QF30" s="371"/>
      <c r="QG30" s="371"/>
      <c r="QH30" s="371"/>
      <c r="QI30" s="382"/>
      <c r="QM30" s="371"/>
      <c r="QN30" s="371"/>
      <c r="QO30" s="371"/>
      <c r="QP30" s="371"/>
      <c r="QQ30" s="371"/>
      <c r="QR30" s="371"/>
      <c r="QS30" s="371"/>
      <c r="QT30" s="371"/>
      <c r="QU30" s="371"/>
      <c r="QV30" s="371"/>
      <c r="QW30" s="371"/>
      <c r="QX30" s="371"/>
      <c r="QY30" s="371"/>
      <c r="QZ30" s="371"/>
      <c r="RA30" s="371"/>
      <c r="RB30" s="371"/>
      <c r="RC30" s="371"/>
      <c r="RD30" s="371"/>
      <c r="RE30" s="371"/>
      <c r="RF30" s="371"/>
      <c r="RG30" s="371"/>
      <c r="RH30" s="371"/>
      <c r="RI30" s="371"/>
      <c r="RJ30" s="371"/>
      <c r="RK30" s="371"/>
      <c r="RL30" s="371"/>
      <c r="RM30" s="382"/>
      <c r="RQ30" s="371"/>
      <c r="RR30" s="371"/>
      <c r="RS30" s="371"/>
      <c r="RT30" s="371"/>
      <c r="RU30" s="371"/>
      <c r="RV30" s="371"/>
      <c r="RW30" s="371"/>
      <c r="RX30" s="371"/>
      <c r="RY30" s="371"/>
      <c r="RZ30" s="371"/>
      <c r="SA30" s="371"/>
      <c r="SB30" s="371"/>
      <c r="SC30" s="371"/>
      <c r="SD30" s="371"/>
      <c r="SE30" s="371"/>
      <c r="SF30" s="371"/>
      <c r="SG30" s="371"/>
      <c r="SH30" s="371"/>
      <c r="SI30" s="371"/>
      <c r="SJ30" s="371"/>
      <c r="SK30" s="371"/>
      <c r="SL30" s="371"/>
      <c r="SM30" s="371"/>
      <c r="SN30" s="371"/>
      <c r="SO30" s="371"/>
      <c r="SP30" s="371"/>
      <c r="SQ30" s="382"/>
      <c r="SU30" s="371"/>
      <c r="SV30" s="371"/>
      <c r="SW30" s="371"/>
      <c r="SX30" s="371"/>
      <c r="SY30" s="371"/>
      <c r="SZ30" s="371"/>
      <c r="TA30" s="371"/>
      <c r="TB30" s="371"/>
      <c r="TC30" s="371"/>
      <c r="TD30" s="371"/>
      <c r="TE30" s="371"/>
      <c r="TF30" s="371"/>
      <c r="TG30" s="371"/>
      <c r="TH30" s="371"/>
      <c r="TI30" s="371"/>
      <c r="TJ30" s="371"/>
      <c r="TK30" s="371"/>
      <c r="TL30" s="371"/>
      <c r="TM30" s="371"/>
      <c r="TN30" s="371"/>
      <c r="TO30" s="371"/>
      <c r="TP30" s="371"/>
      <c r="TQ30" s="371"/>
      <c r="TR30" s="371"/>
      <c r="TS30" s="371"/>
      <c r="TT30" s="371"/>
      <c r="TU30" s="382"/>
      <c r="TY30" s="371"/>
      <c r="TZ30" s="371"/>
      <c r="UA30" s="371"/>
      <c r="UB30" s="371"/>
      <c r="UC30" s="371"/>
      <c r="UD30" s="371"/>
      <c r="UE30" s="371"/>
      <c r="UF30" s="371"/>
      <c r="UG30" s="371"/>
      <c r="UH30" s="371"/>
      <c r="UI30" s="371"/>
      <c r="UJ30" s="371"/>
      <c r="UK30" s="371"/>
      <c r="UL30" s="371"/>
      <c r="UM30" s="371"/>
      <c r="UN30" s="371"/>
      <c r="UO30" s="371"/>
      <c r="UP30" s="371"/>
      <c r="UQ30" s="371"/>
      <c r="UR30" s="371"/>
      <c r="US30" s="371"/>
      <c r="UT30" s="371"/>
      <c r="UU30" s="371"/>
      <c r="UV30" s="371"/>
      <c r="UW30" s="371"/>
      <c r="UX30" s="371"/>
      <c r="UY30" s="382"/>
      <c r="VC30" s="371"/>
      <c r="VD30" s="371"/>
      <c r="VE30" s="371"/>
      <c r="VF30" s="371"/>
      <c r="VG30" s="371"/>
      <c r="VH30" s="371"/>
      <c r="VI30" s="371"/>
      <c r="VJ30" s="371"/>
      <c r="VK30" s="371"/>
      <c r="VL30" s="371"/>
      <c r="VM30" s="371"/>
      <c r="VN30" s="371"/>
      <c r="VO30" s="371"/>
      <c r="VP30" s="371"/>
      <c r="VQ30" s="371"/>
      <c r="VR30" s="371"/>
      <c r="VS30" s="371"/>
      <c r="VT30" s="371"/>
      <c r="VU30" s="371"/>
      <c r="VV30" s="371"/>
      <c r="VW30" s="371"/>
      <c r="VX30" s="371"/>
      <c r="VY30" s="371"/>
      <c r="VZ30" s="371"/>
      <c r="WA30" s="371"/>
      <c r="WB30" s="371"/>
      <c r="WC30" s="382"/>
      <c r="WG30" s="371"/>
      <c r="WH30" s="371"/>
      <c r="WI30" s="371"/>
      <c r="WJ30" s="371"/>
      <c r="WK30" s="371"/>
      <c r="WL30" s="371"/>
      <c r="WM30" s="371"/>
      <c r="WN30" s="371"/>
      <c r="WO30" s="371"/>
      <c r="WP30" s="371"/>
      <c r="WQ30" s="371"/>
      <c r="WR30" s="371"/>
      <c r="WS30" s="371"/>
      <c r="WT30" s="371"/>
      <c r="WU30" s="371"/>
      <c r="WV30" s="371"/>
      <c r="WW30" s="371"/>
      <c r="WX30" s="371"/>
      <c r="WY30" s="371"/>
      <c r="WZ30" s="371"/>
      <c r="XA30" s="371"/>
      <c r="XB30" s="371"/>
      <c r="XC30" s="371"/>
      <c r="XD30" s="371"/>
      <c r="XE30" s="371"/>
      <c r="XF30" s="371"/>
      <c r="XG30" s="382"/>
      <c r="XK30" s="371"/>
      <c r="XL30" s="371"/>
      <c r="XM30" s="371"/>
      <c r="XN30" s="371"/>
      <c r="XO30" s="371"/>
      <c r="XP30" s="371"/>
      <c r="XQ30" s="371"/>
      <c r="XR30" s="371"/>
      <c r="XS30" s="371"/>
      <c r="XT30" s="371"/>
      <c r="XU30" s="371"/>
      <c r="XV30" s="371"/>
      <c r="XW30" s="371"/>
      <c r="XX30" s="371"/>
      <c r="XY30" s="371"/>
      <c r="XZ30" s="371"/>
      <c r="YA30" s="371"/>
      <c r="YB30" s="371"/>
      <c r="YC30" s="371"/>
      <c r="YD30" s="371"/>
      <c r="YE30" s="371"/>
      <c r="YF30" s="371"/>
      <c r="YG30" s="371"/>
      <c r="YH30" s="371"/>
      <c r="YI30" s="371"/>
      <c r="YJ30" s="371"/>
      <c r="YK30" s="382"/>
      <c r="YO30" s="371"/>
      <c r="YP30" s="371"/>
      <c r="YQ30" s="371"/>
      <c r="YR30" s="371"/>
      <c r="YS30" s="371"/>
      <c r="YT30" s="371"/>
      <c r="YU30" s="371"/>
      <c r="YV30" s="371"/>
      <c r="YW30" s="371"/>
      <c r="YX30" s="371"/>
      <c r="YY30" s="371"/>
      <c r="YZ30" s="371"/>
      <c r="ZA30" s="371"/>
      <c r="ZB30" s="371"/>
      <c r="ZC30" s="371"/>
      <c r="ZD30" s="371"/>
      <c r="ZE30" s="371"/>
      <c r="ZF30" s="371"/>
      <c r="ZG30" s="371"/>
      <c r="ZH30" s="371"/>
      <c r="ZI30" s="371"/>
      <c r="ZJ30" s="371"/>
      <c r="ZK30" s="371"/>
      <c r="ZL30" s="371"/>
      <c r="ZM30" s="371"/>
      <c r="ZN30" s="371"/>
      <c r="ZO30" s="382"/>
      <c r="ZS30" s="371"/>
      <c r="ZT30" s="371"/>
      <c r="ZU30" s="371"/>
      <c r="ZV30" s="371"/>
      <c r="ZW30" s="371"/>
      <c r="ZX30" s="371"/>
      <c r="ZY30" s="371"/>
      <c r="ZZ30" s="371"/>
      <c r="AAA30" s="371"/>
      <c r="AAB30" s="371"/>
      <c r="AAC30" s="371"/>
      <c r="AAD30" s="371"/>
      <c r="AAE30" s="371"/>
      <c r="AAF30" s="371"/>
      <c r="AAG30" s="371"/>
      <c r="AAH30" s="371"/>
      <c r="AAI30" s="371"/>
      <c r="AAJ30" s="371"/>
      <c r="AAK30" s="371"/>
      <c r="AAL30" s="371"/>
      <c r="AAM30" s="371"/>
      <c r="AAN30" s="371"/>
      <c r="AAO30" s="371"/>
      <c r="AAP30" s="371"/>
      <c r="AAQ30" s="371"/>
      <c r="AAR30" s="371"/>
      <c r="AAS30" s="382"/>
      <c r="AAW30" s="371"/>
      <c r="AAX30" s="371"/>
      <c r="AAY30" s="371"/>
      <c r="AAZ30" s="371"/>
      <c r="ABA30" s="371"/>
      <c r="ABB30" s="371"/>
      <c r="ABC30" s="371"/>
      <c r="ABD30" s="371"/>
      <c r="ABE30" s="371"/>
      <c r="ABF30" s="371"/>
      <c r="ABG30" s="371"/>
      <c r="ABH30" s="371"/>
      <c r="ABI30" s="371"/>
      <c r="ABJ30" s="371"/>
      <c r="ABK30" s="371"/>
      <c r="ABL30" s="371"/>
      <c r="ABM30" s="371"/>
      <c r="ABN30" s="371"/>
      <c r="ABO30" s="371"/>
      <c r="ABP30" s="371"/>
      <c r="ABQ30" s="371"/>
      <c r="ABR30" s="371"/>
      <c r="ABS30" s="371"/>
      <c r="ABT30" s="371"/>
      <c r="ABU30" s="371"/>
      <c r="ABV30" s="371"/>
      <c r="ABW30" s="382"/>
      <c r="ACA30" s="371"/>
      <c r="ACB30" s="371"/>
      <c r="ACC30" s="371"/>
      <c r="ACD30" s="371"/>
      <c r="ACE30" s="371"/>
      <c r="ACF30" s="371"/>
      <c r="ACG30" s="371"/>
      <c r="ACH30" s="371"/>
      <c r="ACI30" s="371"/>
      <c r="ACJ30" s="371"/>
      <c r="ACK30" s="371"/>
      <c r="ACL30" s="371"/>
      <c r="ACM30" s="371"/>
      <c r="ACN30" s="371"/>
      <c r="ACO30" s="371"/>
      <c r="ACP30" s="371"/>
      <c r="ACQ30" s="371"/>
      <c r="ACR30" s="371"/>
      <c r="ACS30" s="371"/>
      <c r="ACT30" s="371"/>
      <c r="ACU30" s="371"/>
      <c r="ACV30" s="371"/>
      <c r="ACW30" s="371"/>
      <c r="ACX30" s="371"/>
      <c r="ACY30" s="371"/>
      <c r="ACZ30" s="371"/>
      <c r="ADA30" s="382"/>
      <c r="ADE30" s="371"/>
      <c r="ADF30" s="371"/>
      <c r="ADG30" s="371"/>
      <c r="ADH30" s="371"/>
      <c r="ADI30" s="371"/>
      <c r="ADJ30" s="371"/>
      <c r="ADK30" s="371"/>
      <c r="ADL30" s="371"/>
      <c r="ADM30" s="371"/>
      <c r="ADN30" s="371"/>
      <c r="ADO30" s="371"/>
      <c r="ADP30" s="371"/>
      <c r="ADQ30" s="371"/>
      <c r="ADR30" s="371"/>
      <c r="ADS30" s="371"/>
      <c r="ADT30" s="371"/>
      <c r="ADU30" s="371"/>
      <c r="ADV30" s="371"/>
      <c r="ADW30" s="371"/>
      <c r="ADX30" s="371"/>
      <c r="ADY30" s="371"/>
      <c r="ADZ30" s="371"/>
      <c r="AEA30" s="371"/>
      <c r="AEB30" s="371"/>
      <c r="AEC30" s="371"/>
      <c r="AED30" s="371"/>
      <c r="AEE30" s="382"/>
      <c r="AEI30" s="371"/>
      <c r="AEJ30" s="371"/>
      <c r="AEK30" s="371"/>
      <c r="AEL30" s="371"/>
      <c r="AEM30" s="371"/>
      <c r="AEN30" s="371"/>
      <c r="AEO30" s="371"/>
      <c r="AEP30" s="371"/>
      <c r="AEQ30" s="371"/>
      <c r="AER30" s="371"/>
      <c r="AES30" s="371"/>
      <c r="AET30" s="371"/>
      <c r="AEU30" s="371"/>
      <c r="AEV30" s="371"/>
      <c r="AEW30" s="371"/>
      <c r="AEX30" s="371"/>
      <c r="AEY30" s="371"/>
      <c r="AEZ30" s="371"/>
      <c r="AFA30" s="371"/>
      <c r="AFB30" s="371"/>
      <c r="AFC30" s="371"/>
      <c r="AFD30" s="371"/>
      <c r="AFE30" s="371"/>
      <c r="AFF30" s="371"/>
      <c r="AFG30" s="371"/>
      <c r="AFH30" s="371"/>
      <c r="AFI30" s="382"/>
      <c r="AFM30" s="371"/>
      <c r="AFN30" s="371"/>
      <c r="AFO30" s="371"/>
      <c r="AFP30" s="371"/>
      <c r="AFQ30" s="371"/>
      <c r="AFR30" s="371"/>
      <c r="AFS30" s="371"/>
      <c r="AFT30" s="371"/>
      <c r="AFU30" s="371"/>
      <c r="AFV30" s="371"/>
      <c r="AFW30" s="371"/>
      <c r="AFX30" s="371"/>
      <c r="AFY30" s="371"/>
      <c r="AFZ30" s="371"/>
      <c r="AGA30" s="371"/>
      <c r="AGB30" s="371"/>
      <c r="AGC30" s="371"/>
      <c r="AGD30" s="371"/>
      <c r="AGE30" s="371"/>
      <c r="AGF30" s="371"/>
      <c r="AGG30" s="371"/>
      <c r="AGH30" s="371"/>
      <c r="AGI30" s="371"/>
      <c r="AGJ30" s="371"/>
      <c r="AGK30" s="371"/>
      <c r="AGL30" s="371"/>
      <c r="AGM30" s="382"/>
      <c r="AGQ30" s="371"/>
      <c r="AGR30" s="371"/>
      <c r="AGS30" s="371"/>
      <c r="AGT30" s="371"/>
      <c r="AGU30" s="371"/>
      <c r="AGV30" s="371"/>
      <c r="AGW30" s="371"/>
      <c r="AGX30" s="371"/>
      <c r="AGY30" s="371"/>
      <c r="AGZ30" s="371"/>
      <c r="AHA30" s="371"/>
      <c r="AHB30" s="371"/>
      <c r="AHC30" s="371"/>
      <c r="AHD30" s="371"/>
      <c r="AHE30" s="371"/>
      <c r="AHF30" s="371"/>
      <c r="AHG30" s="371"/>
      <c r="AHH30" s="371"/>
      <c r="AHI30" s="371"/>
      <c r="AHJ30" s="371"/>
      <c r="AHK30" s="371"/>
      <c r="AHL30" s="371"/>
      <c r="AHM30" s="371"/>
      <c r="AHN30" s="371"/>
      <c r="AHO30" s="371"/>
      <c r="AHP30" s="371"/>
      <c r="AHQ30" s="382"/>
      <c r="AHU30" s="371"/>
      <c r="AHV30" s="371"/>
      <c r="AHW30" s="371"/>
      <c r="AHX30" s="371"/>
      <c r="AHY30" s="371"/>
      <c r="AHZ30" s="371"/>
      <c r="AIA30" s="371"/>
      <c r="AIB30" s="371"/>
      <c r="AIC30" s="371"/>
      <c r="AID30" s="371"/>
      <c r="AIE30" s="371"/>
      <c r="AIF30" s="371"/>
      <c r="AIG30" s="371"/>
      <c r="AIH30" s="371"/>
      <c r="AII30" s="371"/>
      <c r="AIJ30" s="371"/>
      <c r="AIK30" s="371"/>
      <c r="AIL30" s="371"/>
      <c r="AIM30" s="371"/>
      <c r="AIN30" s="371"/>
      <c r="AIO30" s="371"/>
      <c r="AIP30" s="371"/>
      <c r="AIQ30" s="371"/>
      <c r="AIR30" s="371"/>
      <c r="AIS30" s="371"/>
      <c r="AIT30" s="371"/>
      <c r="AIU30" s="382"/>
      <c r="AIY30" s="371"/>
      <c r="AIZ30" s="371"/>
      <c r="AJA30" s="371"/>
      <c r="AJB30" s="371"/>
      <c r="AJC30" s="371"/>
      <c r="AJD30" s="371"/>
      <c r="AJE30" s="371"/>
      <c r="AJF30" s="371"/>
      <c r="AJG30" s="371"/>
      <c r="AJH30" s="371"/>
      <c r="AJI30" s="371"/>
      <c r="AJJ30" s="371"/>
      <c r="AJK30" s="371"/>
      <c r="AJL30" s="371"/>
      <c r="AJM30" s="371"/>
      <c r="AJN30" s="371"/>
      <c r="AJO30" s="371"/>
      <c r="AJP30" s="371"/>
      <c r="AJQ30" s="371"/>
      <c r="AJR30" s="371"/>
      <c r="AJS30" s="371"/>
      <c r="AJT30" s="371"/>
      <c r="AJU30" s="371"/>
      <c r="AJV30" s="371"/>
      <c r="AJW30" s="371"/>
      <c r="AJX30" s="371"/>
      <c r="AJY30" s="382"/>
      <c r="AKC30" s="371"/>
      <c r="AKD30" s="371"/>
      <c r="AKE30" s="371"/>
      <c r="AKF30" s="371"/>
      <c r="AKG30" s="371"/>
      <c r="AKH30" s="371"/>
      <c r="AKI30" s="371"/>
      <c r="AKJ30" s="371"/>
      <c r="AKK30" s="371"/>
      <c r="AKL30" s="371"/>
      <c r="AKM30" s="371"/>
      <c r="AKN30" s="371"/>
      <c r="AKO30" s="371"/>
      <c r="AKP30" s="371"/>
      <c r="AKQ30" s="371"/>
      <c r="AKR30" s="371"/>
      <c r="AKS30" s="371"/>
      <c r="AKT30" s="371"/>
      <c r="AKU30" s="371"/>
      <c r="AKV30" s="371"/>
      <c r="AKW30" s="371"/>
      <c r="AKX30" s="371"/>
      <c r="AKY30" s="371"/>
      <c r="AKZ30" s="371"/>
      <c r="ALA30" s="371"/>
      <c r="ALB30" s="371"/>
      <c r="ALC30" s="382"/>
      <c r="ALG30" s="371"/>
      <c r="ALH30" s="371"/>
      <c r="ALI30" s="371"/>
      <c r="ALJ30" s="371"/>
      <c r="ALK30" s="371"/>
      <c r="ALL30" s="371"/>
      <c r="ALM30" s="371"/>
      <c r="ALN30" s="371"/>
      <c r="ALO30" s="371"/>
      <c r="ALP30" s="371"/>
      <c r="ALQ30" s="371"/>
      <c r="ALR30" s="371"/>
      <c r="ALS30" s="371"/>
      <c r="ALT30" s="371"/>
      <c r="ALU30" s="371"/>
      <c r="ALV30" s="371"/>
      <c r="ALW30" s="371"/>
      <c r="ALX30" s="371"/>
      <c r="ALY30" s="371"/>
      <c r="ALZ30" s="371"/>
      <c r="AMA30" s="371"/>
      <c r="AMB30" s="371"/>
      <c r="AMC30" s="371"/>
      <c r="AMD30" s="371"/>
      <c r="AME30" s="371"/>
      <c r="AMF30" s="371"/>
      <c r="AMG30" s="382"/>
      <c r="AMK30" s="371"/>
      <c r="AML30" s="371"/>
      <c r="AMM30" s="371"/>
      <c r="AMN30" s="371"/>
      <c r="AMO30" s="371"/>
      <c r="AMP30" s="371"/>
      <c r="AMQ30" s="371"/>
      <c r="AMR30" s="371"/>
      <c r="AMS30" s="371"/>
      <c r="AMT30" s="371"/>
      <c r="AMU30" s="371"/>
      <c r="AMV30" s="371"/>
      <c r="AMW30" s="371"/>
      <c r="AMX30" s="371"/>
      <c r="AMY30" s="371"/>
      <c r="AMZ30" s="371"/>
      <c r="ANA30" s="371"/>
      <c r="ANB30" s="371"/>
      <c r="ANC30" s="371"/>
      <c r="AND30" s="371"/>
      <c r="ANE30" s="371"/>
      <c r="ANF30" s="371"/>
      <c r="ANG30" s="371"/>
      <c r="ANH30" s="371"/>
      <c r="ANI30" s="371"/>
      <c r="ANJ30" s="371"/>
      <c r="ANK30" s="382"/>
      <c r="ANO30" s="371"/>
      <c r="ANP30" s="371"/>
      <c r="ANQ30" s="371"/>
      <c r="ANR30" s="371"/>
      <c r="ANS30" s="371"/>
      <c r="ANT30" s="371"/>
      <c r="ANU30" s="371"/>
      <c r="ANV30" s="371"/>
      <c r="ANW30" s="371"/>
      <c r="ANX30" s="371"/>
      <c r="ANY30" s="371"/>
      <c r="ANZ30" s="371"/>
      <c r="AOA30" s="371"/>
      <c r="AOB30" s="371"/>
      <c r="AOC30" s="371"/>
      <c r="AOD30" s="371"/>
      <c r="AOE30" s="371"/>
      <c r="AOF30" s="371"/>
      <c r="AOG30" s="371"/>
      <c r="AOH30" s="371"/>
      <c r="AOI30" s="371"/>
      <c r="AOJ30" s="371"/>
      <c r="AOK30" s="371"/>
      <c r="AOL30" s="371"/>
      <c r="AOM30" s="371"/>
      <c r="AON30" s="371"/>
      <c r="AOO30" s="382"/>
      <c r="AOS30" s="371"/>
      <c r="AOT30" s="371"/>
      <c r="AOU30" s="371"/>
      <c r="AOV30" s="371"/>
      <c r="AOW30" s="371"/>
      <c r="AOX30" s="371"/>
      <c r="AOY30" s="371"/>
      <c r="AOZ30" s="371"/>
      <c r="APA30" s="371"/>
      <c r="APB30" s="371"/>
      <c r="APC30" s="371"/>
      <c r="APD30" s="371"/>
      <c r="APE30" s="371"/>
      <c r="APF30" s="371"/>
      <c r="APG30" s="371"/>
      <c r="APH30" s="371"/>
      <c r="API30" s="371"/>
      <c r="APJ30" s="371"/>
      <c r="APK30" s="371"/>
      <c r="APL30" s="371"/>
      <c r="APM30" s="371"/>
      <c r="APN30" s="371"/>
      <c r="APO30" s="371"/>
      <c r="APP30" s="371"/>
      <c r="APQ30" s="371"/>
      <c r="APR30" s="371"/>
      <c r="APS30" s="382"/>
      <c r="APW30" s="371"/>
      <c r="APX30" s="371"/>
      <c r="APY30" s="371"/>
      <c r="APZ30" s="371"/>
      <c r="AQA30" s="371"/>
      <c r="AQB30" s="371"/>
      <c r="AQC30" s="371"/>
      <c r="AQD30" s="371"/>
      <c r="AQE30" s="371"/>
      <c r="AQF30" s="371"/>
      <c r="AQG30" s="371"/>
      <c r="AQH30" s="371"/>
      <c r="AQI30" s="371"/>
      <c r="AQJ30" s="371"/>
      <c r="AQK30" s="371"/>
      <c r="AQL30" s="371"/>
      <c r="AQM30" s="371"/>
      <c r="AQN30" s="371"/>
      <c r="AQO30" s="371"/>
      <c r="AQP30" s="371"/>
      <c r="AQQ30" s="371"/>
      <c r="AQR30" s="371"/>
      <c r="AQS30" s="371"/>
      <c r="AQT30" s="371"/>
      <c r="AQU30" s="371"/>
      <c r="AQV30" s="371"/>
      <c r="AQW30" s="382"/>
      <c r="ARA30" s="371"/>
      <c r="ARB30" s="371"/>
      <c r="ARC30" s="371"/>
      <c r="ARD30" s="371"/>
      <c r="ARE30" s="371"/>
      <c r="ARF30" s="371"/>
      <c r="ARG30" s="371"/>
      <c r="ARH30" s="371"/>
      <c r="ARI30" s="371"/>
      <c r="ARJ30" s="371"/>
      <c r="ARK30" s="371"/>
      <c r="ARL30" s="371"/>
      <c r="ARM30" s="371"/>
      <c r="ARN30" s="371"/>
      <c r="ARO30" s="371"/>
      <c r="ARP30" s="371"/>
      <c r="ARQ30" s="371"/>
      <c r="ARR30" s="371"/>
      <c r="ARS30" s="371"/>
      <c r="ART30" s="371"/>
      <c r="ARU30" s="371"/>
      <c r="ARV30" s="371"/>
      <c r="ARW30" s="371"/>
      <c r="ARX30" s="371"/>
      <c r="ARY30" s="371"/>
      <c r="ARZ30" s="371"/>
      <c r="ASA30" s="382"/>
      <c r="ASE30" s="371"/>
      <c r="ASF30" s="371"/>
      <c r="ASG30" s="371"/>
      <c r="ASH30" s="371"/>
      <c r="ASI30" s="371"/>
      <c r="ASJ30" s="371"/>
      <c r="ASK30" s="371"/>
      <c r="ASL30" s="371"/>
      <c r="ASM30" s="371"/>
      <c r="ASN30" s="371"/>
      <c r="ASO30" s="371"/>
      <c r="ASP30" s="371"/>
      <c r="ASQ30" s="371"/>
      <c r="ASR30" s="371"/>
      <c r="ASS30" s="371"/>
      <c r="AST30" s="371"/>
      <c r="ASU30" s="371"/>
      <c r="ASV30" s="371"/>
      <c r="ASW30" s="371"/>
      <c r="ASX30" s="371"/>
      <c r="ASY30" s="371"/>
      <c r="ASZ30" s="371"/>
      <c r="ATA30" s="371"/>
      <c r="ATB30" s="371"/>
      <c r="ATC30" s="371"/>
      <c r="ATD30" s="371"/>
      <c r="ATE30" s="382"/>
      <c r="ATI30" s="371"/>
      <c r="ATJ30" s="371"/>
      <c r="ATK30" s="371"/>
      <c r="ATL30" s="371"/>
      <c r="ATM30" s="371"/>
      <c r="ATN30" s="371"/>
      <c r="ATO30" s="371"/>
      <c r="ATP30" s="371"/>
      <c r="ATQ30" s="371"/>
      <c r="ATR30" s="371"/>
      <c r="ATS30" s="371"/>
      <c r="ATT30" s="371"/>
      <c r="ATU30" s="371"/>
      <c r="ATV30" s="371"/>
      <c r="ATW30" s="371"/>
      <c r="ATX30" s="371"/>
      <c r="ATY30" s="371"/>
      <c r="ATZ30" s="371"/>
      <c r="AUA30" s="371"/>
      <c r="AUB30" s="371"/>
      <c r="AUC30" s="371"/>
      <c r="AUD30" s="371"/>
      <c r="AUE30" s="371"/>
      <c r="AUF30" s="371"/>
      <c r="AUG30" s="371"/>
      <c r="AUH30" s="371"/>
      <c r="AUI30" s="382"/>
      <c r="AUM30" s="371"/>
      <c r="AUN30" s="371"/>
      <c r="AUO30" s="371"/>
      <c r="AUP30" s="371"/>
      <c r="AUQ30" s="371"/>
      <c r="AUR30" s="371"/>
      <c r="AUS30" s="371"/>
      <c r="AUT30" s="371"/>
      <c r="AUU30" s="371"/>
      <c r="AUV30" s="371"/>
      <c r="AUW30" s="371"/>
      <c r="AUX30" s="371"/>
      <c r="AUY30" s="371"/>
      <c r="AUZ30" s="371"/>
      <c r="AVA30" s="371"/>
      <c r="AVB30" s="371"/>
      <c r="AVC30" s="371"/>
      <c r="AVD30" s="371"/>
      <c r="AVE30" s="371"/>
      <c r="AVF30" s="371"/>
      <c r="AVG30" s="371"/>
      <c r="AVH30" s="371"/>
      <c r="AVI30" s="371"/>
      <c r="AVJ30" s="371"/>
      <c r="AVK30" s="371"/>
      <c r="AVL30" s="371"/>
      <c r="AVM30" s="382"/>
      <c r="AVQ30" s="371"/>
      <c r="AVR30" s="371"/>
      <c r="AVS30" s="371"/>
      <c r="AVT30" s="371"/>
      <c r="AVU30" s="371"/>
      <c r="AVV30" s="371"/>
      <c r="AVW30" s="371"/>
      <c r="AVX30" s="371"/>
      <c r="AVY30" s="371"/>
      <c r="AVZ30" s="371"/>
      <c r="AWA30" s="371"/>
      <c r="AWB30" s="371"/>
      <c r="AWC30" s="371"/>
      <c r="AWD30" s="371"/>
      <c r="AWE30" s="371"/>
      <c r="AWF30" s="371"/>
      <c r="AWG30" s="371"/>
      <c r="AWH30" s="371"/>
      <c r="AWI30" s="371"/>
      <c r="AWJ30" s="371"/>
      <c r="AWK30" s="371"/>
      <c r="AWL30" s="371"/>
      <c r="AWM30" s="371"/>
      <c r="AWN30" s="371"/>
      <c r="AWO30" s="371"/>
      <c r="AWP30" s="371"/>
      <c r="AWQ30" s="382"/>
      <c r="AWU30" s="371"/>
      <c r="AWV30" s="371"/>
      <c r="AWW30" s="371"/>
      <c r="AWX30" s="371"/>
      <c r="AWY30" s="371"/>
      <c r="AWZ30" s="371"/>
      <c r="AXA30" s="371"/>
      <c r="AXB30" s="371"/>
      <c r="AXC30" s="371"/>
      <c r="AXD30" s="371"/>
      <c r="AXE30" s="371"/>
      <c r="AXF30" s="371"/>
      <c r="AXG30" s="371"/>
      <c r="AXH30" s="371"/>
      <c r="AXI30" s="371"/>
      <c r="AXJ30" s="371"/>
      <c r="AXK30" s="371"/>
      <c r="AXL30" s="371"/>
      <c r="AXM30" s="371"/>
      <c r="AXN30" s="371"/>
      <c r="AXO30" s="371"/>
      <c r="AXP30" s="371"/>
      <c r="AXQ30" s="371"/>
      <c r="AXR30" s="371"/>
      <c r="AXS30" s="371"/>
      <c r="AXT30" s="371"/>
      <c r="AXU30" s="382"/>
      <c r="AXY30" s="371"/>
      <c r="AXZ30" s="371"/>
      <c r="AYA30" s="371"/>
      <c r="AYB30" s="371"/>
      <c r="AYC30" s="371"/>
      <c r="AYD30" s="371"/>
      <c r="AYE30" s="371"/>
      <c r="AYF30" s="371"/>
      <c r="AYG30" s="371"/>
      <c r="AYH30" s="371"/>
      <c r="AYI30" s="371"/>
      <c r="AYJ30" s="371"/>
      <c r="AYK30" s="371"/>
      <c r="AYL30" s="371"/>
      <c r="AYM30" s="371"/>
      <c r="AYN30" s="371"/>
      <c r="AYO30" s="371"/>
      <c r="AYP30" s="371"/>
      <c r="AYQ30" s="371"/>
      <c r="AYR30" s="371"/>
      <c r="AYS30" s="371"/>
      <c r="AYT30" s="371"/>
      <c r="AYU30" s="371"/>
      <c r="AYV30" s="371"/>
      <c r="AYW30" s="371"/>
      <c r="AYX30" s="371"/>
      <c r="AYY30" s="382"/>
      <c r="AZC30" s="371"/>
      <c r="AZD30" s="371"/>
      <c r="AZE30" s="371"/>
      <c r="AZF30" s="371"/>
      <c r="AZG30" s="371"/>
      <c r="AZH30" s="371"/>
      <c r="AZI30" s="371"/>
      <c r="AZJ30" s="371"/>
      <c r="AZK30" s="371"/>
      <c r="AZL30" s="371"/>
      <c r="AZM30" s="371"/>
      <c r="AZN30" s="371"/>
      <c r="AZO30" s="371"/>
      <c r="AZP30" s="371"/>
      <c r="AZQ30" s="371"/>
      <c r="AZR30" s="371"/>
      <c r="AZS30" s="371"/>
      <c r="AZT30" s="371"/>
      <c r="AZU30" s="371"/>
      <c r="AZV30" s="371"/>
      <c r="AZW30" s="371"/>
      <c r="AZX30" s="371"/>
      <c r="AZY30" s="371"/>
      <c r="AZZ30" s="371"/>
      <c r="BAA30" s="371"/>
      <c r="BAB30" s="371"/>
      <c r="BAC30" s="382"/>
      <c r="BAG30" s="371"/>
      <c r="BAH30" s="371"/>
      <c r="BAI30" s="371"/>
      <c r="BAJ30" s="371"/>
      <c r="BAK30" s="371"/>
      <c r="BAL30" s="371"/>
      <c r="BAM30" s="371"/>
      <c r="BAN30" s="371"/>
      <c r="BAO30" s="371"/>
      <c r="BAP30" s="371"/>
      <c r="BAQ30" s="371"/>
      <c r="BAR30" s="371"/>
      <c r="BAS30" s="371"/>
      <c r="BAT30" s="371"/>
      <c r="BAU30" s="371"/>
      <c r="BAV30" s="371"/>
      <c r="BAW30" s="371"/>
      <c r="BAX30" s="371"/>
      <c r="BAY30" s="371"/>
      <c r="BAZ30" s="371"/>
      <c r="BBA30" s="371"/>
      <c r="BBB30" s="371"/>
      <c r="BBC30" s="371"/>
      <c r="BBD30" s="371"/>
      <c r="BBE30" s="371"/>
      <c r="BBF30" s="371"/>
      <c r="BBG30" s="382"/>
      <c r="BBK30" s="371"/>
      <c r="BBL30" s="371"/>
      <c r="BBM30" s="371"/>
      <c r="BBN30" s="371"/>
      <c r="BBO30" s="371"/>
      <c r="BBP30" s="371"/>
      <c r="BBQ30" s="371"/>
      <c r="BBR30" s="371"/>
      <c r="BBS30" s="371"/>
      <c r="BBT30" s="371"/>
      <c r="BBU30" s="371"/>
      <c r="BBV30" s="371"/>
      <c r="BBW30" s="371"/>
      <c r="BBX30" s="371"/>
      <c r="BBY30" s="371"/>
      <c r="BBZ30" s="371"/>
      <c r="BCA30" s="371"/>
      <c r="BCB30" s="371"/>
      <c r="BCC30" s="371"/>
      <c r="BCD30" s="371"/>
      <c r="BCE30" s="371"/>
      <c r="BCF30" s="371"/>
      <c r="BCG30" s="371"/>
      <c r="BCH30" s="371"/>
      <c r="BCI30" s="371"/>
      <c r="BCJ30" s="371"/>
      <c r="BCK30" s="382"/>
      <c r="BCO30" s="371"/>
      <c r="BCP30" s="371"/>
      <c r="BCQ30" s="371"/>
      <c r="BCR30" s="371"/>
      <c r="BCS30" s="371"/>
      <c r="BCT30" s="371"/>
      <c r="BCU30" s="371"/>
      <c r="BCV30" s="371"/>
      <c r="BCW30" s="371"/>
      <c r="BCX30" s="371"/>
      <c r="BCY30" s="371"/>
      <c r="BCZ30" s="371"/>
      <c r="BDA30" s="371"/>
      <c r="BDB30" s="371"/>
      <c r="BDC30" s="371"/>
      <c r="BDD30" s="371"/>
      <c r="BDE30" s="371"/>
      <c r="BDF30" s="371"/>
      <c r="BDG30" s="371"/>
      <c r="BDH30" s="371"/>
      <c r="BDI30" s="371"/>
      <c r="BDJ30" s="371"/>
      <c r="BDK30" s="371"/>
      <c r="BDL30" s="371"/>
      <c r="BDM30" s="371"/>
      <c r="BDN30" s="371"/>
      <c r="BDO30" s="382"/>
      <c r="BDS30" s="371"/>
      <c r="BDT30" s="371"/>
      <c r="BDU30" s="371"/>
      <c r="BDV30" s="371"/>
      <c r="BDW30" s="371"/>
      <c r="BDX30" s="371"/>
      <c r="BDY30" s="371"/>
      <c r="BDZ30" s="371"/>
      <c r="BEA30" s="371"/>
      <c r="BEB30" s="371"/>
      <c r="BEC30" s="371"/>
      <c r="BED30" s="371"/>
      <c r="BEE30" s="371"/>
      <c r="BEF30" s="371"/>
      <c r="BEG30" s="371"/>
      <c r="BEH30" s="371"/>
      <c r="BEI30" s="371"/>
      <c r="BEJ30" s="371"/>
      <c r="BEK30" s="371"/>
      <c r="BEL30" s="371"/>
      <c r="BEM30" s="371"/>
      <c r="BEN30" s="371"/>
      <c r="BEO30" s="371"/>
      <c r="BEP30" s="371"/>
      <c r="BEQ30" s="371"/>
      <c r="BER30" s="371"/>
      <c r="BES30" s="382"/>
      <c r="BEW30" s="371"/>
      <c r="BEX30" s="371"/>
      <c r="BEY30" s="371"/>
      <c r="BEZ30" s="371"/>
      <c r="BFA30" s="371"/>
      <c r="BFB30" s="371"/>
      <c r="BFC30" s="371"/>
      <c r="BFD30" s="371"/>
      <c r="BFE30" s="371"/>
      <c r="BFF30" s="371"/>
      <c r="BFG30" s="371"/>
      <c r="BFH30" s="371"/>
      <c r="BFI30" s="371"/>
      <c r="BFJ30" s="371"/>
      <c r="BFK30" s="371"/>
      <c r="BFL30" s="371"/>
      <c r="BFM30" s="371"/>
      <c r="BFN30" s="371"/>
      <c r="BFO30" s="371"/>
      <c r="BFP30" s="371"/>
      <c r="BFQ30" s="371"/>
      <c r="BFR30" s="371"/>
      <c r="BFS30" s="371"/>
      <c r="BFT30" s="371"/>
      <c r="BFU30" s="371"/>
      <c r="BFV30" s="371"/>
      <c r="BFW30" s="382"/>
      <c r="BGA30" s="371"/>
      <c r="BGB30" s="371"/>
      <c r="BGC30" s="371"/>
      <c r="BGD30" s="371"/>
      <c r="BGE30" s="371"/>
      <c r="BGF30" s="371"/>
      <c r="BGG30" s="371"/>
      <c r="BGH30" s="371"/>
      <c r="BGI30" s="371"/>
      <c r="BGJ30" s="371"/>
      <c r="BGK30" s="371"/>
      <c r="BGL30" s="371"/>
      <c r="BGM30" s="371"/>
      <c r="BGN30" s="371"/>
      <c r="BGO30" s="371"/>
      <c r="BGP30" s="371"/>
      <c r="BGQ30" s="371"/>
      <c r="BGR30" s="371"/>
      <c r="BGS30" s="371"/>
      <c r="BGT30" s="371"/>
      <c r="BGU30" s="371"/>
      <c r="BGV30" s="371"/>
      <c r="BGW30" s="371"/>
      <c r="BGX30" s="371"/>
      <c r="BGY30" s="371"/>
      <c r="BGZ30" s="371"/>
      <c r="BHA30" s="382"/>
      <c r="BHE30" s="371"/>
      <c r="BHF30" s="371"/>
      <c r="BHG30" s="371"/>
      <c r="BHH30" s="371"/>
      <c r="BHI30" s="371"/>
      <c r="BHJ30" s="371"/>
      <c r="BHK30" s="371"/>
      <c r="BHL30" s="371"/>
      <c r="BHM30" s="371"/>
      <c r="BHN30" s="371"/>
      <c r="BHO30" s="371"/>
      <c r="BHP30" s="371"/>
      <c r="BHQ30" s="371"/>
      <c r="BHR30" s="371"/>
      <c r="BHS30" s="371"/>
      <c r="BHT30" s="371"/>
      <c r="BHU30" s="371"/>
      <c r="BHV30" s="371"/>
      <c r="BHW30" s="371"/>
      <c r="BHX30" s="371"/>
      <c r="BHY30" s="371"/>
      <c r="BHZ30" s="371"/>
      <c r="BIA30" s="371"/>
      <c r="BIB30" s="371"/>
      <c r="BIC30" s="371"/>
      <c r="BID30" s="371"/>
      <c r="BIE30" s="382"/>
      <c r="BII30" s="371"/>
      <c r="BIJ30" s="371"/>
      <c r="BIK30" s="371"/>
      <c r="BIL30" s="371"/>
      <c r="BIM30" s="371"/>
      <c r="BIN30" s="371"/>
      <c r="BIO30" s="371"/>
      <c r="BIP30" s="371"/>
      <c r="BIQ30" s="371"/>
      <c r="BIR30" s="371"/>
      <c r="BIS30" s="371"/>
      <c r="BIT30" s="371"/>
      <c r="BIU30" s="371"/>
      <c r="BIV30" s="371"/>
      <c r="BIW30" s="371"/>
      <c r="BIX30" s="371"/>
      <c r="BIY30" s="371"/>
      <c r="BIZ30" s="371"/>
      <c r="BJA30" s="371"/>
      <c r="BJB30" s="371"/>
      <c r="BJC30" s="371"/>
      <c r="BJD30" s="371"/>
      <c r="BJE30" s="371"/>
      <c r="BJF30" s="371"/>
      <c r="BJG30" s="371"/>
      <c r="BJH30" s="371"/>
      <c r="BJI30" s="382"/>
      <c r="BJM30" s="371"/>
      <c r="BJN30" s="371"/>
      <c r="BJO30" s="371"/>
      <c r="BJP30" s="371"/>
      <c r="BJQ30" s="371"/>
      <c r="BJR30" s="371"/>
      <c r="BJS30" s="371"/>
      <c r="BJT30" s="371"/>
      <c r="BJU30" s="371"/>
      <c r="BJV30" s="371"/>
      <c r="BJW30" s="371"/>
      <c r="BJX30" s="371"/>
      <c r="BJY30" s="371"/>
      <c r="BJZ30" s="371"/>
      <c r="BKA30" s="371"/>
      <c r="BKB30" s="371"/>
      <c r="BKC30" s="371"/>
      <c r="BKD30" s="371"/>
      <c r="BKE30" s="371"/>
      <c r="BKF30" s="371"/>
      <c r="BKG30" s="371"/>
      <c r="BKH30" s="371"/>
      <c r="BKI30" s="371"/>
      <c r="BKJ30" s="371"/>
      <c r="BKK30" s="371"/>
      <c r="BKL30" s="371"/>
      <c r="BKM30" s="382"/>
      <c r="BKQ30" s="371"/>
      <c r="BKR30" s="371"/>
      <c r="BKS30" s="371"/>
      <c r="BKT30" s="371"/>
      <c r="BKU30" s="371"/>
      <c r="BKV30" s="371"/>
      <c r="BKW30" s="371"/>
      <c r="BKX30" s="371"/>
      <c r="BKY30" s="371"/>
      <c r="BKZ30" s="371"/>
      <c r="BLA30" s="371"/>
      <c r="BLB30" s="371"/>
      <c r="BLC30" s="371"/>
      <c r="BLD30" s="371"/>
      <c r="BLE30" s="371"/>
      <c r="BLF30" s="371"/>
      <c r="BLG30" s="371"/>
      <c r="BLH30" s="371"/>
      <c r="BLI30" s="371"/>
      <c r="BLJ30" s="371"/>
      <c r="BLK30" s="371"/>
      <c r="BLL30" s="371"/>
      <c r="BLM30" s="371"/>
      <c r="BLN30" s="371"/>
      <c r="BLO30" s="371"/>
      <c r="BLP30" s="371"/>
      <c r="BLQ30" s="382"/>
      <c r="BLU30" s="371"/>
      <c r="BLV30" s="371"/>
      <c r="BLW30" s="371"/>
      <c r="BLX30" s="371"/>
      <c r="BLY30" s="371"/>
      <c r="BLZ30" s="371"/>
      <c r="BMA30" s="371"/>
      <c r="BMB30" s="371"/>
      <c r="BMC30" s="371"/>
      <c r="BMD30" s="371"/>
      <c r="BME30" s="371"/>
      <c r="BMF30" s="371"/>
      <c r="BMG30" s="371"/>
      <c r="BMH30" s="371"/>
      <c r="BMI30" s="371"/>
      <c r="BMJ30" s="371"/>
      <c r="BMK30" s="371"/>
      <c r="BML30" s="371"/>
      <c r="BMM30" s="371"/>
      <c r="BMN30" s="371"/>
      <c r="BMO30" s="371"/>
      <c r="BMP30" s="371"/>
      <c r="BMQ30" s="371"/>
      <c r="BMR30" s="371"/>
      <c r="BMS30" s="371"/>
      <c r="BMT30" s="371"/>
      <c r="BMU30" s="382"/>
      <c r="BMY30" s="371"/>
      <c r="BMZ30" s="371"/>
      <c r="BNA30" s="371"/>
      <c r="BNB30" s="371"/>
      <c r="BNC30" s="371"/>
      <c r="BND30" s="371"/>
      <c r="BNE30" s="371"/>
      <c r="BNF30" s="371"/>
      <c r="BNG30" s="371"/>
      <c r="BNH30" s="371"/>
      <c r="BNI30" s="371"/>
      <c r="BNJ30" s="371"/>
      <c r="BNK30" s="371"/>
      <c r="BNL30" s="371"/>
      <c r="BNM30" s="371"/>
      <c r="BNN30" s="371"/>
      <c r="BNO30" s="371"/>
      <c r="BNP30" s="371"/>
      <c r="BNQ30" s="371"/>
      <c r="BNR30" s="371"/>
      <c r="BNS30" s="371"/>
      <c r="BNT30" s="371"/>
      <c r="BNU30" s="371"/>
      <c r="BNV30" s="371"/>
      <c r="BNW30" s="371"/>
      <c r="BNX30" s="371"/>
      <c r="BNY30" s="382"/>
      <c r="BOC30" s="371"/>
      <c r="BOD30" s="371"/>
      <c r="BOE30" s="371"/>
      <c r="BOF30" s="371"/>
      <c r="BOG30" s="371"/>
      <c r="BOH30" s="371"/>
      <c r="BOI30" s="371"/>
      <c r="BOJ30" s="371"/>
      <c r="BOK30" s="371"/>
      <c r="BOL30" s="371"/>
      <c r="BOM30" s="371"/>
      <c r="BON30" s="371"/>
      <c r="BOO30" s="371"/>
      <c r="BOP30" s="371"/>
      <c r="BOQ30" s="371"/>
      <c r="BOR30" s="371"/>
      <c r="BOS30" s="371"/>
      <c r="BOT30" s="371"/>
      <c r="BOU30" s="371"/>
      <c r="BOV30" s="371"/>
      <c r="BOW30" s="371"/>
      <c r="BOX30" s="371"/>
      <c r="BOY30" s="371"/>
      <c r="BOZ30" s="371"/>
      <c r="BPA30" s="371"/>
      <c r="BPB30" s="371"/>
      <c r="BPC30" s="382"/>
      <c r="BPG30" s="371"/>
      <c r="BPH30" s="371"/>
      <c r="BPI30" s="371"/>
      <c r="BPJ30" s="371"/>
      <c r="BPK30" s="371"/>
      <c r="BPL30" s="371"/>
      <c r="BPM30" s="371"/>
      <c r="BPN30" s="371"/>
      <c r="BPO30" s="371"/>
      <c r="BPP30" s="371"/>
      <c r="BPQ30" s="371"/>
      <c r="BPR30" s="371"/>
      <c r="BPS30" s="371"/>
      <c r="BPT30" s="371"/>
      <c r="BPU30" s="371"/>
      <c r="BPV30" s="371"/>
      <c r="BPW30" s="371"/>
      <c r="BPX30" s="371"/>
      <c r="BPY30" s="371"/>
      <c r="BPZ30" s="371"/>
      <c r="BQA30" s="371"/>
      <c r="BQB30" s="371"/>
      <c r="BQC30" s="371"/>
      <c r="BQD30" s="371"/>
      <c r="BQE30" s="371"/>
      <c r="BQF30" s="371"/>
      <c r="BQG30" s="382"/>
      <c r="BQK30" s="371"/>
      <c r="BQL30" s="371"/>
      <c r="BQM30" s="371"/>
      <c r="BQN30" s="371"/>
      <c r="BQO30" s="371"/>
      <c r="BQP30" s="371"/>
      <c r="BQQ30" s="371"/>
      <c r="BQR30" s="371"/>
      <c r="BQS30" s="371"/>
      <c r="BQT30" s="371"/>
      <c r="BQU30" s="371"/>
      <c r="BQV30" s="371"/>
      <c r="BQW30" s="371"/>
      <c r="BQX30" s="371"/>
      <c r="BQY30" s="371"/>
      <c r="BQZ30" s="371"/>
      <c r="BRA30" s="371"/>
      <c r="BRB30" s="371"/>
      <c r="BRC30" s="371"/>
      <c r="BRD30" s="371"/>
      <c r="BRE30" s="371"/>
      <c r="BRF30" s="371"/>
      <c r="BRG30" s="371"/>
      <c r="BRH30" s="371"/>
      <c r="BRI30" s="371"/>
      <c r="BRJ30" s="371"/>
      <c r="BRK30" s="382"/>
      <c r="BRO30" s="371"/>
      <c r="BRP30" s="371"/>
      <c r="BRQ30" s="371"/>
      <c r="BRR30" s="371"/>
      <c r="BRS30" s="371"/>
      <c r="BRT30" s="371"/>
      <c r="BRU30" s="371"/>
      <c r="BRV30" s="371"/>
      <c r="BRW30" s="371"/>
      <c r="BRX30" s="371"/>
      <c r="BRY30" s="371"/>
      <c r="BRZ30" s="371"/>
      <c r="BSA30" s="371"/>
      <c r="BSB30" s="371"/>
      <c r="BSC30" s="371"/>
      <c r="BSD30" s="371"/>
      <c r="BSE30" s="371"/>
      <c r="BSF30" s="371"/>
      <c r="BSG30" s="371"/>
      <c r="BSH30" s="371"/>
      <c r="BSI30" s="371"/>
      <c r="BSJ30" s="371"/>
      <c r="BSK30" s="371"/>
      <c r="BSL30" s="371"/>
      <c r="BSM30" s="371"/>
      <c r="BSN30" s="371"/>
      <c r="BSO30" s="382"/>
      <c r="BSS30" s="371"/>
      <c r="BST30" s="371"/>
      <c r="BSU30" s="371"/>
      <c r="BSV30" s="371"/>
      <c r="BSW30" s="371"/>
      <c r="BSX30" s="371"/>
      <c r="BSY30" s="371"/>
      <c r="BSZ30" s="371"/>
      <c r="BTA30" s="371"/>
      <c r="BTB30" s="371"/>
      <c r="BTC30" s="371"/>
      <c r="BTD30" s="371"/>
      <c r="BTE30" s="371"/>
      <c r="BTF30" s="371"/>
      <c r="BTG30" s="371"/>
      <c r="BTH30" s="371"/>
      <c r="BTI30" s="371"/>
      <c r="BTJ30" s="371"/>
      <c r="BTK30" s="371"/>
      <c r="BTL30" s="371"/>
      <c r="BTM30" s="371"/>
      <c r="BTN30" s="371"/>
      <c r="BTO30" s="371"/>
      <c r="BTP30" s="371"/>
      <c r="BTQ30" s="371"/>
      <c r="BTR30" s="371"/>
      <c r="BTS30" s="382"/>
      <c r="BTW30" s="371"/>
      <c r="BTX30" s="371"/>
      <c r="BTY30" s="371"/>
      <c r="BTZ30" s="371"/>
      <c r="BUA30" s="371"/>
      <c r="BUB30" s="371"/>
      <c r="BUC30" s="371"/>
      <c r="BUD30" s="371"/>
      <c r="BUE30" s="371"/>
      <c r="BUF30" s="371"/>
      <c r="BUG30" s="371"/>
      <c r="BUH30" s="371"/>
      <c r="BUI30" s="371"/>
      <c r="BUJ30" s="371"/>
      <c r="BUK30" s="371"/>
      <c r="BUL30" s="371"/>
      <c r="BUM30" s="371"/>
      <c r="BUN30" s="371"/>
      <c r="BUO30" s="371"/>
      <c r="BUP30" s="371"/>
      <c r="BUQ30" s="371"/>
      <c r="BUR30" s="371"/>
      <c r="BUS30" s="371"/>
      <c r="BUT30" s="371"/>
      <c r="BUU30" s="371"/>
      <c r="BUV30" s="371"/>
      <c r="BUW30" s="382"/>
      <c r="BVA30" s="371"/>
      <c r="BVB30" s="371"/>
      <c r="BVC30" s="371"/>
      <c r="BVD30" s="371"/>
      <c r="BVE30" s="371"/>
      <c r="BVF30" s="371"/>
      <c r="BVG30" s="371"/>
      <c r="BVH30" s="371"/>
      <c r="BVI30" s="371"/>
      <c r="BVJ30" s="371"/>
      <c r="BVK30" s="371"/>
      <c r="BVL30" s="371"/>
      <c r="BVM30" s="371"/>
      <c r="BVN30" s="371"/>
      <c r="BVO30" s="371"/>
      <c r="BVP30" s="371"/>
      <c r="BVQ30" s="371"/>
      <c r="BVR30" s="371"/>
      <c r="BVS30" s="371"/>
      <c r="BVT30" s="371"/>
      <c r="BVU30" s="371"/>
      <c r="BVV30" s="371"/>
      <c r="BVW30" s="371"/>
      <c r="BVX30" s="371"/>
      <c r="BVY30" s="371"/>
      <c r="BVZ30" s="371"/>
      <c r="BWA30" s="382"/>
      <c r="BWE30" s="371"/>
      <c r="BWF30" s="371"/>
      <c r="BWG30" s="371"/>
      <c r="BWH30" s="371"/>
      <c r="BWI30" s="371"/>
      <c r="BWJ30" s="371"/>
      <c r="BWK30" s="371"/>
      <c r="BWL30" s="371"/>
      <c r="BWM30" s="371"/>
      <c r="BWN30" s="371"/>
      <c r="BWO30" s="371"/>
      <c r="BWP30" s="371"/>
      <c r="BWQ30" s="371"/>
      <c r="BWR30" s="371"/>
      <c r="BWS30" s="371"/>
      <c r="BWT30" s="371"/>
      <c r="BWU30" s="371"/>
      <c r="BWV30" s="371"/>
      <c r="BWW30" s="371"/>
      <c r="BWX30" s="371"/>
      <c r="BWY30" s="371"/>
      <c r="BWZ30" s="371"/>
      <c r="BXA30" s="371"/>
      <c r="BXB30" s="371"/>
      <c r="BXC30" s="371"/>
      <c r="BXD30" s="371"/>
      <c r="BXE30" s="382"/>
      <c r="BXI30" s="371"/>
      <c r="BXJ30" s="371"/>
      <c r="BXK30" s="371"/>
      <c r="BXL30" s="371"/>
      <c r="BXM30" s="371"/>
      <c r="BXN30" s="371"/>
      <c r="BXO30" s="371"/>
      <c r="BXP30" s="371"/>
      <c r="BXQ30" s="371"/>
      <c r="BXR30" s="371"/>
      <c r="BXS30" s="371"/>
      <c r="BXT30" s="371"/>
      <c r="BXU30" s="371"/>
      <c r="BXV30" s="371"/>
      <c r="BXW30" s="371"/>
      <c r="BXX30" s="371"/>
      <c r="BXY30" s="371"/>
      <c r="BXZ30" s="371"/>
      <c r="BYA30" s="371"/>
      <c r="BYB30" s="371"/>
      <c r="BYC30" s="371"/>
      <c r="BYD30" s="371"/>
      <c r="BYE30" s="371"/>
      <c r="BYF30" s="371"/>
      <c r="BYG30" s="371"/>
      <c r="BYH30" s="371"/>
      <c r="BYI30" s="382"/>
      <c r="BYM30" s="371"/>
      <c r="BYN30" s="371"/>
      <c r="BYO30" s="371"/>
      <c r="BYP30" s="371"/>
      <c r="BYQ30" s="371"/>
      <c r="BYR30" s="371"/>
      <c r="BYS30" s="371"/>
      <c r="BYT30" s="371"/>
      <c r="BYU30" s="371"/>
      <c r="BYV30" s="371"/>
      <c r="BYW30" s="371"/>
      <c r="BYX30" s="371"/>
      <c r="BYY30" s="371"/>
      <c r="BYZ30" s="371"/>
      <c r="BZA30" s="371"/>
      <c r="BZB30" s="371"/>
      <c r="BZC30" s="371"/>
      <c r="BZD30" s="371"/>
      <c r="BZE30" s="371"/>
      <c r="BZF30" s="371"/>
      <c r="BZG30" s="371"/>
      <c r="BZH30" s="371"/>
      <c r="BZI30" s="371"/>
      <c r="BZJ30" s="371"/>
      <c r="BZK30" s="371"/>
      <c r="BZL30" s="371"/>
      <c r="BZM30" s="382"/>
      <c r="BZQ30" s="371"/>
      <c r="BZR30" s="371"/>
      <c r="BZS30" s="371"/>
      <c r="BZT30" s="371"/>
      <c r="BZU30" s="371"/>
      <c r="BZV30" s="371"/>
      <c r="BZW30" s="371"/>
      <c r="BZX30" s="371"/>
      <c r="BZY30" s="371"/>
      <c r="BZZ30" s="371"/>
      <c r="CAA30" s="371"/>
      <c r="CAB30" s="371"/>
      <c r="CAC30" s="371"/>
      <c r="CAD30" s="371"/>
      <c r="CAE30" s="371"/>
      <c r="CAF30" s="371"/>
      <c r="CAG30" s="371"/>
      <c r="CAH30" s="371"/>
      <c r="CAI30" s="371"/>
      <c r="CAJ30" s="371"/>
      <c r="CAK30" s="371"/>
      <c r="CAL30" s="371"/>
      <c r="CAM30" s="371"/>
      <c r="CAN30" s="371"/>
      <c r="CAO30" s="371"/>
      <c r="CAP30" s="371"/>
      <c r="CAQ30" s="382"/>
      <c r="CAU30" s="371"/>
      <c r="CAV30" s="371"/>
      <c r="CAW30" s="371"/>
      <c r="CAX30" s="371"/>
      <c r="CAY30" s="371"/>
      <c r="CAZ30" s="371"/>
      <c r="CBA30" s="371"/>
      <c r="CBB30" s="371"/>
      <c r="CBC30" s="371"/>
      <c r="CBD30" s="371"/>
      <c r="CBE30" s="371"/>
      <c r="CBF30" s="371"/>
      <c r="CBG30" s="371"/>
      <c r="CBH30" s="371"/>
      <c r="CBI30" s="371"/>
      <c r="CBJ30" s="371"/>
      <c r="CBK30" s="371"/>
      <c r="CBL30" s="371"/>
      <c r="CBM30" s="371"/>
      <c r="CBN30" s="371"/>
      <c r="CBO30" s="371"/>
      <c r="CBP30" s="371"/>
      <c r="CBQ30" s="371"/>
      <c r="CBR30" s="371"/>
      <c r="CBS30" s="371"/>
      <c r="CBT30" s="371"/>
      <c r="CBU30" s="382"/>
      <c r="CBY30" s="371"/>
      <c r="CBZ30" s="371"/>
      <c r="CCA30" s="371"/>
      <c r="CCB30" s="371"/>
      <c r="CCC30" s="371"/>
      <c r="CCD30" s="371"/>
      <c r="CCE30" s="371"/>
      <c r="CCF30" s="371"/>
      <c r="CCG30" s="371"/>
      <c r="CCH30" s="371"/>
      <c r="CCI30" s="371"/>
      <c r="CCJ30" s="371"/>
      <c r="CCK30" s="371"/>
      <c r="CCL30" s="371"/>
      <c r="CCM30" s="371"/>
      <c r="CCN30" s="371"/>
      <c r="CCO30" s="371"/>
      <c r="CCP30" s="371"/>
      <c r="CCQ30" s="371"/>
      <c r="CCR30" s="371"/>
      <c r="CCS30" s="371"/>
      <c r="CCT30" s="371"/>
      <c r="CCU30" s="371"/>
      <c r="CCV30" s="371"/>
      <c r="CCW30" s="371"/>
      <c r="CCX30" s="371"/>
      <c r="CCY30" s="382"/>
      <c r="CDC30" s="371"/>
      <c r="CDD30" s="371"/>
      <c r="CDE30" s="371"/>
      <c r="CDF30" s="371"/>
      <c r="CDG30" s="371"/>
      <c r="CDH30" s="371"/>
      <c r="CDI30" s="371"/>
      <c r="CDJ30" s="371"/>
      <c r="CDK30" s="371"/>
      <c r="CDL30" s="371"/>
      <c r="CDM30" s="371"/>
      <c r="CDN30" s="371"/>
      <c r="CDO30" s="371"/>
      <c r="CDP30" s="371"/>
      <c r="CDQ30" s="371"/>
      <c r="CDR30" s="371"/>
      <c r="CDS30" s="371"/>
      <c r="CDT30" s="371"/>
      <c r="CDU30" s="371"/>
      <c r="CDV30" s="371"/>
      <c r="CDW30" s="371"/>
      <c r="CDX30" s="371"/>
      <c r="CDY30" s="371"/>
      <c r="CDZ30" s="371"/>
      <c r="CEA30" s="371"/>
      <c r="CEB30" s="371"/>
      <c r="CEC30" s="382"/>
      <c r="CEG30" s="371"/>
      <c r="CEH30" s="371"/>
      <c r="CEI30" s="371"/>
      <c r="CEJ30" s="371"/>
      <c r="CEK30" s="371"/>
      <c r="CEL30" s="371"/>
      <c r="CEM30" s="371"/>
      <c r="CEN30" s="371"/>
      <c r="CEO30" s="371"/>
      <c r="CEP30" s="371"/>
      <c r="CEQ30" s="371"/>
      <c r="CER30" s="371"/>
      <c r="CES30" s="371"/>
      <c r="CET30" s="371"/>
      <c r="CEU30" s="371"/>
      <c r="CEV30" s="371"/>
      <c r="CEW30" s="371"/>
      <c r="CEX30" s="371"/>
      <c r="CEY30" s="371"/>
      <c r="CEZ30" s="371"/>
      <c r="CFA30" s="371"/>
      <c r="CFB30" s="371"/>
      <c r="CFC30" s="371"/>
      <c r="CFD30" s="371"/>
      <c r="CFE30" s="371"/>
      <c r="CFF30" s="371"/>
      <c r="CFG30" s="382"/>
      <c r="CFK30" s="371"/>
      <c r="CFL30" s="371"/>
      <c r="CFM30" s="371"/>
      <c r="CFN30" s="371"/>
      <c r="CFO30" s="371"/>
      <c r="CFP30" s="371"/>
      <c r="CFQ30" s="371"/>
      <c r="CFR30" s="371"/>
      <c r="CFS30" s="371"/>
      <c r="CFT30" s="371"/>
      <c r="CFU30" s="371"/>
      <c r="CFV30" s="371"/>
      <c r="CFW30" s="371"/>
      <c r="CFX30" s="371"/>
      <c r="CFY30" s="371"/>
      <c r="CFZ30" s="371"/>
      <c r="CGA30" s="371"/>
      <c r="CGB30" s="371"/>
      <c r="CGC30" s="371"/>
      <c r="CGD30" s="371"/>
      <c r="CGE30" s="371"/>
      <c r="CGF30" s="371"/>
      <c r="CGG30" s="371"/>
      <c r="CGH30" s="371"/>
      <c r="CGI30" s="371"/>
      <c r="CGJ30" s="371"/>
      <c r="CGK30" s="382"/>
      <c r="CGO30" s="371"/>
      <c r="CGP30" s="371"/>
      <c r="CGQ30" s="371"/>
      <c r="CGR30" s="371"/>
      <c r="CGS30" s="371"/>
      <c r="CGT30" s="371"/>
      <c r="CGU30" s="371"/>
      <c r="CGV30" s="371"/>
      <c r="CGW30" s="371"/>
      <c r="CGX30" s="371"/>
      <c r="CGY30" s="371"/>
      <c r="CGZ30" s="371"/>
      <c r="CHA30" s="371"/>
      <c r="CHB30" s="371"/>
      <c r="CHC30" s="371"/>
      <c r="CHD30" s="371"/>
      <c r="CHE30" s="371"/>
      <c r="CHF30" s="371"/>
      <c r="CHG30" s="371"/>
      <c r="CHH30" s="371"/>
      <c r="CHI30" s="371"/>
      <c r="CHJ30" s="371"/>
      <c r="CHK30" s="371"/>
      <c r="CHL30" s="371"/>
      <c r="CHM30" s="371"/>
      <c r="CHN30" s="371"/>
      <c r="CHO30" s="382"/>
      <c r="CHS30" s="371"/>
      <c r="CHT30" s="371"/>
      <c r="CHU30" s="371"/>
      <c r="CHV30" s="371"/>
      <c r="CHW30" s="371"/>
      <c r="CHX30" s="371"/>
      <c r="CHY30" s="371"/>
      <c r="CHZ30" s="371"/>
      <c r="CIA30" s="371"/>
      <c r="CIB30" s="371"/>
      <c r="CIC30" s="371"/>
      <c r="CID30" s="371"/>
      <c r="CIE30" s="371"/>
      <c r="CIF30" s="371"/>
      <c r="CIG30" s="371"/>
      <c r="CIH30" s="371"/>
      <c r="CII30" s="371"/>
      <c r="CIJ30" s="371"/>
      <c r="CIK30" s="371"/>
      <c r="CIL30" s="371"/>
      <c r="CIM30" s="371"/>
      <c r="CIN30" s="371"/>
      <c r="CIO30" s="371"/>
      <c r="CIP30" s="371"/>
      <c r="CIQ30" s="371"/>
      <c r="CIR30" s="371"/>
      <c r="CIS30" s="382"/>
      <c r="CIW30" s="371"/>
      <c r="CIX30" s="371"/>
      <c r="CIY30" s="371"/>
      <c r="CIZ30" s="371"/>
      <c r="CJA30" s="371"/>
      <c r="CJB30" s="371"/>
      <c r="CJC30" s="371"/>
      <c r="CJD30" s="371"/>
      <c r="CJE30" s="371"/>
      <c r="CJF30" s="371"/>
      <c r="CJG30" s="371"/>
      <c r="CJH30" s="371"/>
      <c r="CJI30" s="371"/>
      <c r="CJJ30" s="371"/>
      <c r="CJK30" s="371"/>
      <c r="CJL30" s="371"/>
      <c r="CJM30" s="371"/>
      <c r="CJN30" s="371"/>
      <c r="CJO30" s="371"/>
      <c r="CJP30" s="371"/>
      <c r="CJQ30" s="371"/>
      <c r="CJR30" s="371"/>
      <c r="CJS30" s="371"/>
      <c r="CJT30" s="371"/>
      <c r="CJU30" s="371"/>
      <c r="CJV30" s="371"/>
      <c r="CJW30" s="382"/>
      <c r="CKA30" s="371"/>
      <c r="CKB30" s="371"/>
      <c r="CKC30" s="371"/>
      <c r="CKD30" s="371"/>
      <c r="CKE30" s="371"/>
      <c r="CKF30" s="371"/>
      <c r="CKG30" s="371"/>
      <c r="CKH30" s="371"/>
      <c r="CKI30" s="371"/>
      <c r="CKJ30" s="371"/>
      <c r="CKK30" s="371"/>
      <c r="CKL30" s="371"/>
      <c r="CKM30" s="371"/>
      <c r="CKN30" s="371"/>
      <c r="CKO30" s="371"/>
      <c r="CKP30" s="371"/>
      <c r="CKQ30" s="371"/>
      <c r="CKR30" s="371"/>
      <c r="CKS30" s="371"/>
      <c r="CKT30" s="371"/>
      <c r="CKU30" s="371"/>
      <c r="CKV30" s="371"/>
      <c r="CKW30" s="371"/>
      <c r="CKX30" s="371"/>
      <c r="CKY30" s="371"/>
      <c r="CKZ30" s="371"/>
      <c r="CLA30" s="382"/>
      <c r="CLE30" s="371"/>
      <c r="CLF30" s="371"/>
      <c r="CLG30" s="371"/>
      <c r="CLH30" s="371"/>
      <c r="CLI30" s="371"/>
      <c r="CLJ30" s="371"/>
      <c r="CLK30" s="371"/>
      <c r="CLL30" s="371"/>
      <c r="CLM30" s="371"/>
      <c r="CLN30" s="371"/>
      <c r="CLO30" s="371"/>
      <c r="CLP30" s="371"/>
      <c r="CLQ30" s="371"/>
      <c r="CLR30" s="371"/>
      <c r="CLS30" s="371"/>
      <c r="CLT30" s="371"/>
      <c r="CLU30" s="371"/>
      <c r="CLV30" s="371"/>
      <c r="CLW30" s="371"/>
      <c r="CLX30" s="371"/>
      <c r="CLY30" s="371"/>
      <c r="CLZ30" s="371"/>
      <c r="CMA30" s="371"/>
      <c r="CMB30" s="371"/>
      <c r="CMC30" s="371"/>
      <c r="CMD30" s="371"/>
      <c r="CME30" s="382"/>
      <c r="CMI30" s="371"/>
      <c r="CMJ30" s="371"/>
      <c r="CMK30" s="371"/>
      <c r="CML30" s="371"/>
      <c r="CMM30" s="371"/>
      <c r="CMN30" s="371"/>
      <c r="CMO30" s="371"/>
      <c r="CMP30" s="371"/>
      <c r="CMQ30" s="371"/>
      <c r="CMR30" s="371"/>
      <c r="CMS30" s="371"/>
      <c r="CMT30" s="371"/>
      <c r="CMU30" s="371"/>
      <c r="CMV30" s="371"/>
      <c r="CMW30" s="371"/>
      <c r="CMX30" s="371"/>
      <c r="CMY30" s="371"/>
      <c r="CMZ30" s="371"/>
      <c r="CNA30" s="371"/>
      <c r="CNB30" s="371"/>
      <c r="CNC30" s="371"/>
      <c r="CND30" s="371"/>
      <c r="CNE30" s="371"/>
      <c r="CNF30" s="371"/>
      <c r="CNG30" s="371"/>
      <c r="CNH30" s="371"/>
      <c r="CNI30" s="382"/>
      <c r="CNM30" s="371"/>
      <c r="CNN30" s="371"/>
      <c r="CNO30" s="371"/>
      <c r="CNP30" s="371"/>
      <c r="CNQ30" s="371"/>
      <c r="CNR30" s="371"/>
      <c r="CNS30" s="371"/>
      <c r="CNT30" s="371"/>
      <c r="CNU30" s="371"/>
      <c r="CNV30" s="371"/>
      <c r="CNW30" s="371"/>
      <c r="CNX30" s="371"/>
      <c r="CNY30" s="371"/>
      <c r="CNZ30" s="371"/>
      <c r="COA30" s="371"/>
      <c r="COB30" s="371"/>
      <c r="COC30" s="371"/>
      <c r="COD30" s="371"/>
      <c r="COE30" s="371"/>
      <c r="COF30" s="371"/>
      <c r="COG30" s="371"/>
      <c r="COH30" s="371"/>
      <c r="COI30" s="371"/>
      <c r="COJ30" s="371"/>
      <c r="COK30" s="371"/>
      <c r="COL30" s="371"/>
      <c r="COM30" s="382"/>
      <c r="COQ30" s="371"/>
      <c r="COR30" s="371"/>
      <c r="COS30" s="371"/>
      <c r="COT30" s="371"/>
      <c r="COU30" s="371"/>
      <c r="COV30" s="371"/>
      <c r="COW30" s="371"/>
      <c r="COX30" s="371"/>
      <c r="COY30" s="371"/>
      <c r="COZ30" s="371"/>
      <c r="CPA30" s="371"/>
      <c r="CPB30" s="371"/>
      <c r="CPC30" s="371"/>
      <c r="CPD30" s="371"/>
      <c r="CPE30" s="371"/>
      <c r="CPF30" s="371"/>
      <c r="CPG30" s="371"/>
      <c r="CPH30" s="371"/>
      <c r="CPI30" s="371"/>
      <c r="CPJ30" s="371"/>
      <c r="CPK30" s="371"/>
      <c r="CPL30" s="371"/>
      <c r="CPM30" s="371"/>
      <c r="CPN30" s="371"/>
      <c r="CPO30" s="371"/>
      <c r="CPP30" s="371"/>
      <c r="CPQ30" s="382"/>
      <c r="CPU30" s="371"/>
      <c r="CPV30" s="371"/>
      <c r="CPW30" s="371"/>
      <c r="CPX30" s="371"/>
      <c r="CPY30" s="371"/>
      <c r="CPZ30" s="371"/>
      <c r="CQA30" s="371"/>
      <c r="CQB30" s="371"/>
      <c r="CQC30" s="371"/>
      <c r="CQD30" s="371"/>
      <c r="CQE30" s="371"/>
      <c r="CQF30" s="371"/>
      <c r="CQG30" s="371"/>
      <c r="CQH30" s="371"/>
      <c r="CQI30" s="371"/>
      <c r="CQJ30" s="371"/>
      <c r="CQK30" s="371"/>
      <c r="CQL30" s="371"/>
      <c r="CQM30" s="371"/>
      <c r="CQN30" s="371"/>
      <c r="CQO30" s="371"/>
      <c r="CQP30" s="371"/>
      <c r="CQQ30" s="371"/>
      <c r="CQR30" s="371"/>
      <c r="CQS30" s="371"/>
      <c r="CQT30" s="371"/>
      <c r="CQU30" s="382"/>
      <c r="CQY30" s="371"/>
      <c r="CQZ30" s="371"/>
      <c r="CRA30" s="371"/>
      <c r="CRB30" s="371"/>
      <c r="CRC30" s="371"/>
      <c r="CRD30" s="371"/>
      <c r="CRE30" s="371"/>
      <c r="CRF30" s="371"/>
      <c r="CRG30" s="371"/>
      <c r="CRH30" s="371"/>
      <c r="CRI30" s="371"/>
      <c r="CRJ30" s="371"/>
      <c r="CRK30" s="371"/>
      <c r="CRL30" s="371"/>
      <c r="CRM30" s="371"/>
      <c r="CRN30" s="371"/>
      <c r="CRO30" s="371"/>
      <c r="CRP30" s="371"/>
      <c r="CRQ30" s="371"/>
      <c r="CRR30" s="371"/>
      <c r="CRS30" s="371"/>
      <c r="CRT30" s="371"/>
      <c r="CRU30" s="371"/>
      <c r="CRV30" s="371"/>
      <c r="CRW30" s="371"/>
      <c r="CRX30" s="371"/>
      <c r="CRY30" s="382"/>
      <c r="CSC30" s="371"/>
      <c r="CSD30" s="371"/>
      <c r="CSE30" s="371"/>
      <c r="CSF30" s="371"/>
      <c r="CSG30" s="371"/>
      <c r="CSH30" s="371"/>
      <c r="CSI30" s="371"/>
      <c r="CSJ30" s="371"/>
      <c r="CSK30" s="371"/>
      <c r="CSL30" s="371"/>
      <c r="CSM30" s="371"/>
      <c r="CSN30" s="371"/>
      <c r="CSO30" s="371"/>
      <c r="CSP30" s="371"/>
      <c r="CSQ30" s="371"/>
      <c r="CSR30" s="371"/>
      <c r="CSS30" s="371"/>
      <c r="CST30" s="371"/>
      <c r="CSU30" s="371"/>
      <c r="CSV30" s="371"/>
      <c r="CSW30" s="371"/>
      <c r="CSX30" s="371"/>
      <c r="CSY30" s="371"/>
      <c r="CSZ30" s="371"/>
      <c r="CTA30" s="371"/>
      <c r="CTB30" s="371"/>
      <c r="CTC30" s="382"/>
      <c r="CTG30" s="371"/>
      <c r="CTH30" s="371"/>
      <c r="CTI30" s="371"/>
      <c r="CTJ30" s="371"/>
      <c r="CTK30" s="371"/>
      <c r="CTL30" s="371"/>
      <c r="CTM30" s="371"/>
      <c r="CTN30" s="371"/>
      <c r="CTO30" s="371"/>
      <c r="CTP30" s="371"/>
      <c r="CTQ30" s="371"/>
      <c r="CTR30" s="371"/>
      <c r="CTS30" s="371"/>
      <c r="CTT30" s="371"/>
      <c r="CTU30" s="371"/>
      <c r="CTV30" s="371"/>
      <c r="CTW30" s="371"/>
      <c r="CTX30" s="371"/>
      <c r="CTY30" s="371"/>
      <c r="CTZ30" s="371"/>
      <c r="CUA30" s="371"/>
      <c r="CUB30" s="371"/>
      <c r="CUC30" s="371"/>
      <c r="CUD30" s="371"/>
      <c r="CUE30" s="371"/>
      <c r="CUF30" s="371"/>
      <c r="CUG30" s="382"/>
      <c r="CUK30" s="371"/>
      <c r="CUL30" s="371"/>
      <c r="CUM30" s="371"/>
      <c r="CUN30" s="371"/>
      <c r="CUO30" s="371"/>
      <c r="CUP30" s="371"/>
      <c r="CUQ30" s="371"/>
      <c r="CUR30" s="371"/>
      <c r="CUS30" s="371"/>
      <c r="CUT30" s="371"/>
      <c r="CUU30" s="371"/>
      <c r="CUV30" s="371"/>
      <c r="CUW30" s="371"/>
      <c r="CUX30" s="371"/>
      <c r="CUY30" s="371"/>
      <c r="CUZ30" s="371"/>
      <c r="CVA30" s="371"/>
      <c r="CVB30" s="371"/>
      <c r="CVC30" s="371"/>
      <c r="CVD30" s="371"/>
      <c r="CVE30" s="371"/>
      <c r="CVF30" s="371"/>
      <c r="CVG30" s="371"/>
      <c r="CVH30" s="371"/>
      <c r="CVI30" s="371"/>
      <c r="CVJ30" s="371"/>
      <c r="CVK30" s="382"/>
      <c r="CVO30" s="371"/>
      <c r="CVP30" s="371"/>
      <c r="CVQ30" s="371"/>
      <c r="CVR30" s="371"/>
      <c r="CVS30" s="371"/>
      <c r="CVT30" s="371"/>
      <c r="CVU30" s="371"/>
      <c r="CVV30" s="371"/>
      <c r="CVW30" s="371"/>
      <c r="CVX30" s="371"/>
      <c r="CVY30" s="371"/>
      <c r="CVZ30" s="371"/>
      <c r="CWA30" s="371"/>
      <c r="CWB30" s="371"/>
      <c r="CWC30" s="371"/>
      <c r="CWD30" s="371"/>
      <c r="CWE30" s="371"/>
      <c r="CWF30" s="371"/>
      <c r="CWG30" s="371"/>
      <c r="CWH30" s="371"/>
      <c r="CWI30" s="371"/>
      <c r="CWJ30" s="371"/>
      <c r="CWK30" s="371"/>
      <c r="CWL30" s="371"/>
      <c r="CWM30" s="371"/>
      <c r="CWN30" s="371"/>
      <c r="CWO30" s="382"/>
      <c r="CWS30" s="371"/>
      <c r="CWT30" s="371"/>
      <c r="CWU30" s="371"/>
      <c r="CWV30" s="371"/>
      <c r="CWW30" s="371"/>
      <c r="CWX30" s="371"/>
      <c r="CWY30" s="371"/>
      <c r="CWZ30" s="371"/>
      <c r="CXA30" s="371"/>
      <c r="CXB30" s="371"/>
      <c r="CXC30" s="371"/>
      <c r="CXD30" s="371"/>
      <c r="CXE30" s="371"/>
      <c r="CXF30" s="371"/>
      <c r="CXG30" s="371"/>
      <c r="CXH30" s="371"/>
      <c r="CXI30" s="371"/>
      <c r="CXJ30" s="371"/>
      <c r="CXK30" s="371"/>
      <c r="CXL30" s="371"/>
      <c r="CXM30" s="371"/>
      <c r="CXN30" s="371"/>
      <c r="CXO30" s="371"/>
      <c r="CXP30" s="371"/>
      <c r="CXQ30" s="371"/>
      <c r="CXR30" s="371"/>
      <c r="CXS30" s="382"/>
      <c r="CXW30" s="371"/>
      <c r="CXX30" s="371"/>
      <c r="CXY30" s="371"/>
      <c r="CXZ30" s="371"/>
      <c r="CYA30" s="371"/>
      <c r="CYB30" s="371"/>
      <c r="CYC30" s="371"/>
      <c r="CYD30" s="371"/>
      <c r="CYE30" s="371"/>
      <c r="CYF30" s="371"/>
      <c r="CYG30" s="371"/>
      <c r="CYH30" s="371"/>
      <c r="CYI30" s="371"/>
      <c r="CYJ30" s="371"/>
      <c r="CYK30" s="371"/>
      <c r="CYL30" s="371"/>
      <c r="CYM30" s="371"/>
      <c r="CYN30" s="371"/>
      <c r="CYO30" s="371"/>
      <c r="CYP30" s="371"/>
      <c r="CYQ30" s="371"/>
      <c r="CYR30" s="371"/>
      <c r="CYS30" s="371"/>
      <c r="CYT30" s="371"/>
      <c r="CYU30" s="371"/>
      <c r="CYV30" s="371"/>
      <c r="CYW30" s="382"/>
      <c r="CZA30" s="371"/>
      <c r="CZB30" s="371"/>
      <c r="CZC30" s="371"/>
      <c r="CZD30" s="371"/>
      <c r="CZE30" s="371"/>
      <c r="CZF30" s="371"/>
      <c r="CZG30" s="371"/>
      <c r="CZH30" s="371"/>
      <c r="CZI30" s="371"/>
      <c r="CZJ30" s="371"/>
      <c r="CZK30" s="371"/>
      <c r="CZL30" s="371"/>
      <c r="CZM30" s="371"/>
      <c r="CZN30" s="371"/>
      <c r="CZO30" s="371"/>
      <c r="CZP30" s="371"/>
      <c r="CZQ30" s="371"/>
      <c r="CZR30" s="371"/>
      <c r="CZS30" s="371"/>
      <c r="CZT30" s="371"/>
      <c r="CZU30" s="371"/>
      <c r="CZV30" s="371"/>
      <c r="CZW30" s="371"/>
      <c r="CZX30" s="371"/>
      <c r="CZY30" s="371"/>
      <c r="CZZ30" s="371"/>
      <c r="DAA30" s="382"/>
      <c r="DAE30" s="371"/>
      <c r="DAF30" s="371"/>
      <c r="DAG30" s="371"/>
      <c r="DAH30" s="371"/>
      <c r="DAI30" s="371"/>
      <c r="DAJ30" s="371"/>
      <c r="DAK30" s="371"/>
      <c r="DAL30" s="371"/>
      <c r="DAM30" s="371"/>
      <c r="DAN30" s="371"/>
      <c r="DAO30" s="371"/>
      <c r="DAP30" s="371"/>
      <c r="DAQ30" s="371"/>
      <c r="DAR30" s="371"/>
      <c r="DAS30" s="371"/>
      <c r="DAT30" s="371"/>
      <c r="DAU30" s="371"/>
      <c r="DAV30" s="371"/>
      <c r="DAW30" s="371"/>
      <c r="DAX30" s="371"/>
      <c r="DAY30" s="371"/>
      <c r="DAZ30" s="371"/>
      <c r="DBA30" s="371"/>
      <c r="DBB30" s="371"/>
      <c r="DBC30" s="371"/>
      <c r="DBD30" s="371"/>
      <c r="DBE30" s="382"/>
      <c r="DBI30" s="371"/>
      <c r="DBJ30" s="371"/>
      <c r="DBK30" s="371"/>
      <c r="DBL30" s="371"/>
      <c r="DBM30" s="371"/>
      <c r="DBN30" s="371"/>
      <c r="DBO30" s="371"/>
      <c r="DBP30" s="371"/>
      <c r="DBQ30" s="371"/>
      <c r="DBR30" s="371"/>
      <c r="DBS30" s="371"/>
      <c r="DBT30" s="371"/>
      <c r="DBU30" s="371"/>
      <c r="DBV30" s="371"/>
      <c r="DBW30" s="371"/>
      <c r="DBX30" s="371"/>
      <c r="DBY30" s="371"/>
      <c r="DBZ30" s="371"/>
      <c r="DCA30" s="371"/>
      <c r="DCB30" s="371"/>
      <c r="DCC30" s="371"/>
      <c r="DCD30" s="371"/>
      <c r="DCE30" s="371"/>
      <c r="DCF30" s="371"/>
      <c r="DCG30" s="371"/>
      <c r="DCH30" s="371"/>
      <c r="DCI30" s="382"/>
      <c r="DCM30" s="371"/>
      <c r="DCN30" s="371"/>
      <c r="DCO30" s="371"/>
      <c r="DCP30" s="371"/>
      <c r="DCQ30" s="371"/>
      <c r="DCR30" s="371"/>
      <c r="DCS30" s="371"/>
      <c r="DCT30" s="371"/>
      <c r="DCU30" s="371"/>
      <c r="DCV30" s="371"/>
      <c r="DCW30" s="371"/>
      <c r="DCX30" s="371"/>
      <c r="DCY30" s="371"/>
      <c r="DCZ30" s="371"/>
      <c r="DDA30" s="371"/>
      <c r="DDB30" s="371"/>
      <c r="DDC30" s="371"/>
      <c r="DDD30" s="371"/>
      <c r="DDE30" s="371"/>
      <c r="DDF30" s="371"/>
      <c r="DDG30" s="371"/>
      <c r="DDH30" s="371"/>
      <c r="DDI30" s="371"/>
      <c r="DDJ30" s="371"/>
      <c r="DDK30" s="371"/>
      <c r="DDL30" s="371"/>
      <c r="DDM30" s="382"/>
      <c r="DDQ30" s="371"/>
      <c r="DDR30" s="371"/>
      <c r="DDS30" s="371"/>
      <c r="DDT30" s="371"/>
      <c r="DDU30" s="371"/>
      <c r="DDV30" s="371"/>
      <c r="DDW30" s="371"/>
      <c r="DDX30" s="371"/>
      <c r="DDY30" s="371"/>
      <c r="DDZ30" s="371"/>
      <c r="DEA30" s="371"/>
      <c r="DEB30" s="371"/>
      <c r="DEC30" s="371"/>
      <c r="DED30" s="371"/>
      <c r="DEE30" s="371"/>
      <c r="DEF30" s="371"/>
      <c r="DEG30" s="371"/>
      <c r="DEH30" s="371"/>
      <c r="DEI30" s="371"/>
      <c r="DEJ30" s="371"/>
      <c r="DEK30" s="371"/>
      <c r="DEL30" s="371"/>
      <c r="DEM30" s="371"/>
      <c r="DEN30" s="371"/>
      <c r="DEO30" s="371"/>
      <c r="DEP30" s="371"/>
      <c r="DEQ30" s="382"/>
      <c r="DEU30" s="371"/>
      <c r="DEV30" s="371"/>
      <c r="DEW30" s="371"/>
      <c r="DEX30" s="371"/>
      <c r="DEY30" s="371"/>
      <c r="DEZ30" s="371"/>
      <c r="DFA30" s="371"/>
      <c r="DFB30" s="371"/>
      <c r="DFC30" s="371"/>
      <c r="DFD30" s="371"/>
      <c r="DFE30" s="371"/>
      <c r="DFF30" s="371"/>
      <c r="DFG30" s="371"/>
      <c r="DFH30" s="371"/>
      <c r="DFI30" s="371"/>
      <c r="DFJ30" s="371"/>
      <c r="DFK30" s="371"/>
      <c r="DFL30" s="371"/>
      <c r="DFM30" s="371"/>
      <c r="DFN30" s="371"/>
      <c r="DFO30" s="371"/>
      <c r="DFP30" s="371"/>
      <c r="DFQ30" s="371"/>
      <c r="DFR30" s="371"/>
      <c r="DFS30" s="371"/>
      <c r="DFT30" s="371"/>
      <c r="DFU30" s="382"/>
      <c r="DFY30" s="371"/>
      <c r="DFZ30" s="371"/>
      <c r="DGA30" s="371"/>
      <c r="DGB30" s="371"/>
      <c r="DGC30" s="371"/>
      <c r="DGD30" s="371"/>
      <c r="DGE30" s="371"/>
      <c r="DGF30" s="371"/>
      <c r="DGG30" s="371"/>
      <c r="DGH30" s="371"/>
      <c r="DGI30" s="371"/>
      <c r="DGJ30" s="371"/>
      <c r="DGK30" s="371"/>
      <c r="DGL30" s="371"/>
      <c r="DGM30" s="371"/>
      <c r="DGN30" s="371"/>
      <c r="DGO30" s="371"/>
      <c r="DGP30" s="371"/>
      <c r="DGQ30" s="371"/>
      <c r="DGR30" s="371"/>
      <c r="DGS30" s="371"/>
      <c r="DGT30" s="371"/>
      <c r="DGU30" s="371"/>
      <c r="DGV30" s="371"/>
      <c r="DGW30" s="371"/>
      <c r="DGX30" s="371"/>
      <c r="DGY30" s="382"/>
      <c r="DHC30" s="371"/>
      <c r="DHD30" s="371"/>
      <c r="DHE30" s="371"/>
      <c r="DHF30" s="371"/>
      <c r="DHG30" s="371"/>
      <c r="DHH30" s="371"/>
      <c r="DHI30" s="371"/>
      <c r="DHJ30" s="371"/>
      <c r="DHK30" s="371"/>
      <c r="DHL30" s="371"/>
      <c r="DHM30" s="371"/>
      <c r="DHN30" s="371"/>
      <c r="DHO30" s="371"/>
      <c r="DHP30" s="371"/>
      <c r="DHQ30" s="371"/>
      <c r="DHR30" s="371"/>
      <c r="DHS30" s="371"/>
      <c r="DHT30" s="371"/>
      <c r="DHU30" s="371"/>
      <c r="DHV30" s="371"/>
      <c r="DHW30" s="371"/>
      <c r="DHX30" s="371"/>
      <c r="DHY30" s="371"/>
      <c r="DHZ30" s="371"/>
      <c r="DIA30" s="371"/>
      <c r="DIB30" s="371"/>
      <c r="DIC30" s="382"/>
      <c r="DIG30" s="371"/>
      <c r="DIH30" s="371"/>
      <c r="DII30" s="371"/>
      <c r="DIJ30" s="371"/>
      <c r="DIK30" s="371"/>
      <c r="DIL30" s="371"/>
      <c r="DIM30" s="371"/>
      <c r="DIN30" s="371"/>
      <c r="DIO30" s="371"/>
      <c r="DIP30" s="371"/>
      <c r="DIQ30" s="371"/>
      <c r="DIR30" s="371"/>
      <c r="DIS30" s="371"/>
      <c r="DIT30" s="371"/>
      <c r="DIU30" s="371"/>
      <c r="DIV30" s="371"/>
      <c r="DIW30" s="371"/>
      <c r="DIX30" s="371"/>
      <c r="DIY30" s="371"/>
      <c r="DIZ30" s="371"/>
      <c r="DJA30" s="371"/>
      <c r="DJB30" s="371"/>
      <c r="DJC30" s="371"/>
      <c r="DJD30" s="371"/>
      <c r="DJE30" s="371"/>
      <c r="DJF30" s="371"/>
      <c r="DJG30" s="382"/>
      <c r="DJK30" s="371"/>
      <c r="DJL30" s="371"/>
      <c r="DJM30" s="371"/>
      <c r="DJN30" s="371"/>
      <c r="DJO30" s="371"/>
      <c r="DJP30" s="371"/>
      <c r="DJQ30" s="371"/>
      <c r="DJR30" s="371"/>
      <c r="DJS30" s="371"/>
      <c r="DJT30" s="371"/>
      <c r="DJU30" s="371"/>
      <c r="DJV30" s="371"/>
      <c r="DJW30" s="371"/>
      <c r="DJX30" s="371"/>
      <c r="DJY30" s="371"/>
      <c r="DJZ30" s="371"/>
      <c r="DKA30" s="371"/>
      <c r="DKB30" s="371"/>
      <c r="DKC30" s="371"/>
      <c r="DKD30" s="371"/>
      <c r="DKE30" s="371"/>
      <c r="DKF30" s="371"/>
      <c r="DKG30" s="371"/>
      <c r="DKH30" s="371"/>
      <c r="DKI30" s="371"/>
      <c r="DKJ30" s="371"/>
      <c r="DKK30" s="382"/>
      <c r="DKO30" s="371"/>
      <c r="DKP30" s="371"/>
      <c r="DKQ30" s="371"/>
      <c r="DKR30" s="371"/>
      <c r="DKS30" s="371"/>
      <c r="DKT30" s="371"/>
      <c r="DKU30" s="371"/>
      <c r="DKV30" s="371"/>
      <c r="DKW30" s="371"/>
      <c r="DKX30" s="371"/>
      <c r="DKY30" s="371"/>
      <c r="DKZ30" s="371"/>
      <c r="DLA30" s="371"/>
      <c r="DLB30" s="371"/>
      <c r="DLC30" s="371"/>
      <c r="DLD30" s="371"/>
      <c r="DLE30" s="371"/>
      <c r="DLF30" s="371"/>
      <c r="DLG30" s="371"/>
      <c r="DLH30" s="371"/>
      <c r="DLI30" s="371"/>
      <c r="DLJ30" s="371"/>
      <c r="DLK30" s="371"/>
      <c r="DLL30" s="371"/>
      <c r="DLM30" s="371"/>
      <c r="DLN30" s="371"/>
      <c r="DLO30" s="382"/>
      <c r="DLS30" s="371"/>
      <c r="DLT30" s="371"/>
      <c r="DLU30" s="371"/>
      <c r="DLV30" s="371"/>
      <c r="DLW30" s="371"/>
      <c r="DLX30" s="371"/>
      <c r="DLY30" s="371"/>
      <c r="DLZ30" s="371"/>
      <c r="DMA30" s="371"/>
      <c r="DMB30" s="371"/>
      <c r="DMC30" s="371"/>
      <c r="DMD30" s="371"/>
      <c r="DME30" s="371"/>
      <c r="DMF30" s="371"/>
      <c r="DMG30" s="371"/>
      <c r="DMH30" s="371"/>
      <c r="DMI30" s="371"/>
      <c r="DMJ30" s="371"/>
      <c r="DMK30" s="371"/>
      <c r="DML30" s="371"/>
      <c r="DMM30" s="371"/>
      <c r="DMN30" s="371"/>
      <c r="DMO30" s="371"/>
      <c r="DMP30" s="371"/>
      <c r="DMQ30" s="371"/>
      <c r="DMR30" s="371"/>
      <c r="DMS30" s="382"/>
      <c r="DMW30" s="371"/>
      <c r="DMX30" s="371"/>
      <c r="DMY30" s="371"/>
      <c r="DMZ30" s="371"/>
      <c r="DNA30" s="371"/>
      <c r="DNB30" s="371"/>
      <c r="DNC30" s="371"/>
      <c r="DND30" s="371"/>
      <c r="DNE30" s="371"/>
      <c r="DNF30" s="371"/>
      <c r="DNG30" s="371"/>
      <c r="DNH30" s="371"/>
      <c r="DNI30" s="371"/>
      <c r="DNJ30" s="371"/>
      <c r="DNK30" s="371"/>
      <c r="DNL30" s="371"/>
      <c r="DNM30" s="371"/>
      <c r="DNN30" s="371"/>
      <c r="DNO30" s="371"/>
      <c r="DNP30" s="371"/>
      <c r="DNQ30" s="371"/>
      <c r="DNR30" s="371"/>
      <c r="DNS30" s="371"/>
      <c r="DNT30" s="371"/>
      <c r="DNU30" s="371"/>
      <c r="DNV30" s="371"/>
      <c r="DNW30" s="382"/>
      <c r="DOA30" s="371"/>
      <c r="DOB30" s="371"/>
      <c r="DOC30" s="371"/>
      <c r="DOD30" s="371"/>
      <c r="DOE30" s="371"/>
      <c r="DOF30" s="371"/>
      <c r="DOG30" s="371"/>
      <c r="DOH30" s="371"/>
      <c r="DOI30" s="371"/>
      <c r="DOJ30" s="371"/>
      <c r="DOK30" s="371"/>
      <c r="DOL30" s="371"/>
      <c r="DOM30" s="371"/>
      <c r="DON30" s="371"/>
      <c r="DOO30" s="371"/>
      <c r="DOP30" s="371"/>
      <c r="DOQ30" s="371"/>
      <c r="DOR30" s="371"/>
      <c r="DOS30" s="371"/>
      <c r="DOT30" s="371"/>
      <c r="DOU30" s="371"/>
      <c r="DOV30" s="371"/>
      <c r="DOW30" s="371"/>
      <c r="DOX30" s="371"/>
      <c r="DOY30" s="371"/>
      <c r="DOZ30" s="371"/>
      <c r="DPA30" s="382"/>
      <c r="DPE30" s="371"/>
      <c r="DPF30" s="371"/>
      <c r="DPG30" s="371"/>
      <c r="DPH30" s="371"/>
      <c r="DPI30" s="371"/>
      <c r="DPJ30" s="371"/>
      <c r="DPK30" s="371"/>
      <c r="DPL30" s="371"/>
      <c r="DPM30" s="371"/>
      <c r="DPN30" s="371"/>
      <c r="DPO30" s="371"/>
      <c r="DPP30" s="371"/>
      <c r="DPQ30" s="371"/>
      <c r="DPR30" s="371"/>
      <c r="DPS30" s="371"/>
      <c r="DPT30" s="371"/>
      <c r="DPU30" s="371"/>
      <c r="DPV30" s="371"/>
      <c r="DPW30" s="371"/>
      <c r="DPX30" s="371"/>
      <c r="DPY30" s="371"/>
      <c r="DPZ30" s="371"/>
      <c r="DQA30" s="371"/>
      <c r="DQB30" s="371"/>
      <c r="DQC30" s="371"/>
      <c r="DQD30" s="371"/>
      <c r="DQE30" s="382"/>
      <c r="DQI30" s="371"/>
      <c r="DQJ30" s="371"/>
      <c r="DQK30" s="371"/>
      <c r="DQL30" s="371"/>
      <c r="DQM30" s="371"/>
      <c r="DQN30" s="371"/>
      <c r="DQO30" s="371"/>
      <c r="DQP30" s="371"/>
      <c r="DQQ30" s="371"/>
      <c r="DQR30" s="371"/>
      <c r="DQS30" s="371"/>
      <c r="DQT30" s="371"/>
      <c r="DQU30" s="371"/>
      <c r="DQV30" s="371"/>
      <c r="DQW30" s="371"/>
      <c r="DQX30" s="371"/>
      <c r="DQY30" s="371"/>
      <c r="DQZ30" s="371"/>
      <c r="DRA30" s="371"/>
      <c r="DRB30" s="371"/>
      <c r="DRC30" s="371"/>
      <c r="DRD30" s="371"/>
      <c r="DRE30" s="371"/>
      <c r="DRF30" s="371"/>
      <c r="DRG30" s="371"/>
      <c r="DRH30" s="371"/>
      <c r="DRI30" s="382"/>
      <c r="DRM30" s="371"/>
      <c r="DRN30" s="371"/>
      <c r="DRO30" s="371"/>
      <c r="DRP30" s="371"/>
      <c r="DRQ30" s="371"/>
      <c r="DRR30" s="371"/>
      <c r="DRS30" s="371"/>
      <c r="DRT30" s="371"/>
      <c r="DRU30" s="371"/>
      <c r="DRV30" s="371"/>
      <c r="DRW30" s="371"/>
      <c r="DRX30" s="371"/>
      <c r="DRY30" s="371"/>
      <c r="DRZ30" s="371"/>
      <c r="DSA30" s="371"/>
      <c r="DSB30" s="371"/>
      <c r="DSC30" s="371"/>
      <c r="DSD30" s="371"/>
      <c r="DSE30" s="371"/>
      <c r="DSF30" s="371"/>
      <c r="DSG30" s="371"/>
      <c r="DSH30" s="371"/>
      <c r="DSI30" s="371"/>
      <c r="DSJ30" s="371"/>
      <c r="DSK30" s="371"/>
      <c r="DSL30" s="371"/>
      <c r="DSM30" s="382"/>
      <c r="DSQ30" s="371"/>
      <c r="DSR30" s="371"/>
      <c r="DSS30" s="371"/>
      <c r="DST30" s="371"/>
      <c r="DSU30" s="371"/>
      <c r="DSV30" s="371"/>
      <c r="DSW30" s="371"/>
      <c r="DSX30" s="371"/>
      <c r="DSY30" s="371"/>
      <c r="DSZ30" s="371"/>
      <c r="DTA30" s="371"/>
      <c r="DTB30" s="371"/>
      <c r="DTC30" s="371"/>
      <c r="DTD30" s="371"/>
      <c r="DTE30" s="371"/>
      <c r="DTF30" s="371"/>
      <c r="DTG30" s="371"/>
      <c r="DTH30" s="371"/>
      <c r="DTI30" s="371"/>
      <c r="DTJ30" s="371"/>
      <c r="DTK30" s="371"/>
      <c r="DTL30" s="371"/>
      <c r="DTM30" s="371"/>
      <c r="DTN30" s="371"/>
      <c r="DTO30" s="371"/>
      <c r="DTP30" s="371"/>
      <c r="DTQ30" s="382"/>
      <c r="DTU30" s="371"/>
      <c r="DTV30" s="371"/>
      <c r="DTW30" s="371"/>
      <c r="DTX30" s="371"/>
      <c r="DTY30" s="371"/>
      <c r="DTZ30" s="371"/>
      <c r="DUA30" s="371"/>
      <c r="DUB30" s="371"/>
      <c r="DUC30" s="371"/>
      <c r="DUD30" s="371"/>
      <c r="DUE30" s="371"/>
      <c r="DUF30" s="371"/>
      <c r="DUG30" s="371"/>
      <c r="DUH30" s="371"/>
      <c r="DUI30" s="371"/>
      <c r="DUJ30" s="371"/>
      <c r="DUK30" s="371"/>
      <c r="DUL30" s="371"/>
      <c r="DUM30" s="371"/>
      <c r="DUN30" s="371"/>
      <c r="DUO30" s="371"/>
      <c r="DUP30" s="371"/>
      <c r="DUQ30" s="371"/>
      <c r="DUR30" s="371"/>
      <c r="DUS30" s="371"/>
      <c r="DUT30" s="371"/>
      <c r="DUU30" s="382"/>
      <c r="DUY30" s="371"/>
      <c r="DUZ30" s="371"/>
      <c r="DVA30" s="371"/>
      <c r="DVB30" s="371"/>
      <c r="DVC30" s="371"/>
      <c r="DVD30" s="371"/>
      <c r="DVE30" s="371"/>
      <c r="DVF30" s="371"/>
      <c r="DVG30" s="371"/>
      <c r="DVH30" s="371"/>
      <c r="DVI30" s="371"/>
      <c r="DVJ30" s="371"/>
      <c r="DVK30" s="371"/>
      <c r="DVL30" s="371"/>
      <c r="DVM30" s="371"/>
      <c r="DVN30" s="371"/>
      <c r="DVO30" s="371"/>
      <c r="DVP30" s="371"/>
      <c r="DVQ30" s="371"/>
      <c r="DVR30" s="371"/>
      <c r="DVS30" s="371"/>
      <c r="DVT30" s="371"/>
      <c r="DVU30" s="371"/>
      <c r="DVV30" s="371"/>
      <c r="DVW30" s="371"/>
      <c r="DVX30" s="371"/>
      <c r="DVY30" s="382"/>
      <c r="DWC30" s="371"/>
      <c r="DWD30" s="371"/>
      <c r="DWE30" s="371"/>
      <c r="DWF30" s="371"/>
      <c r="DWG30" s="371"/>
      <c r="DWH30" s="371"/>
      <c r="DWI30" s="371"/>
      <c r="DWJ30" s="371"/>
      <c r="DWK30" s="371"/>
      <c r="DWL30" s="371"/>
      <c r="DWM30" s="371"/>
      <c r="DWN30" s="371"/>
      <c r="DWO30" s="371"/>
      <c r="DWP30" s="371"/>
      <c r="DWQ30" s="371"/>
      <c r="DWR30" s="371"/>
      <c r="DWS30" s="371"/>
      <c r="DWT30" s="371"/>
      <c r="DWU30" s="371"/>
      <c r="DWV30" s="371"/>
      <c r="DWW30" s="371"/>
      <c r="DWX30" s="371"/>
      <c r="DWY30" s="371"/>
      <c r="DWZ30" s="371"/>
      <c r="DXA30" s="371"/>
      <c r="DXB30" s="371"/>
      <c r="DXC30" s="382"/>
      <c r="DXG30" s="371"/>
      <c r="DXH30" s="371"/>
      <c r="DXI30" s="371"/>
      <c r="DXJ30" s="371"/>
      <c r="DXK30" s="371"/>
      <c r="DXL30" s="371"/>
      <c r="DXM30" s="371"/>
      <c r="DXN30" s="371"/>
      <c r="DXO30" s="371"/>
      <c r="DXP30" s="371"/>
      <c r="DXQ30" s="371"/>
      <c r="DXR30" s="371"/>
      <c r="DXS30" s="371"/>
      <c r="DXT30" s="371"/>
      <c r="DXU30" s="371"/>
      <c r="DXV30" s="371"/>
      <c r="DXW30" s="371"/>
      <c r="DXX30" s="371"/>
      <c r="DXY30" s="371"/>
      <c r="DXZ30" s="371"/>
      <c r="DYA30" s="371"/>
      <c r="DYB30" s="371"/>
      <c r="DYC30" s="371"/>
      <c r="DYD30" s="371"/>
      <c r="DYE30" s="371"/>
      <c r="DYF30" s="371"/>
      <c r="DYG30" s="382"/>
      <c r="DYK30" s="371"/>
      <c r="DYL30" s="371"/>
      <c r="DYM30" s="371"/>
      <c r="DYN30" s="371"/>
      <c r="DYO30" s="371"/>
      <c r="DYP30" s="371"/>
      <c r="DYQ30" s="371"/>
      <c r="DYR30" s="371"/>
      <c r="DYS30" s="371"/>
      <c r="DYT30" s="371"/>
      <c r="DYU30" s="371"/>
      <c r="DYV30" s="371"/>
      <c r="DYW30" s="371"/>
      <c r="DYX30" s="371"/>
      <c r="DYY30" s="371"/>
      <c r="DYZ30" s="371"/>
      <c r="DZA30" s="371"/>
      <c r="DZB30" s="371"/>
      <c r="DZC30" s="371"/>
      <c r="DZD30" s="371"/>
      <c r="DZE30" s="371"/>
      <c r="DZF30" s="371"/>
      <c r="DZG30" s="371"/>
      <c r="DZH30" s="371"/>
      <c r="DZI30" s="371"/>
      <c r="DZJ30" s="371"/>
      <c r="DZK30" s="382"/>
      <c r="DZO30" s="371"/>
      <c r="DZP30" s="371"/>
      <c r="DZQ30" s="371"/>
      <c r="DZR30" s="371"/>
      <c r="DZS30" s="371"/>
      <c r="DZT30" s="371"/>
      <c r="DZU30" s="371"/>
      <c r="DZV30" s="371"/>
      <c r="DZW30" s="371"/>
      <c r="DZX30" s="371"/>
      <c r="DZY30" s="371"/>
      <c r="DZZ30" s="371"/>
      <c r="EAA30" s="371"/>
      <c r="EAB30" s="371"/>
      <c r="EAC30" s="371"/>
      <c r="EAD30" s="371"/>
      <c r="EAE30" s="371"/>
      <c r="EAF30" s="371"/>
      <c r="EAG30" s="371"/>
      <c r="EAH30" s="371"/>
      <c r="EAI30" s="371"/>
      <c r="EAJ30" s="371"/>
      <c r="EAK30" s="371"/>
      <c r="EAL30" s="371"/>
      <c r="EAM30" s="371"/>
      <c r="EAN30" s="371"/>
      <c r="EAO30" s="382"/>
      <c r="EAS30" s="371"/>
      <c r="EAT30" s="371"/>
      <c r="EAU30" s="371"/>
      <c r="EAV30" s="371"/>
      <c r="EAW30" s="371"/>
      <c r="EAX30" s="371"/>
      <c r="EAY30" s="371"/>
      <c r="EAZ30" s="371"/>
      <c r="EBA30" s="371"/>
      <c r="EBB30" s="371"/>
      <c r="EBC30" s="371"/>
      <c r="EBD30" s="371"/>
      <c r="EBE30" s="371"/>
      <c r="EBF30" s="371"/>
      <c r="EBG30" s="371"/>
      <c r="EBH30" s="371"/>
      <c r="EBI30" s="371"/>
      <c r="EBJ30" s="371"/>
      <c r="EBK30" s="371"/>
      <c r="EBL30" s="371"/>
      <c r="EBM30" s="371"/>
      <c r="EBN30" s="371"/>
      <c r="EBO30" s="371"/>
      <c r="EBP30" s="371"/>
      <c r="EBQ30" s="371"/>
      <c r="EBR30" s="371"/>
      <c r="EBS30" s="382"/>
      <c r="EBW30" s="371"/>
      <c r="EBX30" s="371"/>
      <c r="EBY30" s="371"/>
      <c r="EBZ30" s="371"/>
      <c r="ECA30" s="371"/>
      <c r="ECB30" s="371"/>
      <c r="ECC30" s="371"/>
      <c r="ECD30" s="371"/>
      <c r="ECE30" s="371"/>
      <c r="ECF30" s="371"/>
      <c r="ECG30" s="371"/>
      <c r="ECH30" s="371"/>
      <c r="ECI30" s="371"/>
      <c r="ECJ30" s="371"/>
      <c r="ECK30" s="371"/>
      <c r="ECL30" s="371"/>
      <c r="ECM30" s="371"/>
      <c r="ECN30" s="371"/>
      <c r="ECO30" s="371"/>
      <c r="ECP30" s="371"/>
      <c r="ECQ30" s="371"/>
      <c r="ECR30" s="371"/>
      <c r="ECS30" s="371"/>
      <c r="ECT30" s="371"/>
      <c r="ECU30" s="371"/>
      <c r="ECV30" s="371"/>
      <c r="ECW30" s="382"/>
      <c r="EDA30" s="371"/>
      <c r="EDB30" s="371"/>
      <c r="EDC30" s="371"/>
      <c r="EDD30" s="371"/>
      <c r="EDE30" s="371"/>
      <c r="EDF30" s="371"/>
      <c r="EDG30" s="371"/>
      <c r="EDH30" s="371"/>
      <c r="EDI30" s="371"/>
      <c r="EDJ30" s="371"/>
      <c r="EDK30" s="371"/>
      <c r="EDL30" s="371"/>
      <c r="EDM30" s="371"/>
      <c r="EDN30" s="371"/>
      <c r="EDO30" s="371"/>
      <c r="EDP30" s="371"/>
      <c r="EDQ30" s="371"/>
      <c r="EDR30" s="371"/>
      <c r="EDS30" s="371"/>
      <c r="EDT30" s="371"/>
      <c r="EDU30" s="371"/>
      <c r="EDV30" s="371"/>
      <c r="EDW30" s="371"/>
      <c r="EDX30" s="371"/>
      <c r="EDY30" s="371"/>
      <c r="EDZ30" s="371"/>
      <c r="EEA30" s="382"/>
      <c r="EEE30" s="371"/>
      <c r="EEF30" s="371"/>
      <c r="EEG30" s="371"/>
      <c r="EEH30" s="371"/>
      <c r="EEI30" s="371"/>
      <c r="EEJ30" s="371"/>
      <c r="EEK30" s="371"/>
      <c r="EEL30" s="371"/>
      <c r="EEM30" s="371"/>
      <c r="EEN30" s="371"/>
      <c r="EEO30" s="371"/>
      <c r="EEP30" s="371"/>
      <c r="EEQ30" s="371"/>
      <c r="EER30" s="371"/>
      <c r="EES30" s="371"/>
      <c r="EET30" s="371"/>
      <c r="EEU30" s="371"/>
      <c r="EEV30" s="371"/>
      <c r="EEW30" s="371"/>
      <c r="EEX30" s="371"/>
      <c r="EEY30" s="371"/>
      <c r="EEZ30" s="371"/>
      <c r="EFA30" s="371"/>
      <c r="EFB30" s="371"/>
      <c r="EFC30" s="371"/>
      <c r="EFD30" s="371"/>
      <c r="EFE30" s="382"/>
      <c r="EFI30" s="371"/>
      <c r="EFJ30" s="371"/>
      <c r="EFK30" s="371"/>
      <c r="EFL30" s="371"/>
      <c r="EFM30" s="371"/>
      <c r="EFN30" s="371"/>
      <c r="EFO30" s="371"/>
      <c r="EFP30" s="371"/>
      <c r="EFQ30" s="371"/>
      <c r="EFR30" s="371"/>
      <c r="EFS30" s="371"/>
      <c r="EFT30" s="371"/>
      <c r="EFU30" s="371"/>
      <c r="EFV30" s="371"/>
      <c r="EFW30" s="371"/>
      <c r="EFX30" s="371"/>
      <c r="EFY30" s="371"/>
      <c r="EFZ30" s="371"/>
      <c r="EGA30" s="371"/>
      <c r="EGB30" s="371"/>
      <c r="EGC30" s="371"/>
      <c r="EGD30" s="371"/>
      <c r="EGE30" s="371"/>
      <c r="EGF30" s="371"/>
      <c r="EGG30" s="371"/>
      <c r="EGH30" s="371"/>
      <c r="EGI30" s="382"/>
      <c r="EGM30" s="371"/>
      <c r="EGN30" s="371"/>
      <c r="EGO30" s="371"/>
      <c r="EGP30" s="371"/>
      <c r="EGQ30" s="371"/>
      <c r="EGR30" s="371"/>
      <c r="EGS30" s="371"/>
      <c r="EGT30" s="371"/>
      <c r="EGU30" s="371"/>
      <c r="EGV30" s="371"/>
      <c r="EGW30" s="371"/>
      <c r="EGX30" s="371"/>
      <c r="EGY30" s="371"/>
      <c r="EGZ30" s="371"/>
      <c r="EHA30" s="371"/>
      <c r="EHB30" s="371"/>
      <c r="EHC30" s="371"/>
      <c r="EHD30" s="371"/>
      <c r="EHE30" s="371"/>
      <c r="EHF30" s="371"/>
      <c r="EHG30" s="371"/>
      <c r="EHH30" s="371"/>
      <c r="EHI30" s="371"/>
      <c r="EHJ30" s="371"/>
      <c r="EHK30" s="371"/>
      <c r="EHL30" s="371"/>
      <c r="EHM30" s="382"/>
      <c r="EHQ30" s="371"/>
      <c r="EHR30" s="371"/>
      <c r="EHS30" s="371"/>
      <c r="EHT30" s="371"/>
      <c r="EHU30" s="371"/>
      <c r="EHV30" s="371"/>
      <c r="EHW30" s="371"/>
      <c r="EHX30" s="371"/>
      <c r="EHY30" s="371"/>
      <c r="EHZ30" s="371"/>
      <c r="EIA30" s="371"/>
      <c r="EIB30" s="371"/>
      <c r="EIC30" s="371"/>
      <c r="EID30" s="371"/>
      <c r="EIE30" s="371"/>
      <c r="EIF30" s="371"/>
      <c r="EIG30" s="371"/>
      <c r="EIH30" s="371"/>
      <c r="EII30" s="371"/>
      <c r="EIJ30" s="371"/>
      <c r="EIK30" s="371"/>
      <c r="EIL30" s="371"/>
      <c r="EIM30" s="371"/>
      <c r="EIN30" s="371"/>
      <c r="EIO30" s="371"/>
      <c r="EIP30" s="371"/>
      <c r="EIQ30" s="382"/>
      <c r="EIU30" s="371"/>
      <c r="EIV30" s="371"/>
      <c r="EIW30" s="371"/>
      <c r="EIX30" s="371"/>
      <c r="EIY30" s="371"/>
      <c r="EIZ30" s="371"/>
      <c r="EJA30" s="371"/>
      <c r="EJB30" s="371"/>
      <c r="EJC30" s="371"/>
      <c r="EJD30" s="371"/>
      <c r="EJE30" s="371"/>
      <c r="EJF30" s="371"/>
      <c r="EJG30" s="371"/>
      <c r="EJH30" s="371"/>
      <c r="EJI30" s="371"/>
      <c r="EJJ30" s="371"/>
      <c r="EJK30" s="371"/>
      <c r="EJL30" s="371"/>
      <c r="EJM30" s="371"/>
      <c r="EJN30" s="371"/>
      <c r="EJO30" s="371"/>
      <c r="EJP30" s="371"/>
      <c r="EJQ30" s="371"/>
      <c r="EJR30" s="371"/>
      <c r="EJS30" s="371"/>
      <c r="EJT30" s="371"/>
      <c r="EJU30" s="382"/>
      <c r="EJY30" s="371"/>
      <c r="EJZ30" s="371"/>
      <c r="EKA30" s="371"/>
      <c r="EKB30" s="371"/>
      <c r="EKC30" s="371"/>
      <c r="EKD30" s="371"/>
      <c r="EKE30" s="371"/>
      <c r="EKF30" s="371"/>
      <c r="EKG30" s="371"/>
      <c r="EKH30" s="371"/>
      <c r="EKI30" s="371"/>
      <c r="EKJ30" s="371"/>
      <c r="EKK30" s="371"/>
      <c r="EKL30" s="371"/>
      <c r="EKM30" s="371"/>
      <c r="EKN30" s="371"/>
      <c r="EKO30" s="371"/>
      <c r="EKP30" s="371"/>
      <c r="EKQ30" s="371"/>
      <c r="EKR30" s="371"/>
      <c r="EKS30" s="371"/>
      <c r="EKT30" s="371"/>
      <c r="EKU30" s="371"/>
      <c r="EKV30" s="371"/>
      <c r="EKW30" s="371"/>
      <c r="EKX30" s="371"/>
      <c r="EKY30" s="382"/>
      <c r="ELC30" s="371"/>
      <c r="ELD30" s="371"/>
      <c r="ELE30" s="371"/>
      <c r="ELF30" s="371"/>
      <c r="ELG30" s="371"/>
      <c r="ELH30" s="371"/>
      <c r="ELI30" s="371"/>
      <c r="ELJ30" s="371"/>
      <c r="ELK30" s="371"/>
      <c r="ELL30" s="371"/>
      <c r="ELM30" s="371"/>
      <c r="ELN30" s="371"/>
      <c r="ELO30" s="371"/>
      <c r="ELP30" s="371"/>
      <c r="ELQ30" s="371"/>
      <c r="ELR30" s="371"/>
      <c r="ELS30" s="371"/>
      <c r="ELT30" s="371"/>
      <c r="ELU30" s="371"/>
      <c r="ELV30" s="371"/>
      <c r="ELW30" s="371"/>
      <c r="ELX30" s="371"/>
      <c r="ELY30" s="371"/>
      <c r="ELZ30" s="371"/>
      <c r="EMA30" s="371"/>
      <c r="EMB30" s="371"/>
      <c r="EMC30" s="382"/>
      <c r="EMG30" s="371"/>
      <c r="EMH30" s="371"/>
      <c r="EMI30" s="371"/>
      <c r="EMJ30" s="371"/>
      <c r="EMK30" s="371"/>
      <c r="EML30" s="371"/>
      <c r="EMM30" s="371"/>
      <c r="EMN30" s="371"/>
      <c r="EMO30" s="371"/>
      <c r="EMP30" s="371"/>
      <c r="EMQ30" s="371"/>
      <c r="EMR30" s="371"/>
      <c r="EMS30" s="371"/>
      <c r="EMT30" s="371"/>
      <c r="EMU30" s="371"/>
      <c r="EMV30" s="371"/>
      <c r="EMW30" s="371"/>
      <c r="EMX30" s="371"/>
      <c r="EMY30" s="371"/>
      <c r="EMZ30" s="371"/>
      <c r="ENA30" s="371"/>
      <c r="ENB30" s="371"/>
      <c r="ENC30" s="371"/>
      <c r="END30" s="371"/>
      <c r="ENE30" s="371"/>
      <c r="ENF30" s="371"/>
      <c r="ENG30" s="382"/>
      <c r="ENK30" s="371"/>
      <c r="ENL30" s="371"/>
      <c r="ENM30" s="371"/>
      <c r="ENN30" s="371"/>
      <c r="ENO30" s="371"/>
      <c r="ENP30" s="371"/>
      <c r="ENQ30" s="371"/>
      <c r="ENR30" s="371"/>
      <c r="ENS30" s="371"/>
      <c r="ENT30" s="371"/>
      <c r="ENU30" s="371"/>
      <c r="ENV30" s="371"/>
      <c r="ENW30" s="371"/>
      <c r="ENX30" s="371"/>
      <c r="ENY30" s="371"/>
      <c r="ENZ30" s="371"/>
      <c r="EOA30" s="371"/>
      <c r="EOB30" s="371"/>
      <c r="EOC30" s="371"/>
      <c r="EOD30" s="371"/>
      <c r="EOE30" s="371"/>
      <c r="EOF30" s="371"/>
      <c r="EOG30" s="371"/>
      <c r="EOH30" s="371"/>
      <c r="EOI30" s="371"/>
      <c r="EOJ30" s="371"/>
      <c r="EOK30" s="382"/>
      <c r="EOO30" s="371"/>
      <c r="EOP30" s="371"/>
      <c r="EOQ30" s="371"/>
      <c r="EOR30" s="371"/>
      <c r="EOS30" s="371"/>
      <c r="EOT30" s="371"/>
      <c r="EOU30" s="371"/>
      <c r="EOV30" s="371"/>
      <c r="EOW30" s="371"/>
      <c r="EOX30" s="371"/>
      <c r="EOY30" s="371"/>
      <c r="EOZ30" s="371"/>
      <c r="EPA30" s="371"/>
      <c r="EPB30" s="371"/>
      <c r="EPC30" s="371"/>
      <c r="EPD30" s="371"/>
      <c r="EPE30" s="371"/>
      <c r="EPF30" s="371"/>
      <c r="EPG30" s="371"/>
      <c r="EPH30" s="371"/>
      <c r="EPI30" s="371"/>
      <c r="EPJ30" s="371"/>
      <c r="EPK30" s="371"/>
      <c r="EPL30" s="371"/>
      <c r="EPM30" s="371"/>
      <c r="EPN30" s="371"/>
      <c r="EPO30" s="382"/>
      <c r="EPS30" s="371"/>
      <c r="EPT30" s="371"/>
      <c r="EPU30" s="371"/>
      <c r="EPV30" s="371"/>
      <c r="EPW30" s="371"/>
      <c r="EPX30" s="371"/>
      <c r="EPY30" s="371"/>
      <c r="EPZ30" s="371"/>
      <c r="EQA30" s="371"/>
      <c r="EQB30" s="371"/>
      <c r="EQC30" s="371"/>
      <c r="EQD30" s="371"/>
      <c r="EQE30" s="371"/>
      <c r="EQF30" s="371"/>
      <c r="EQG30" s="371"/>
      <c r="EQH30" s="371"/>
      <c r="EQI30" s="371"/>
      <c r="EQJ30" s="371"/>
      <c r="EQK30" s="371"/>
      <c r="EQL30" s="371"/>
      <c r="EQM30" s="371"/>
      <c r="EQN30" s="371"/>
      <c r="EQO30" s="371"/>
      <c r="EQP30" s="371"/>
      <c r="EQQ30" s="371"/>
      <c r="EQR30" s="371"/>
      <c r="EQS30" s="382"/>
      <c r="EQW30" s="371"/>
      <c r="EQX30" s="371"/>
      <c r="EQY30" s="371"/>
      <c r="EQZ30" s="371"/>
      <c r="ERA30" s="371"/>
      <c r="ERB30" s="371"/>
      <c r="ERC30" s="371"/>
      <c r="ERD30" s="371"/>
      <c r="ERE30" s="371"/>
      <c r="ERF30" s="371"/>
      <c r="ERG30" s="371"/>
      <c r="ERH30" s="371"/>
      <c r="ERI30" s="371"/>
      <c r="ERJ30" s="371"/>
      <c r="ERK30" s="371"/>
      <c r="ERL30" s="371"/>
      <c r="ERM30" s="371"/>
      <c r="ERN30" s="371"/>
      <c r="ERO30" s="371"/>
      <c r="ERP30" s="371"/>
      <c r="ERQ30" s="371"/>
      <c r="ERR30" s="371"/>
      <c r="ERS30" s="371"/>
      <c r="ERT30" s="371"/>
      <c r="ERU30" s="371"/>
      <c r="ERV30" s="371"/>
      <c r="ERW30" s="382"/>
      <c r="ESA30" s="371"/>
      <c r="ESB30" s="371"/>
      <c r="ESC30" s="371"/>
      <c r="ESD30" s="371"/>
      <c r="ESE30" s="371"/>
      <c r="ESF30" s="371"/>
      <c r="ESG30" s="371"/>
      <c r="ESH30" s="371"/>
      <c r="ESI30" s="371"/>
      <c r="ESJ30" s="371"/>
      <c r="ESK30" s="371"/>
      <c r="ESL30" s="371"/>
      <c r="ESM30" s="371"/>
      <c r="ESN30" s="371"/>
      <c r="ESO30" s="371"/>
      <c r="ESP30" s="371"/>
      <c r="ESQ30" s="371"/>
      <c r="ESR30" s="371"/>
      <c r="ESS30" s="371"/>
      <c r="EST30" s="371"/>
      <c r="ESU30" s="371"/>
      <c r="ESV30" s="371"/>
      <c r="ESW30" s="371"/>
      <c r="ESX30" s="371"/>
      <c r="ESY30" s="371"/>
      <c r="ESZ30" s="371"/>
      <c r="ETA30" s="382"/>
      <c r="ETE30" s="371"/>
      <c r="ETF30" s="371"/>
      <c r="ETG30" s="371"/>
      <c r="ETH30" s="371"/>
      <c r="ETI30" s="371"/>
      <c r="ETJ30" s="371"/>
      <c r="ETK30" s="371"/>
      <c r="ETL30" s="371"/>
      <c r="ETM30" s="371"/>
      <c r="ETN30" s="371"/>
      <c r="ETO30" s="371"/>
      <c r="ETP30" s="371"/>
      <c r="ETQ30" s="371"/>
      <c r="ETR30" s="371"/>
      <c r="ETS30" s="371"/>
      <c r="ETT30" s="371"/>
      <c r="ETU30" s="371"/>
      <c r="ETV30" s="371"/>
      <c r="ETW30" s="371"/>
      <c r="ETX30" s="371"/>
      <c r="ETY30" s="371"/>
      <c r="ETZ30" s="371"/>
      <c r="EUA30" s="371"/>
      <c r="EUB30" s="371"/>
      <c r="EUC30" s="371"/>
      <c r="EUD30" s="371"/>
      <c r="EUE30" s="382"/>
      <c r="EUI30" s="371"/>
      <c r="EUJ30" s="371"/>
      <c r="EUK30" s="371"/>
      <c r="EUL30" s="371"/>
      <c r="EUM30" s="371"/>
      <c r="EUN30" s="371"/>
      <c r="EUO30" s="371"/>
      <c r="EUP30" s="371"/>
      <c r="EUQ30" s="371"/>
      <c r="EUR30" s="371"/>
      <c r="EUS30" s="371"/>
      <c r="EUT30" s="371"/>
      <c r="EUU30" s="371"/>
      <c r="EUV30" s="371"/>
      <c r="EUW30" s="371"/>
      <c r="EUX30" s="371"/>
      <c r="EUY30" s="371"/>
      <c r="EUZ30" s="371"/>
      <c r="EVA30" s="371"/>
      <c r="EVB30" s="371"/>
      <c r="EVC30" s="371"/>
      <c r="EVD30" s="371"/>
      <c r="EVE30" s="371"/>
      <c r="EVF30" s="371"/>
      <c r="EVG30" s="371"/>
      <c r="EVH30" s="371"/>
      <c r="EVI30" s="382"/>
      <c r="EVM30" s="371"/>
      <c r="EVN30" s="371"/>
      <c r="EVO30" s="371"/>
      <c r="EVP30" s="371"/>
      <c r="EVQ30" s="371"/>
      <c r="EVR30" s="371"/>
      <c r="EVS30" s="371"/>
      <c r="EVT30" s="371"/>
      <c r="EVU30" s="371"/>
      <c r="EVV30" s="371"/>
      <c r="EVW30" s="371"/>
      <c r="EVX30" s="371"/>
      <c r="EVY30" s="371"/>
      <c r="EVZ30" s="371"/>
      <c r="EWA30" s="371"/>
      <c r="EWB30" s="371"/>
      <c r="EWC30" s="371"/>
      <c r="EWD30" s="371"/>
      <c r="EWE30" s="371"/>
      <c r="EWF30" s="371"/>
      <c r="EWG30" s="371"/>
      <c r="EWH30" s="371"/>
      <c r="EWI30" s="371"/>
      <c r="EWJ30" s="371"/>
      <c r="EWK30" s="371"/>
      <c r="EWL30" s="371"/>
      <c r="EWM30" s="382"/>
      <c r="EWQ30" s="371"/>
      <c r="EWR30" s="371"/>
      <c r="EWS30" s="371"/>
      <c r="EWT30" s="371"/>
      <c r="EWU30" s="371"/>
      <c r="EWV30" s="371"/>
      <c r="EWW30" s="371"/>
      <c r="EWX30" s="371"/>
      <c r="EWY30" s="371"/>
      <c r="EWZ30" s="371"/>
      <c r="EXA30" s="371"/>
      <c r="EXB30" s="371"/>
      <c r="EXC30" s="371"/>
      <c r="EXD30" s="371"/>
      <c r="EXE30" s="371"/>
      <c r="EXF30" s="371"/>
      <c r="EXG30" s="371"/>
      <c r="EXH30" s="371"/>
      <c r="EXI30" s="371"/>
      <c r="EXJ30" s="371"/>
      <c r="EXK30" s="371"/>
      <c r="EXL30" s="371"/>
      <c r="EXM30" s="371"/>
      <c r="EXN30" s="371"/>
      <c r="EXO30" s="371"/>
      <c r="EXP30" s="371"/>
      <c r="EXQ30" s="382"/>
      <c r="EXU30" s="371"/>
      <c r="EXV30" s="371"/>
      <c r="EXW30" s="371"/>
      <c r="EXX30" s="371"/>
      <c r="EXY30" s="371"/>
      <c r="EXZ30" s="371"/>
      <c r="EYA30" s="371"/>
      <c r="EYB30" s="371"/>
      <c r="EYC30" s="371"/>
      <c r="EYD30" s="371"/>
      <c r="EYE30" s="371"/>
      <c r="EYF30" s="371"/>
      <c r="EYG30" s="371"/>
      <c r="EYH30" s="371"/>
      <c r="EYI30" s="371"/>
      <c r="EYJ30" s="371"/>
      <c r="EYK30" s="371"/>
      <c r="EYL30" s="371"/>
      <c r="EYM30" s="371"/>
      <c r="EYN30" s="371"/>
      <c r="EYO30" s="371"/>
      <c r="EYP30" s="371"/>
      <c r="EYQ30" s="371"/>
      <c r="EYR30" s="371"/>
      <c r="EYS30" s="371"/>
      <c r="EYT30" s="371"/>
      <c r="EYU30" s="382"/>
      <c r="EYY30" s="371"/>
      <c r="EYZ30" s="371"/>
      <c r="EZA30" s="371"/>
      <c r="EZB30" s="371"/>
      <c r="EZC30" s="371"/>
      <c r="EZD30" s="371"/>
      <c r="EZE30" s="371"/>
      <c r="EZF30" s="371"/>
      <c r="EZG30" s="371"/>
      <c r="EZH30" s="371"/>
      <c r="EZI30" s="371"/>
      <c r="EZJ30" s="371"/>
      <c r="EZK30" s="371"/>
      <c r="EZL30" s="371"/>
      <c r="EZM30" s="371"/>
      <c r="EZN30" s="371"/>
      <c r="EZO30" s="371"/>
      <c r="EZP30" s="371"/>
      <c r="EZQ30" s="371"/>
      <c r="EZR30" s="371"/>
      <c r="EZS30" s="371"/>
      <c r="EZT30" s="371"/>
      <c r="EZU30" s="371"/>
      <c r="EZV30" s="371"/>
      <c r="EZW30" s="371"/>
      <c r="EZX30" s="371"/>
      <c r="EZY30" s="382"/>
      <c r="FAC30" s="371"/>
      <c r="FAD30" s="371"/>
      <c r="FAE30" s="371"/>
      <c r="FAF30" s="371"/>
      <c r="FAG30" s="371"/>
      <c r="FAH30" s="371"/>
      <c r="FAI30" s="371"/>
      <c r="FAJ30" s="371"/>
      <c r="FAK30" s="371"/>
      <c r="FAL30" s="371"/>
      <c r="FAM30" s="371"/>
      <c r="FAN30" s="371"/>
      <c r="FAO30" s="371"/>
      <c r="FAP30" s="371"/>
      <c r="FAQ30" s="371"/>
      <c r="FAR30" s="371"/>
      <c r="FAS30" s="371"/>
      <c r="FAT30" s="371"/>
      <c r="FAU30" s="371"/>
      <c r="FAV30" s="371"/>
      <c r="FAW30" s="371"/>
      <c r="FAX30" s="371"/>
      <c r="FAY30" s="371"/>
      <c r="FAZ30" s="371"/>
      <c r="FBA30" s="371"/>
      <c r="FBB30" s="371"/>
      <c r="FBC30" s="382"/>
      <c r="FBG30" s="371"/>
      <c r="FBH30" s="371"/>
      <c r="FBI30" s="371"/>
      <c r="FBJ30" s="371"/>
      <c r="FBK30" s="371"/>
      <c r="FBL30" s="371"/>
      <c r="FBM30" s="371"/>
      <c r="FBN30" s="371"/>
      <c r="FBO30" s="371"/>
      <c r="FBP30" s="371"/>
      <c r="FBQ30" s="371"/>
      <c r="FBR30" s="371"/>
      <c r="FBS30" s="371"/>
      <c r="FBT30" s="371"/>
      <c r="FBU30" s="371"/>
      <c r="FBV30" s="371"/>
      <c r="FBW30" s="371"/>
      <c r="FBX30" s="371"/>
      <c r="FBY30" s="371"/>
      <c r="FBZ30" s="371"/>
      <c r="FCA30" s="371"/>
      <c r="FCB30" s="371"/>
      <c r="FCC30" s="371"/>
      <c r="FCD30" s="371"/>
      <c r="FCE30" s="371"/>
      <c r="FCF30" s="371"/>
      <c r="FCG30" s="382"/>
      <c r="FCK30" s="371"/>
      <c r="FCL30" s="371"/>
      <c r="FCM30" s="371"/>
      <c r="FCN30" s="371"/>
      <c r="FCO30" s="371"/>
      <c r="FCP30" s="371"/>
      <c r="FCQ30" s="371"/>
      <c r="FCR30" s="371"/>
      <c r="FCS30" s="371"/>
      <c r="FCT30" s="371"/>
      <c r="FCU30" s="371"/>
      <c r="FCV30" s="371"/>
      <c r="FCW30" s="371"/>
      <c r="FCX30" s="371"/>
      <c r="FCY30" s="371"/>
      <c r="FCZ30" s="371"/>
      <c r="FDA30" s="371"/>
      <c r="FDB30" s="371"/>
      <c r="FDC30" s="371"/>
      <c r="FDD30" s="371"/>
      <c r="FDE30" s="371"/>
      <c r="FDF30" s="371"/>
      <c r="FDG30" s="371"/>
      <c r="FDH30" s="371"/>
      <c r="FDI30" s="371"/>
      <c r="FDJ30" s="371"/>
      <c r="FDK30" s="382"/>
      <c r="FDO30" s="371"/>
      <c r="FDP30" s="371"/>
      <c r="FDQ30" s="371"/>
      <c r="FDR30" s="371"/>
      <c r="FDS30" s="371"/>
      <c r="FDT30" s="371"/>
      <c r="FDU30" s="371"/>
      <c r="FDV30" s="371"/>
      <c r="FDW30" s="371"/>
      <c r="FDX30" s="371"/>
      <c r="FDY30" s="371"/>
      <c r="FDZ30" s="371"/>
      <c r="FEA30" s="371"/>
      <c r="FEB30" s="371"/>
      <c r="FEC30" s="371"/>
      <c r="FED30" s="371"/>
      <c r="FEE30" s="371"/>
      <c r="FEF30" s="371"/>
      <c r="FEG30" s="371"/>
      <c r="FEH30" s="371"/>
      <c r="FEI30" s="371"/>
      <c r="FEJ30" s="371"/>
      <c r="FEK30" s="371"/>
      <c r="FEL30" s="371"/>
      <c r="FEM30" s="371"/>
      <c r="FEN30" s="371"/>
      <c r="FEO30" s="382"/>
      <c r="FES30" s="371"/>
      <c r="FET30" s="371"/>
      <c r="FEU30" s="371"/>
      <c r="FEV30" s="371"/>
      <c r="FEW30" s="371"/>
      <c r="FEX30" s="371"/>
      <c r="FEY30" s="371"/>
      <c r="FEZ30" s="371"/>
      <c r="FFA30" s="371"/>
      <c r="FFB30" s="371"/>
      <c r="FFC30" s="371"/>
      <c r="FFD30" s="371"/>
      <c r="FFE30" s="371"/>
      <c r="FFF30" s="371"/>
      <c r="FFG30" s="371"/>
      <c r="FFH30" s="371"/>
      <c r="FFI30" s="371"/>
      <c r="FFJ30" s="371"/>
      <c r="FFK30" s="371"/>
      <c r="FFL30" s="371"/>
      <c r="FFM30" s="371"/>
      <c r="FFN30" s="371"/>
      <c r="FFO30" s="371"/>
      <c r="FFP30" s="371"/>
      <c r="FFQ30" s="371"/>
      <c r="FFR30" s="371"/>
      <c r="FFS30" s="382"/>
      <c r="FFW30" s="371"/>
      <c r="FFX30" s="371"/>
      <c r="FFY30" s="371"/>
      <c r="FFZ30" s="371"/>
      <c r="FGA30" s="371"/>
      <c r="FGB30" s="371"/>
      <c r="FGC30" s="371"/>
      <c r="FGD30" s="371"/>
      <c r="FGE30" s="371"/>
      <c r="FGF30" s="371"/>
      <c r="FGG30" s="371"/>
      <c r="FGH30" s="371"/>
      <c r="FGI30" s="371"/>
      <c r="FGJ30" s="371"/>
      <c r="FGK30" s="371"/>
      <c r="FGL30" s="371"/>
      <c r="FGM30" s="371"/>
      <c r="FGN30" s="371"/>
      <c r="FGO30" s="371"/>
      <c r="FGP30" s="371"/>
      <c r="FGQ30" s="371"/>
      <c r="FGR30" s="371"/>
      <c r="FGS30" s="371"/>
      <c r="FGT30" s="371"/>
      <c r="FGU30" s="371"/>
      <c r="FGV30" s="371"/>
      <c r="FGW30" s="382"/>
      <c r="FHA30" s="371"/>
      <c r="FHB30" s="371"/>
      <c r="FHC30" s="371"/>
      <c r="FHD30" s="371"/>
      <c r="FHE30" s="371"/>
      <c r="FHF30" s="371"/>
      <c r="FHG30" s="371"/>
      <c r="FHH30" s="371"/>
      <c r="FHI30" s="371"/>
      <c r="FHJ30" s="371"/>
      <c r="FHK30" s="371"/>
      <c r="FHL30" s="371"/>
      <c r="FHM30" s="371"/>
      <c r="FHN30" s="371"/>
      <c r="FHO30" s="371"/>
      <c r="FHP30" s="371"/>
      <c r="FHQ30" s="371"/>
      <c r="FHR30" s="371"/>
      <c r="FHS30" s="371"/>
      <c r="FHT30" s="371"/>
      <c r="FHU30" s="371"/>
      <c r="FHV30" s="371"/>
      <c r="FHW30" s="371"/>
      <c r="FHX30" s="371"/>
      <c r="FHY30" s="371"/>
      <c r="FHZ30" s="371"/>
      <c r="FIA30" s="382"/>
      <c r="FIE30" s="371"/>
      <c r="FIF30" s="371"/>
      <c r="FIG30" s="371"/>
      <c r="FIH30" s="371"/>
      <c r="FII30" s="371"/>
      <c r="FIJ30" s="371"/>
      <c r="FIK30" s="371"/>
      <c r="FIL30" s="371"/>
      <c r="FIM30" s="371"/>
      <c r="FIN30" s="371"/>
      <c r="FIO30" s="371"/>
      <c r="FIP30" s="371"/>
      <c r="FIQ30" s="371"/>
      <c r="FIR30" s="371"/>
      <c r="FIS30" s="371"/>
      <c r="FIT30" s="371"/>
      <c r="FIU30" s="371"/>
      <c r="FIV30" s="371"/>
      <c r="FIW30" s="371"/>
      <c r="FIX30" s="371"/>
      <c r="FIY30" s="371"/>
      <c r="FIZ30" s="371"/>
      <c r="FJA30" s="371"/>
      <c r="FJB30" s="371"/>
      <c r="FJC30" s="371"/>
      <c r="FJD30" s="371"/>
      <c r="FJE30" s="382"/>
      <c r="FJI30" s="371"/>
      <c r="FJJ30" s="371"/>
      <c r="FJK30" s="371"/>
      <c r="FJL30" s="371"/>
      <c r="FJM30" s="371"/>
      <c r="FJN30" s="371"/>
      <c r="FJO30" s="371"/>
      <c r="FJP30" s="371"/>
      <c r="FJQ30" s="371"/>
      <c r="FJR30" s="371"/>
      <c r="FJS30" s="371"/>
      <c r="FJT30" s="371"/>
      <c r="FJU30" s="371"/>
      <c r="FJV30" s="371"/>
      <c r="FJW30" s="371"/>
      <c r="FJX30" s="371"/>
      <c r="FJY30" s="371"/>
      <c r="FJZ30" s="371"/>
      <c r="FKA30" s="371"/>
      <c r="FKB30" s="371"/>
      <c r="FKC30" s="371"/>
      <c r="FKD30" s="371"/>
      <c r="FKE30" s="371"/>
      <c r="FKF30" s="371"/>
      <c r="FKG30" s="371"/>
      <c r="FKH30" s="371"/>
      <c r="FKI30" s="382"/>
      <c r="FKM30" s="371"/>
      <c r="FKN30" s="371"/>
      <c r="FKO30" s="371"/>
      <c r="FKP30" s="371"/>
      <c r="FKQ30" s="371"/>
      <c r="FKR30" s="371"/>
      <c r="FKS30" s="371"/>
      <c r="FKT30" s="371"/>
      <c r="FKU30" s="371"/>
      <c r="FKV30" s="371"/>
      <c r="FKW30" s="371"/>
      <c r="FKX30" s="371"/>
      <c r="FKY30" s="371"/>
      <c r="FKZ30" s="371"/>
      <c r="FLA30" s="371"/>
      <c r="FLB30" s="371"/>
      <c r="FLC30" s="371"/>
      <c r="FLD30" s="371"/>
      <c r="FLE30" s="371"/>
      <c r="FLF30" s="371"/>
      <c r="FLG30" s="371"/>
      <c r="FLH30" s="371"/>
      <c r="FLI30" s="371"/>
      <c r="FLJ30" s="371"/>
      <c r="FLK30" s="371"/>
      <c r="FLL30" s="371"/>
      <c r="FLM30" s="382"/>
      <c r="FLQ30" s="371"/>
      <c r="FLR30" s="371"/>
      <c r="FLS30" s="371"/>
      <c r="FLT30" s="371"/>
      <c r="FLU30" s="371"/>
      <c r="FLV30" s="371"/>
      <c r="FLW30" s="371"/>
      <c r="FLX30" s="371"/>
      <c r="FLY30" s="371"/>
      <c r="FLZ30" s="371"/>
      <c r="FMA30" s="371"/>
      <c r="FMB30" s="371"/>
      <c r="FMC30" s="371"/>
      <c r="FMD30" s="371"/>
      <c r="FME30" s="371"/>
      <c r="FMF30" s="371"/>
      <c r="FMG30" s="371"/>
      <c r="FMH30" s="371"/>
      <c r="FMI30" s="371"/>
      <c r="FMJ30" s="371"/>
      <c r="FMK30" s="371"/>
      <c r="FML30" s="371"/>
      <c r="FMM30" s="371"/>
      <c r="FMN30" s="371"/>
      <c r="FMO30" s="371"/>
      <c r="FMP30" s="371"/>
      <c r="FMQ30" s="382"/>
      <c r="FMU30" s="371"/>
      <c r="FMV30" s="371"/>
      <c r="FMW30" s="371"/>
      <c r="FMX30" s="371"/>
      <c r="FMY30" s="371"/>
      <c r="FMZ30" s="371"/>
      <c r="FNA30" s="371"/>
      <c r="FNB30" s="371"/>
      <c r="FNC30" s="371"/>
      <c r="FND30" s="371"/>
      <c r="FNE30" s="371"/>
      <c r="FNF30" s="371"/>
      <c r="FNG30" s="371"/>
      <c r="FNH30" s="371"/>
      <c r="FNI30" s="371"/>
      <c r="FNJ30" s="371"/>
      <c r="FNK30" s="371"/>
      <c r="FNL30" s="371"/>
      <c r="FNM30" s="371"/>
      <c r="FNN30" s="371"/>
      <c r="FNO30" s="371"/>
      <c r="FNP30" s="371"/>
      <c r="FNQ30" s="371"/>
      <c r="FNR30" s="371"/>
      <c r="FNS30" s="371"/>
      <c r="FNT30" s="371"/>
      <c r="FNU30" s="382"/>
      <c r="FNY30" s="371"/>
      <c r="FNZ30" s="371"/>
      <c r="FOA30" s="371"/>
      <c r="FOB30" s="371"/>
      <c r="FOC30" s="371"/>
      <c r="FOD30" s="371"/>
      <c r="FOE30" s="371"/>
      <c r="FOF30" s="371"/>
      <c r="FOG30" s="371"/>
      <c r="FOH30" s="371"/>
      <c r="FOI30" s="371"/>
      <c r="FOJ30" s="371"/>
      <c r="FOK30" s="371"/>
      <c r="FOL30" s="371"/>
      <c r="FOM30" s="371"/>
      <c r="FON30" s="371"/>
      <c r="FOO30" s="371"/>
      <c r="FOP30" s="371"/>
      <c r="FOQ30" s="371"/>
      <c r="FOR30" s="371"/>
      <c r="FOS30" s="371"/>
      <c r="FOT30" s="371"/>
      <c r="FOU30" s="371"/>
      <c r="FOV30" s="371"/>
      <c r="FOW30" s="371"/>
      <c r="FOX30" s="371"/>
      <c r="FOY30" s="382"/>
      <c r="FPC30" s="371"/>
      <c r="FPD30" s="371"/>
      <c r="FPE30" s="371"/>
      <c r="FPF30" s="371"/>
      <c r="FPG30" s="371"/>
      <c r="FPH30" s="371"/>
      <c r="FPI30" s="371"/>
      <c r="FPJ30" s="371"/>
      <c r="FPK30" s="371"/>
      <c r="FPL30" s="371"/>
      <c r="FPM30" s="371"/>
      <c r="FPN30" s="371"/>
      <c r="FPO30" s="371"/>
      <c r="FPP30" s="371"/>
      <c r="FPQ30" s="371"/>
      <c r="FPR30" s="371"/>
      <c r="FPS30" s="371"/>
      <c r="FPT30" s="371"/>
      <c r="FPU30" s="371"/>
      <c r="FPV30" s="371"/>
      <c r="FPW30" s="371"/>
      <c r="FPX30" s="371"/>
      <c r="FPY30" s="371"/>
      <c r="FPZ30" s="371"/>
      <c r="FQA30" s="371"/>
      <c r="FQB30" s="371"/>
      <c r="FQC30" s="382"/>
      <c r="FQG30" s="371"/>
      <c r="FQH30" s="371"/>
      <c r="FQI30" s="371"/>
      <c r="FQJ30" s="371"/>
      <c r="FQK30" s="371"/>
      <c r="FQL30" s="371"/>
      <c r="FQM30" s="371"/>
      <c r="FQN30" s="371"/>
      <c r="FQO30" s="371"/>
      <c r="FQP30" s="371"/>
      <c r="FQQ30" s="371"/>
      <c r="FQR30" s="371"/>
      <c r="FQS30" s="371"/>
      <c r="FQT30" s="371"/>
      <c r="FQU30" s="371"/>
      <c r="FQV30" s="371"/>
      <c r="FQW30" s="371"/>
      <c r="FQX30" s="371"/>
      <c r="FQY30" s="371"/>
      <c r="FQZ30" s="371"/>
      <c r="FRA30" s="371"/>
      <c r="FRB30" s="371"/>
      <c r="FRC30" s="371"/>
      <c r="FRD30" s="371"/>
      <c r="FRE30" s="371"/>
      <c r="FRF30" s="371"/>
      <c r="FRG30" s="382"/>
      <c r="FRK30" s="371"/>
      <c r="FRL30" s="371"/>
      <c r="FRM30" s="371"/>
      <c r="FRN30" s="371"/>
      <c r="FRO30" s="371"/>
      <c r="FRP30" s="371"/>
      <c r="FRQ30" s="371"/>
      <c r="FRR30" s="371"/>
      <c r="FRS30" s="371"/>
      <c r="FRT30" s="371"/>
      <c r="FRU30" s="371"/>
      <c r="FRV30" s="371"/>
      <c r="FRW30" s="371"/>
      <c r="FRX30" s="371"/>
      <c r="FRY30" s="371"/>
      <c r="FRZ30" s="371"/>
      <c r="FSA30" s="371"/>
      <c r="FSB30" s="371"/>
      <c r="FSC30" s="371"/>
      <c r="FSD30" s="371"/>
      <c r="FSE30" s="371"/>
      <c r="FSF30" s="371"/>
      <c r="FSG30" s="371"/>
      <c r="FSH30" s="371"/>
      <c r="FSI30" s="371"/>
      <c r="FSJ30" s="371"/>
      <c r="FSK30" s="382"/>
      <c r="FSO30" s="371"/>
      <c r="FSP30" s="371"/>
      <c r="FSQ30" s="371"/>
      <c r="FSR30" s="371"/>
      <c r="FSS30" s="371"/>
      <c r="FST30" s="371"/>
      <c r="FSU30" s="371"/>
      <c r="FSV30" s="371"/>
      <c r="FSW30" s="371"/>
      <c r="FSX30" s="371"/>
      <c r="FSY30" s="371"/>
      <c r="FSZ30" s="371"/>
      <c r="FTA30" s="371"/>
      <c r="FTB30" s="371"/>
      <c r="FTC30" s="371"/>
      <c r="FTD30" s="371"/>
      <c r="FTE30" s="371"/>
      <c r="FTF30" s="371"/>
      <c r="FTG30" s="371"/>
      <c r="FTH30" s="371"/>
      <c r="FTI30" s="371"/>
      <c r="FTJ30" s="371"/>
      <c r="FTK30" s="371"/>
      <c r="FTL30" s="371"/>
      <c r="FTM30" s="371"/>
      <c r="FTN30" s="371"/>
      <c r="FTO30" s="382"/>
      <c r="FTS30" s="371"/>
      <c r="FTT30" s="371"/>
      <c r="FTU30" s="371"/>
      <c r="FTV30" s="371"/>
      <c r="FTW30" s="371"/>
      <c r="FTX30" s="371"/>
      <c r="FTY30" s="371"/>
      <c r="FTZ30" s="371"/>
      <c r="FUA30" s="371"/>
      <c r="FUB30" s="371"/>
      <c r="FUC30" s="371"/>
      <c r="FUD30" s="371"/>
      <c r="FUE30" s="371"/>
      <c r="FUF30" s="371"/>
      <c r="FUG30" s="371"/>
      <c r="FUH30" s="371"/>
      <c r="FUI30" s="371"/>
      <c r="FUJ30" s="371"/>
      <c r="FUK30" s="371"/>
      <c r="FUL30" s="371"/>
      <c r="FUM30" s="371"/>
      <c r="FUN30" s="371"/>
      <c r="FUO30" s="371"/>
      <c r="FUP30" s="371"/>
      <c r="FUQ30" s="371"/>
      <c r="FUR30" s="371"/>
      <c r="FUS30" s="382"/>
      <c r="FUW30" s="371"/>
      <c r="FUX30" s="371"/>
      <c r="FUY30" s="371"/>
      <c r="FUZ30" s="371"/>
      <c r="FVA30" s="371"/>
      <c r="FVB30" s="371"/>
      <c r="FVC30" s="371"/>
      <c r="FVD30" s="371"/>
      <c r="FVE30" s="371"/>
      <c r="FVF30" s="371"/>
      <c r="FVG30" s="371"/>
      <c r="FVH30" s="371"/>
      <c r="FVI30" s="371"/>
      <c r="FVJ30" s="371"/>
      <c r="FVK30" s="371"/>
      <c r="FVL30" s="371"/>
      <c r="FVM30" s="371"/>
      <c r="FVN30" s="371"/>
      <c r="FVO30" s="371"/>
      <c r="FVP30" s="371"/>
      <c r="FVQ30" s="371"/>
      <c r="FVR30" s="371"/>
      <c r="FVS30" s="371"/>
      <c r="FVT30" s="371"/>
      <c r="FVU30" s="371"/>
      <c r="FVV30" s="371"/>
      <c r="FVW30" s="382"/>
      <c r="FWA30" s="371"/>
      <c r="FWB30" s="371"/>
      <c r="FWC30" s="371"/>
      <c r="FWD30" s="371"/>
      <c r="FWE30" s="371"/>
      <c r="FWF30" s="371"/>
      <c r="FWG30" s="371"/>
      <c r="FWH30" s="371"/>
      <c r="FWI30" s="371"/>
      <c r="FWJ30" s="371"/>
      <c r="FWK30" s="371"/>
      <c r="FWL30" s="371"/>
      <c r="FWM30" s="371"/>
      <c r="FWN30" s="371"/>
      <c r="FWO30" s="371"/>
      <c r="FWP30" s="371"/>
      <c r="FWQ30" s="371"/>
      <c r="FWR30" s="371"/>
      <c r="FWS30" s="371"/>
      <c r="FWT30" s="371"/>
      <c r="FWU30" s="371"/>
      <c r="FWV30" s="371"/>
      <c r="FWW30" s="371"/>
      <c r="FWX30" s="371"/>
      <c r="FWY30" s="371"/>
      <c r="FWZ30" s="371"/>
      <c r="FXA30" s="382"/>
      <c r="FXE30" s="371"/>
      <c r="FXF30" s="371"/>
      <c r="FXG30" s="371"/>
      <c r="FXH30" s="371"/>
      <c r="FXI30" s="371"/>
      <c r="FXJ30" s="371"/>
      <c r="FXK30" s="371"/>
      <c r="FXL30" s="371"/>
      <c r="FXM30" s="371"/>
      <c r="FXN30" s="371"/>
      <c r="FXO30" s="371"/>
      <c r="FXP30" s="371"/>
      <c r="FXQ30" s="371"/>
      <c r="FXR30" s="371"/>
      <c r="FXS30" s="371"/>
      <c r="FXT30" s="371"/>
      <c r="FXU30" s="371"/>
      <c r="FXV30" s="371"/>
      <c r="FXW30" s="371"/>
      <c r="FXX30" s="371"/>
      <c r="FXY30" s="371"/>
      <c r="FXZ30" s="371"/>
      <c r="FYA30" s="371"/>
      <c r="FYB30" s="371"/>
      <c r="FYC30" s="371"/>
      <c r="FYD30" s="371"/>
      <c r="FYE30" s="382"/>
      <c r="FYI30" s="371"/>
      <c r="FYJ30" s="371"/>
      <c r="FYK30" s="371"/>
      <c r="FYL30" s="371"/>
      <c r="FYM30" s="371"/>
      <c r="FYN30" s="371"/>
      <c r="FYO30" s="371"/>
      <c r="FYP30" s="371"/>
      <c r="FYQ30" s="371"/>
      <c r="FYR30" s="371"/>
      <c r="FYS30" s="371"/>
      <c r="FYT30" s="371"/>
      <c r="FYU30" s="371"/>
      <c r="FYV30" s="371"/>
      <c r="FYW30" s="371"/>
      <c r="FYX30" s="371"/>
      <c r="FYY30" s="371"/>
      <c r="FYZ30" s="371"/>
      <c r="FZA30" s="371"/>
      <c r="FZB30" s="371"/>
      <c r="FZC30" s="371"/>
      <c r="FZD30" s="371"/>
      <c r="FZE30" s="371"/>
      <c r="FZF30" s="371"/>
      <c r="FZG30" s="371"/>
      <c r="FZH30" s="371"/>
      <c r="FZI30" s="382"/>
      <c r="FZM30" s="371"/>
      <c r="FZN30" s="371"/>
      <c r="FZO30" s="371"/>
      <c r="FZP30" s="371"/>
      <c r="FZQ30" s="371"/>
      <c r="FZR30" s="371"/>
      <c r="FZS30" s="371"/>
      <c r="FZT30" s="371"/>
      <c r="FZU30" s="371"/>
      <c r="FZV30" s="371"/>
      <c r="FZW30" s="371"/>
      <c r="FZX30" s="371"/>
      <c r="FZY30" s="371"/>
      <c r="FZZ30" s="371"/>
      <c r="GAA30" s="371"/>
      <c r="GAB30" s="371"/>
      <c r="GAC30" s="371"/>
      <c r="GAD30" s="371"/>
      <c r="GAE30" s="371"/>
      <c r="GAF30" s="371"/>
      <c r="GAG30" s="371"/>
      <c r="GAH30" s="371"/>
      <c r="GAI30" s="371"/>
      <c r="GAJ30" s="371"/>
      <c r="GAK30" s="371"/>
      <c r="GAL30" s="371"/>
      <c r="GAM30" s="382"/>
      <c r="GAQ30" s="371"/>
      <c r="GAR30" s="371"/>
      <c r="GAS30" s="371"/>
      <c r="GAT30" s="371"/>
      <c r="GAU30" s="371"/>
      <c r="GAV30" s="371"/>
      <c r="GAW30" s="371"/>
      <c r="GAX30" s="371"/>
      <c r="GAY30" s="371"/>
      <c r="GAZ30" s="371"/>
      <c r="GBA30" s="371"/>
      <c r="GBB30" s="371"/>
      <c r="GBC30" s="371"/>
      <c r="GBD30" s="371"/>
      <c r="GBE30" s="371"/>
      <c r="GBF30" s="371"/>
      <c r="GBG30" s="371"/>
      <c r="GBH30" s="371"/>
      <c r="GBI30" s="371"/>
      <c r="GBJ30" s="371"/>
      <c r="GBK30" s="371"/>
      <c r="GBL30" s="371"/>
      <c r="GBM30" s="371"/>
      <c r="GBN30" s="371"/>
      <c r="GBO30" s="371"/>
      <c r="GBP30" s="371"/>
      <c r="GBQ30" s="382"/>
      <c r="GBU30" s="371"/>
      <c r="GBV30" s="371"/>
      <c r="GBW30" s="371"/>
      <c r="GBX30" s="371"/>
      <c r="GBY30" s="371"/>
      <c r="GBZ30" s="371"/>
      <c r="GCA30" s="371"/>
      <c r="GCB30" s="371"/>
      <c r="GCC30" s="371"/>
      <c r="GCD30" s="371"/>
      <c r="GCE30" s="371"/>
      <c r="GCF30" s="371"/>
      <c r="GCG30" s="371"/>
      <c r="GCH30" s="371"/>
      <c r="GCI30" s="371"/>
      <c r="GCJ30" s="371"/>
      <c r="GCK30" s="371"/>
      <c r="GCL30" s="371"/>
      <c r="GCM30" s="371"/>
      <c r="GCN30" s="371"/>
      <c r="GCO30" s="371"/>
      <c r="GCP30" s="371"/>
      <c r="GCQ30" s="371"/>
      <c r="GCR30" s="371"/>
      <c r="GCS30" s="371"/>
      <c r="GCT30" s="371"/>
      <c r="GCU30" s="382"/>
      <c r="GCY30" s="371"/>
      <c r="GCZ30" s="371"/>
      <c r="GDA30" s="371"/>
      <c r="GDB30" s="371"/>
      <c r="GDC30" s="371"/>
      <c r="GDD30" s="371"/>
      <c r="GDE30" s="371"/>
      <c r="GDF30" s="371"/>
      <c r="GDG30" s="371"/>
      <c r="GDH30" s="371"/>
      <c r="GDI30" s="371"/>
      <c r="GDJ30" s="371"/>
      <c r="GDK30" s="371"/>
      <c r="GDL30" s="371"/>
      <c r="GDM30" s="371"/>
      <c r="GDN30" s="371"/>
      <c r="GDO30" s="371"/>
      <c r="GDP30" s="371"/>
      <c r="GDQ30" s="371"/>
      <c r="GDR30" s="371"/>
      <c r="GDS30" s="371"/>
      <c r="GDT30" s="371"/>
      <c r="GDU30" s="371"/>
      <c r="GDV30" s="371"/>
      <c r="GDW30" s="371"/>
      <c r="GDX30" s="371"/>
      <c r="GDY30" s="382"/>
      <c r="GEC30" s="371"/>
      <c r="GED30" s="371"/>
      <c r="GEE30" s="371"/>
      <c r="GEF30" s="371"/>
      <c r="GEG30" s="371"/>
      <c r="GEH30" s="371"/>
      <c r="GEI30" s="371"/>
      <c r="GEJ30" s="371"/>
      <c r="GEK30" s="371"/>
      <c r="GEL30" s="371"/>
      <c r="GEM30" s="371"/>
      <c r="GEN30" s="371"/>
      <c r="GEO30" s="371"/>
      <c r="GEP30" s="371"/>
      <c r="GEQ30" s="371"/>
      <c r="GER30" s="371"/>
      <c r="GES30" s="371"/>
      <c r="GET30" s="371"/>
      <c r="GEU30" s="371"/>
      <c r="GEV30" s="371"/>
      <c r="GEW30" s="371"/>
      <c r="GEX30" s="371"/>
      <c r="GEY30" s="371"/>
      <c r="GEZ30" s="371"/>
      <c r="GFA30" s="371"/>
      <c r="GFB30" s="371"/>
      <c r="GFC30" s="382"/>
      <c r="GFG30" s="371"/>
      <c r="GFH30" s="371"/>
      <c r="GFI30" s="371"/>
      <c r="GFJ30" s="371"/>
      <c r="GFK30" s="371"/>
      <c r="GFL30" s="371"/>
      <c r="GFM30" s="371"/>
      <c r="GFN30" s="371"/>
      <c r="GFO30" s="371"/>
      <c r="GFP30" s="371"/>
      <c r="GFQ30" s="371"/>
      <c r="GFR30" s="371"/>
      <c r="GFS30" s="371"/>
      <c r="GFT30" s="371"/>
      <c r="GFU30" s="371"/>
      <c r="GFV30" s="371"/>
      <c r="GFW30" s="371"/>
      <c r="GFX30" s="371"/>
      <c r="GFY30" s="371"/>
      <c r="GFZ30" s="371"/>
      <c r="GGA30" s="371"/>
      <c r="GGB30" s="371"/>
      <c r="GGC30" s="371"/>
      <c r="GGD30" s="371"/>
      <c r="GGE30" s="371"/>
      <c r="GGF30" s="371"/>
      <c r="GGG30" s="382"/>
      <c r="GGK30" s="371"/>
      <c r="GGL30" s="371"/>
      <c r="GGM30" s="371"/>
      <c r="GGN30" s="371"/>
      <c r="GGO30" s="371"/>
      <c r="GGP30" s="371"/>
      <c r="GGQ30" s="371"/>
      <c r="GGR30" s="371"/>
      <c r="GGS30" s="371"/>
      <c r="GGT30" s="371"/>
      <c r="GGU30" s="371"/>
      <c r="GGV30" s="371"/>
      <c r="GGW30" s="371"/>
      <c r="GGX30" s="371"/>
      <c r="GGY30" s="371"/>
      <c r="GGZ30" s="371"/>
      <c r="GHA30" s="371"/>
      <c r="GHB30" s="371"/>
      <c r="GHC30" s="371"/>
      <c r="GHD30" s="371"/>
      <c r="GHE30" s="371"/>
      <c r="GHF30" s="371"/>
      <c r="GHG30" s="371"/>
      <c r="GHH30" s="371"/>
      <c r="GHI30" s="371"/>
      <c r="GHJ30" s="371"/>
      <c r="GHK30" s="382"/>
      <c r="GHO30" s="371"/>
      <c r="GHP30" s="371"/>
      <c r="GHQ30" s="371"/>
      <c r="GHR30" s="371"/>
      <c r="GHS30" s="371"/>
      <c r="GHT30" s="371"/>
      <c r="GHU30" s="371"/>
      <c r="GHV30" s="371"/>
      <c r="GHW30" s="371"/>
      <c r="GHX30" s="371"/>
      <c r="GHY30" s="371"/>
      <c r="GHZ30" s="371"/>
      <c r="GIA30" s="371"/>
      <c r="GIB30" s="371"/>
      <c r="GIC30" s="371"/>
      <c r="GID30" s="371"/>
      <c r="GIE30" s="371"/>
      <c r="GIF30" s="371"/>
      <c r="GIG30" s="371"/>
      <c r="GIH30" s="371"/>
      <c r="GII30" s="371"/>
      <c r="GIJ30" s="371"/>
      <c r="GIK30" s="371"/>
      <c r="GIL30" s="371"/>
      <c r="GIM30" s="371"/>
      <c r="GIN30" s="371"/>
      <c r="GIO30" s="382"/>
      <c r="GIS30" s="371"/>
      <c r="GIT30" s="371"/>
      <c r="GIU30" s="371"/>
      <c r="GIV30" s="371"/>
      <c r="GIW30" s="371"/>
      <c r="GIX30" s="371"/>
      <c r="GIY30" s="371"/>
      <c r="GIZ30" s="371"/>
      <c r="GJA30" s="371"/>
      <c r="GJB30" s="371"/>
      <c r="GJC30" s="371"/>
      <c r="GJD30" s="371"/>
      <c r="GJE30" s="371"/>
      <c r="GJF30" s="371"/>
      <c r="GJG30" s="371"/>
      <c r="GJH30" s="371"/>
      <c r="GJI30" s="371"/>
      <c r="GJJ30" s="371"/>
      <c r="GJK30" s="371"/>
      <c r="GJL30" s="371"/>
      <c r="GJM30" s="371"/>
      <c r="GJN30" s="371"/>
      <c r="GJO30" s="371"/>
      <c r="GJP30" s="371"/>
      <c r="GJQ30" s="371"/>
      <c r="GJR30" s="371"/>
      <c r="GJS30" s="382"/>
      <c r="GJW30" s="371"/>
      <c r="GJX30" s="371"/>
      <c r="GJY30" s="371"/>
      <c r="GJZ30" s="371"/>
      <c r="GKA30" s="371"/>
      <c r="GKB30" s="371"/>
      <c r="GKC30" s="371"/>
      <c r="GKD30" s="371"/>
      <c r="GKE30" s="371"/>
      <c r="GKF30" s="371"/>
      <c r="GKG30" s="371"/>
      <c r="GKH30" s="371"/>
      <c r="GKI30" s="371"/>
      <c r="GKJ30" s="371"/>
      <c r="GKK30" s="371"/>
      <c r="GKL30" s="371"/>
      <c r="GKM30" s="371"/>
      <c r="GKN30" s="371"/>
      <c r="GKO30" s="371"/>
      <c r="GKP30" s="371"/>
      <c r="GKQ30" s="371"/>
      <c r="GKR30" s="371"/>
      <c r="GKS30" s="371"/>
      <c r="GKT30" s="371"/>
      <c r="GKU30" s="371"/>
      <c r="GKV30" s="371"/>
      <c r="GKW30" s="382"/>
      <c r="GLA30" s="371"/>
      <c r="GLB30" s="371"/>
      <c r="GLC30" s="371"/>
      <c r="GLD30" s="371"/>
      <c r="GLE30" s="371"/>
      <c r="GLF30" s="371"/>
      <c r="GLG30" s="371"/>
      <c r="GLH30" s="371"/>
      <c r="GLI30" s="371"/>
      <c r="GLJ30" s="371"/>
      <c r="GLK30" s="371"/>
      <c r="GLL30" s="371"/>
      <c r="GLM30" s="371"/>
      <c r="GLN30" s="371"/>
      <c r="GLO30" s="371"/>
      <c r="GLP30" s="371"/>
      <c r="GLQ30" s="371"/>
      <c r="GLR30" s="371"/>
      <c r="GLS30" s="371"/>
      <c r="GLT30" s="371"/>
      <c r="GLU30" s="371"/>
      <c r="GLV30" s="371"/>
      <c r="GLW30" s="371"/>
      <c r="GLX30" s="371"/>
      <c r="GLY30" s="371"/>
      <c r="GLZ30" s="371"/>
      <c r="GMA30" s="382"/>
      <c r="GME30" s="371"/>
      <c r="GMF30" s="371"/>
      <c r="GMG30" s="371"/>
      <c r="GMH30" s="371"/>
      <c r="GMI30" s="371"/>
      <c r="GMJ30" s="371"/>
      <c r="GMK30" s="371"/>
      <c r="GML30" s="371"/>
      <c r="GMM30" s="371"/>
      <c r="GMN30" s="371"/>
      <c r="GMO30" s="371"/>
      <c r="GMP30" s="371"/>
      <c r="GMQ30" s="371"/>
      <c r="GMR30" s="371"/>
      <c r="GMS30" s="371"/>
      <c r="GMT30" s="371"/>
      <c r="GMU30" s="371"/>
      <c r="GMV30" s="371"/>
      <c r="GMW30" s="371"/>
      <c r="GMX30" s="371"/>
      <c r="GMY30" s="371"/>
      <c r="GMZ30" s="371"/>
      <c r="GNA30" s="371"/>
      <c r="GNB30" s="371"/>
      <c r="GNC30" s="371"/>
      <c r="GND30" s="371"/>
      <c r="GNE30" s="382"/>
      <c r="GNI30" s="371"/>
      <c r="GNJ30" s="371"/>
      <c r="GNK30" s="371"/>
      <c r="GNL30" s="371"/>
      <c r="GNM30" s="371"/>
      <c r="GNN30" s="371"/>
      <c r="GNO30" s="371"/>
      <c r="GNP30" s="371"/>
      <c r="GNQ30" s="371"/>
      <c r="GNR30" s="371"/>
      <c r="GNS30" s="371"/>
      <c r="GNT30" s="371"/>
      <c r="GNU30" s="371"/>
      <c r="GNV30" s="371"/>
      <c r="GNW30" s="371"/>
      <c r="GNX30" s="371"/>
      <c r="GNY30" s="371"/>
      <c r="GNZ30" s="371"/>
      <c r="GOA30" s="371"/>
      <c r="GOB30" s="371"/>
      <c r="GOC30" s="371"/>
      <c r="GOD30" s="371"/>
      <c r="GOE30" s="371"/>
      <c r="GOF30" s="371"/>
      <c r="GOG30" s="371"/>
      <c r="GOH30" s="371"/>
      <c r="GOI30" s="382"/>
      <c r="GOM30" s="371"/>
      <c r="GON30" s="371"/>
      <c r="GOO30" s="371"/>
      <c r="GOP30" s="371"/>
      <c r="GOQ30" s="371"/>
      <c r="GOR30" s="371"/>
      <c r="GOS30" s="371"/>
      <c r="GOT30" s="371"/>
      <c r="GOU30" s="371"/>
      <c r="GOV30" s="371"/>
      <c r="GOW30" s="371"/>
      <c r="GOX30" s="371"/>
      <c r="GOY30" s="371"/>
      <c r="GOZ30" s="371"/>
      <c r="GPA30" s="371"/>
      <c r="GPB30" s="371"/>
      <c r="GPC30" s="371"/>
      <c r="GPD30" s="371"/>
      <c r="GPE30" s="371"/>
      <c r="GPF30" s="371"/>
      <c r="GPG30" s="371"/>
      <c r="GPH30" s="371"/>
      <c r="GPI30" s="371"/>
      <c r="GPJ30" s="371"/>
      <c r="GPK30" s="371"/>
      <c r="GPL30" s="371"/>
      <c r="GPM30" s="382"/>
      <c r="GPQ30" s="371"/>
      <c r="GPR30" s="371"/>
      <c r="GPS30" s="371"/>
      <c r="GPT30" s="371"/>
      <c r="GPU30" s="371"/>
      <c r="GPV30" s="371"/>
      <c r="GPW30" s="371"/>
      <c r="GPX30" s="371"/>
      <c r="GPY30" s="371"/>
      <c r="GPZ30" s="371"/>
      <c r="GQA30" s="371"/>
      <c r="GQB30" s="371"/>
      <c r="GQC30" s="371"/>
      <c r="GQD30" s="371"/>
      <c r="GQE30" s="371"/>
      <c r="GQF30" s="371"/>
      <c r="GQG30" s="371"/>
      <c r="GQH30" s="371"/>
      <c r="GQI30" s="371"/>
      <c r="GQJ30" s="371"/>
      <c r="GQK30" s="371"/>
      <c r="GQL30" s="371"/>
      <c r="GQM30" s="371"/>
      <c r="GQN30" s="371"/>
      <c r="GQO30" s="371"/>
      <c r="GQP30" s="371"/>
      <c r="GQQ30" s="382"/>
      <c r="GQU30" s="371"/>
      <c r="GQV30" s="371"/>
      <c r="GQW30" s="371"/>
      <c r="GQX30" s="371"/>
      <c r="GQY30" s="371"/>
      <c r="GQZ30" s="371"/>
      <c r="GRA30" s="371"/>
      <c r="GRB30" s="371"/>
      <c r="GRC30" s="371"/>
      <c r="GRD30" s="371"/>
      <c r="GRE30" s="371"/>
      <c r="GRF30" s="371"/>
      <c r="GRG30" s="371"/>
      <c r="GRH30" s="371"/>
      <c r="GRI30" s="371"/>
      <c r="GRJ30" s="371"/>
      <c r="GRK30" s="371"/>
      <c r="GRL30" s="371"/>
      <c r="GRM30" s="371"/>
      <c r="GRN30" s="371"/>
      <c r="GRO30" s="371"/>
      <c r="GRP30" s="371"/>
      <c r="GRQ30" s="371"/>
      <c r="GRR30" s="371"/>
      <c r="GRS30" s="371"/>
      <c r="GRT30" s="371"/>
      <c r="GRU30" s="382"/>
      <c r="GRY30" s="371"/>
      <c r="GRZ30" s="371"/>
      <c r="GSA30" s="371"/>
      <c r="GSB30" s="371"/>
      <c r="GSC30" s="371"/>
      <c r="GSD30" s="371"/>
      <c r="GSE30" s="371"/>
      <c r="GSF30" s="371"/>
      <c r="GSG30" s="371"/>
      <c r="GSH30" s="371"/>
      <c r="GSI30" s="371"/>
      <c r="GSJ30" s="371"/>
      <c r="GSK30" s="371"/>
      <c r="GSL30" s="371"/>
      <c r="GSM30" s="371"/>
      <c r="GSN30" s="371"/>
      <c r="GSO30" s="371"/>
      <c r="GSP30" s="371"/>
      <c r="GSQ30" s="371"/>
      <c r="GSR30" s="371"/>
      <c r="GSS30" s="371"/>
      <c r="GST30" s="371"/>
      <c r="GSU30" s="371"/>
      <c r="GSV30" s="371"/>
      <c r="GSW30" s="371"/>
      <c r="GSX30" s="371"/>
      <c r="GSY30" s="382"/>
      <c r="GTC30" s="371"/>
      <c r="GTD30" s="371"/>
      <c r="GTE30" s="371"/>
      <c r="GTF30" s="371"/>
      <c r="GTG30" s="371"/>
      <c r="GTH30" s="371"/>
      <c r="GTI30" s="371"/>
      <c r="GTJ30" s="371"/>
      <c r="GTK30" s="371"/>
      <c r="GTL30" s="371"/>
      <c r="GTM30" s="371"/>
      <c r="GTN30" s="371"/>
      <c r="GTO30" s="371"/>
      <c r="GTP30" s="371"/>
      <c r="GTQ30" s="371"/>
      <c r="GTR30" s="371"/>
      <c r="GTS30" s="371"/>
      <c r="GTT30" s="371"/>
      <c r="GTU30" s="371"/>
      <c r="GTV30" s="371"/>
      <c r="GTW30" s="371"/>
      <c r="GTX30" s="371"/>
      <c r="GTY30" s="371"/>
      <c r="GTZ30" s="371"/>
      <c r="GUA30" s="371"/>
      <c r="GUB30" s="371"/>
      <c r="GUC30" s="382"/>
      <c r="GUG30" s="371"/>
      <c r="GUH30" s="371"/>
      <c r="GUI30" s="371"/>
      <c r="GUJ30" s="371"/>
      <c r="GUK30" s="371"/>
      <c r="GUL30" s="371"/>
      <c r="GUM30" s="371"/>
      <c r="GUN30" s="371"/>
      <c r="GUO30" s="371"/>
      <c r="GUP30" s="371"/>
      <c r="GUQ30" s="371"/>
      <c r="GUR30" s="371"/>
      <c r="GUS30" s="371"/>
      <c r="GUT30" s="371"/>
      <c r="GUU30" s="371"/>
      <c r="GUV30" s="371"/>
      <c r="GUW30" s="371"/>
      <c r="GUX30" s="371"/>
      <c r="GUY30" s="371"/>
      <c r="GUZ30" s="371"/>
      <c r="GVA30" s="371"/>
      <c r="GVB30" s="371"/>
      <c r="GVC30" s="371"/>
      <c r="GVD30" s="371"/>
      <c r="GVE30" s="371"/>
      <c r="GVF30" s="371"/>
      <c r="GVG30" s="382"/>
      <c r="GVK30" s="371"/>
      <c r="GVL30" s="371"/>
      <c r="GVM30" s="371"/>
      <c r="GVN30" s="371"/>
      <c r="GVO30" s="371"/>
      <c r="GVP30" s="371"/>
      <c r="GVQ30" s="371"/>
      <c r="GVR30" s="371"/>
      <c r="GVS30" s="371"/>
      <c r="GVT30" s="371"/>
      <c r="GVU30" s="371"/>
      <c r="GVV30" s="371"/>
      <c r="GVW30" s="371"/>
      <c r="GVX30" s="371"/>
      <c r="GVY30" s="371"/>
      <c r="GVZ30" s="371"/>
      <c r="GWA30" s="371"/>
      <c r="GWB30" s="371"/>
      <c r="GWC30" s="371"/>
      <c r="GWD30" s="371"/>
      <c r="GWE30" s="371"/>
      <c r="GWF30" s="371"/>
      <c r="GWG30" s="371"/>
      <c r="GWH30" s="371"/>
      <c r="GWI30" s="371"/>
      <c r="GWJ30" s="371"/>
      <c r="GWK30" s="382"/>
      <c r="GWO30" s="371"/>
      <c r="GWP30" s="371"/>
      <c r="GWQ30" s="371"/>
      <c r="GWR30" s="371"/>
      <c r="GWS30" s="371"/>
      <c r="GWT30" s="371"/>
      <c r="GWU30" s="371"/>
      <c r="GWV30" s="371"/>
      <c r="GWW30" s="371"/>
      <c r="GWX30" s="371"/>
      <c r="GWY30" s="371"/>
      <c r="GWZ30" s="371"/>
      <c r="GXA30" s="371"/>
      <c r="GXB30" s="371"/>
      <c r="GXC30" s="371"/>
      <c r="GXD30" s="371"/>
      <c r="GXE30" s="371"/>
      <c r="GXF30" s="371"/>
      <c r="GXG30" s="371"/>
      <c r="GXH30" s="371"/>
      <c r="GXI30" s="371"/>
      <c r="GXJ30" s="371"/>
      <c r="GXK30" s="371"/>
      <c r="GXL30" s="371"/>
      <c r="GXM30" s="371"/>
      <c r="GXN30" s="371"/>
      <c r="GXO30" s="382"/>
      <c r="GXS30" s="371"/>
      <c r="GXT30" s="371"/>
      <c r="GXU30" s="371"/>
      <c r="GXV30" s="371"/>
      <c r="GXW30" s="371"/>
      <c r="GXX30" s="371"/>
      <c r="GXY30" s="371"/>
      <c r="GXZ30" s="371"/>
      <c r="GYA30" s="371"/>
      <c r="GYB30" s="371"/>
      <c r="GYC30" s="371"/>
      <c r="GYD30" s="371"/>
      <c r="GYE30" s="371"/>
      <c r="GYF30" s="371"/>
      <c r="GYG30" s="371"/>
      <c r="GYH30" s="371"/>
      <c r="GYI30" s="371"/>
      <c r="GYJ30" s="371"/>
      <c r="GYK30" s="371"/>
      <c r="GYL30" s="371"/>
      <c r="GYM30" s="371"/>
      <c r="GYN30" s="371"/>
      <c r="GYO30" s="371"/>
      <c r="GYP30" s="371"/>
      <c r="GYQ30" s="371"/>
      <c r="GYR30" s="371"/>
      <c r="GYS30" s="382"/>
      <c r="GYW30" s="371"/>
      <c r="GYX30" s="371"/>
      <c r="GYY30" s="371"/>
      <c r="GYZ30" s="371"/>
      <c r="GZA30" s="371"/>
      <c r="GZB30" s="371"/>
      <c r="GZC30" s="371"/>
      <c r="GZD30" s="371"/>
      <c r="GZE30" s="371"/>
      <c r="GZF30" s="371"/>
      <c r="GZG30" s="371"/>
      <c r="GZH30" s="371"/>
      <c r="GZI30" s="371"/>
      <c r="GZJ30" s="371"/>
      <c r="GZK30" s="371"/>
      <c r="GZL30" s="371"/>
      <c r="GZM30" s="371"/>
      <c r="GZN30" s="371"/>
      <c r="GZO30" s="371"/>
      <c r="GZP30" s="371"/>
      <c r="GZQ30" s="371"/>
      <c r="GZR30" s="371"/>
      <c r="GZS30" s="371"/>
      <c r="GZT30" s="371"/>
      <c r="GZU30" s="371"/>
      <c r="GZV30" s="371"/>
      <c r="GZW30" s="382"/>
      <c r="HAA30" s="371"/>
      <c r="HAB30" s="371"/>
      <c r="HAC30" s="371"/>
      <c r="HAD30" s="371"/>
      <c r="HAE30" s="371"/>
      <c r="HAF30" s="371"/>
      <c r="HAG30" s="371"/>
      <c r="HAH30" s="371"/>
      <c r="HAI30" s="371"/>
      <c r="HAJ30" s="371"/>
      <c r="HAK30" s="371"/>
      <c r="HAL30" s="371"/>
      <c r="HAM30" s="371"/>
      <c r="HAN30" s="371"/>
      <c r="HAO30" s="371"/>
      <c r="HAP30" s="371"/>
      <c r="HAQ30" s="371"/>
      <c r="HAR30" s="371"/>
      <c r="HAS30" s="371"/>
      <c r="HAT30" s="371"/>
      <c r="HAU30" s="371"/>
      <c r="HAV30" s="371"/>
      <c r="HAW30" s="371"/>
      <c r="HAX30" s="371"/>
      <c r="HAY30" s="371"/>
      <c r="HAZ30" s="371"/>
      <c r="HBA30" s="382"/>
      <c r="HBE30" s="371"/>
      <c r="HBF30" s="371"/>
      <c r="HBG30" s="371"/>
      <c r="HBH30" s="371"/>
      <c r="HBI30" s="371"/>
      <c r="HBJ30" s="371"/>
      <c r="HBK30" s="371"/>
      <c r="HBL30" s="371"/>
      <c r="HBM30" s="371"/>
      <c r="HBN30" s="371"/>
      <c r="HBO30" s="371"/>
      <c r="HBP30" s="371"/>
      <c r="HBQ30" s="371"/>
      <c r="HBR30" s="371"/>
      <c r="HBS30" s="371"/>
      <c r="HBT30" s="371"/>
      <c r="HBU30" s="371"/>
      <c r="HBV30" s="371"/>
      <c r="HBW30" s="371"/>
      <c r="HBX30" s="371"/>
      <c r="HBY30" s="371"/>
      <c r="HBZ30" s="371"/>
      <c r="HCA30" s="371"/>
      <c r="HCB30" s="371"/>
      <c r="HCC30" s="371"/>
      <c r="HCD30" s="371"/>
      <c r="HCE30" s="382"/>
      <c r="HCI30" s="371"/>
      <c r="HCJ30" s="371"/>
      <c r="HCK30" s="371"/>
      <c r="HCL30" s="371"/>
      <c r="HCM30" s="371"/>
      <c r="HCN30" s="371"/>
      <c r="HCO30" s="371"/>
      <c r="HCP30" s="371"/>
      <c r="HCQ30" s="371"/>
      <c r="HCR30" s="371"/>
      <c r="HCS30" s="371"/>
      <c r="HCT30" s="371"/>
      <c r="HCU30" s="371"/>
      <c r="HCV30" s="371"/>
      <c r="HCW30" s="371"/>
      <c r="HCX30" s="371"/>
      <c r="HCY30" s="371"/>
      <c r="HCZ30" s="371"/>
      <c r="HDA30" s="371"/>
      <c r="HDB30" s="371"/>
      <c r="HDC30" s="371"/>
      <c r="HDD30" s="371"/>
      <c r="HDE30" s="371"/>
      <c r="HDF30" s="371"/>
      <c r="HDG30" s="371"/>
      <c r="HDH30" s="371"/>
      <c r="HDI30" s="382"/>
      <c r="HDM30" s="371"/>
      <c r="HDN30" s="371"/>
      <c r="HDO30" s="371"/>
      <c r="HDP30" s="371"/>
      <c r="HDQ30" s="371"/>
      <c r="HDR30" s="371"/>
      <c r="HDS30" s="371"/>
      <c r="HDT30" s="371"/>
      <c r="HDU30" s="371"/>
      <c r="HDV30" s="371"/>
      <c r="HDW30" s="371"/>
      <c r="HDX30" s="371"/>
      <c r="HDY30" s="371"/>
      <c r="HDZ30" s="371"/>
      <c r="HEA30" s="371"/>
      <c r="HEB30" s="371"/>
      <c r="HEC30" s="371"/>
      <c r="HED30" s="371"/>
      <c r="HEE30" s="371"/>
      <c r="HEF30" s="371"/>
      <c r="HEG30" s="371"/>
      <c r="HEH30" s="371"/>
      <c r="HEI30" s="371"/>
      <c r="HEJ30" s="371"/>
      <c r="HEK30" s="371"/>
      <c r="HEL30" s="371"/>
      <c r="HEM30" s="382"/>
      <c r="HEQ30" s="371"/>
      <c r="HER30" s="371"/>
      <c r="HES30" s="371"/>
      <c r="HET30" s="371"/>
      <c r="HEU30" s="371"/>
      <c r="HEV30" s="371"/>
      <c r="HEW30" s="371"/>
      <c r="HEX30" s="371"/>
      <c r="HEY30" s="371"/>
      <c r="HEZ30" s="371"/>
      <c r="HFA30" s="371"/>
      <c r="HFB30" s="371"/>
      <c r="HFC30" s="371"/>
      <c r="HFD30" s="371"/>
      <c r="HFE30" s="371"/>
      <c r="HFF30" s="371"/>
      <c r="HFG30" s="371"/>
      <c r="HFH30" s="371"/>
      <c r="HFI30" s="371"/>
      <c r="HFJ30" s="371"/>
      <c r="HFK30" s="371"/>
      <c r="HFL30" s="371"/>
      <c r="HFM30" s="371"/>
      <c r="HFN30" s="371"/>
      <c r="HFO30" s="371"/>
      <c r="HFP30" s="371"/>
      <c r="HFQ30" s="382"/>
      <c r="HFU30" s="371"/>
      <c r="HFV30" s="371"/>
      <c r="HFW30" s="371"/>
      <c r="HFX30" s="371"/>
      <c r="HFY30" s="371"/>
      <c r="HFZ30" s="371"/>
      <c r="HGA30" s="371"/>
      <c r="HGB30" s="371"/>
      <c r="HGC30" s="371"/>
      <c r="HGD30" s="371"/>
      <c r="HGE30" s="371"/>
      <c r="HGF30" s="371"/>
      <c r="HGG30" s="371"/>
      <c r="HGH30" s="371"/>
      <c r="HGI30" s="371"/>
      <c r="HGJ30" s="371"/>
      <c r="HGK30" s="371"/>
      <c r="HGL30" s="371"/>
      <c r="HGM30" s="371"/>
      <c r="HGN30" s="371"/>
      <c r="HGO30" s="371"/>
      <c r="HGP30" s="371"/>
      <c r="HGQ30" s="371"/>
      <c r="HGR30" s="371"/>
      <c r="HGS30" s="371"/>
      <c r="HGT30" s="371"/>
      <c r="HGU30" s="382"/>
      <c r="HGY30" s="371"/>
      <c r="HGZ30" s="371"/>
      <c r="HHA30" s="371"/>
      <c r="HHB30" s="371"/>
      <c r="HHC30" s="371"/>
      <c r="HHD30" s="371"/>
      <c r="HHE30" s="371"/>
      <c r="HHF30" s="371"/>
      <c r="HHG30" s="371"/>
      <c r="HHH30" s="371"/>
      <c r="HHI30" s="371"/>
      <c r="HHJ30" s="371"/>
      <c r="HHK30" s="371"/>
      <c r="HHL30" s="371"/>
      <c r="HHM30" s="371"/>
      <c r="HHN30" s="371"/>
      <c r="HHO30" s="371"/>
      <c r="HHP30" s="371"/>
      <c r="HHQ30" s="371"/>
      <c r="HHR30" s="371"/>
      <c r="HHS30" s="371"/>
      <c r="HHT30" s="371"/>
      <c r="HHU30" s="371"/>
      <c r="HHV30" s="371"/>
      <c r="HHW30" s="371"/>
      <c r="HHX30" s="371"/>
      <c r="HHY30" s="382"/>
      <c r="HIC30" s="371"/>
      <c r="HID30" s="371"/>
      <c r="HIE30" s="371"/>
      <c r="HIF30" s="371"/>
      <c r="HIG30" s="371"/>
      <c r="HIH30" s="371"/>
      <c r="HII30" s="371"/>
      <c r="HIJ30" s="371"/>
      <c r="HIK30" s="371"/>
      <c r="HIL30" s="371"/>
      <c r="HIM30" s="371"/>
      <c r="HIN30" s="371"/>
      <c r="HIO30" s="371"/>
      <c r="HIP30" s="371"/>
      <c r="HIQ30" s="371"/>
      <c r="HIR30" s="371"/>
      <c r="HIS30" s="371"/>
      <c r="HIT30" s="371"/>
      <c r="HIU30" s="371"/>
      <c r="HIV30" s="371"/>
      <c r="HIW30" s="371"/>
      <c r="HIX30" s="371"/>
      <c r="HIY30" s="371"/>
      <c r="HIZ30" s="371"/>
      <c r="HJA30" s="371"/>
      <c r="HJB30" s="371"/>
      <c r="HJC30" s="382"/>
      <c r="HJG30" s="371"/>
      <c r="HJH30" s="371"/>
      <c r="HJI30" s="371"/>
      <c r="HJJ30" s="371"/>
      <c r="HJK30" s="371"/>
      <c r="HJL30" s="371"/>
      <c r="HJM30" s="371"/>
      <c r="HJN30" s="371"/>
      <c r="HJO30" s="371"/>
      <c r="HJP30" s="371"/>
      <c r="HJQ30" s="371"/>
      <c r="HJR30" s="371"/>
      <c r="HJS30" s="371"/>
      <c r="HJT30" s="371"/>
      <c r="HJU30" s="371"/>
      <c r="HJV30" s="371"/>
      <c r="HJW30" s="371"/>
      <c r="HJX30" s="371"/>
      <c r="HJY30" s="371"/>
      <c r="HJZ30" s="371"/>
      <c r="HKA30" s="371"/>
      <c r="HKB30" s="371"/>
      <c r="HKC30" s="371"/>
      <c r="HKD30" s="371"/>
      <c r="HKE30" s="371"/>
      <c r="HKF30" s="371"/>
      <c r="HKG30" s="382"/>
      <c r="HKK30" s="371"/>
      <c r="HKL30" s="371"/>
      <c r="HKM30" s="371"/>
      <c r="HKN30" s="371"/>
      <c r="HKO30" s="371"/>
      <c r="HKP30" s="371"/>
      <c r="HKQ30" s="371"/>
      <c r="HKR30" s="371"/>
      <c r="HKS30" s="371"/>
      <c r="HKT30" s="371"/>
      <c r="HKU30" s="371"/>
      <c r="HKV30" s="371"/>
      <c r="HKW30" s="371"/>
      <c r="HKX30" s="371"/>
      <c r="HKY30" s="371"/>
      <c r="HKZ30" s="371"/>
      <c r="HLA30" s="371"/>
      <c r="HLB30" s="371"/>
      <c r="HLC30" s="371"/>
      <c r="HLD30" s="371"/>
      <c r="HLE30" s="371"/>
      <c r="HLF30" s="371"/>
      <c r="HLG30" s="371"/>
      <c r="HLH30" s="371"/>
      <c r="HLI30" s="371"/>
      <c r="HLJ30" s="371"/>
      <c r="HLK30" s="382"/>
      <c r="HLO30" s="371"/>
      <c r="HLP30" s="371"/>
      <c r="HLQ30" s="371"/>
      <c r="HLR30" s="371"/>
      <c r="HLS30" s="371"/>
      <c r="HLT30" s="371"/>
      <c r="HLU30" s="371"/>
      <c r="HLV30" s="371"/>
      <c r="HLW30" s="371"/>
      <c r="HLX30" s="371"/>
      <c r="HLY30" s="371"/>
      <c r="HLZ30" s="371"/>
      <c r="HMA30" s="371"/>
      <c r="HMB30" s="371"/>
      <c r="HMC30" s="371"/>
      <c r="HMD30" s="371"/>
      <c r="HME30" s="371"/>
      <c r="HMF30" s="371"/>
      <c r="HMG30" s="371"/>
      <c r="HMH30" s="371"/>
      <c r="HMI30" s="371"/>
      <c r="HMJ30" s="371"/>
      <c r="HMK30" s="371"/>
      <c r="HML30" s="371"/>
      <c r="HMM30" s="371"/>
      <c r="HMN30" s="371"/>
      <c r="HMO30" s="382"/>
      <c r="HMS30" s="371"/>
      <c r="HMT30" s="371"/>
      <c r="HMU30" s="371"/>
      <c r="HMV30" s="371"/>
      <c r="HMW30" s="371"/>
      <c r="HMX30" s="371"/>
      <c r="HMY30" s="371"/>
      <c r="HMZ30" s="371"/>
      <c r="HNA30" s="371"/>
      <c r="HNB30" s="371"/>
      <c r="HNC30" s="371"/>
      <c r="HND30" s="371"/>
      <c r="HNE30" s="371"/>
      <c r="HNF30" s="371"/>
      <c r="HNG30" s="371"/>
      <c r="HNH30" s="371"/>
      <c r="HNI30" s="371"/>
      <c r="HNJ30" s="371"/>
      <c r="HNK30" s="371"/>
      <c r="HNL30" s="371"/>
      <c r="HNM30" s="371"/>
      <c r="HNN30" s="371"/>
      <c r="HNO30" s="371"/>
      <c r="HNP30" s="371"/>
      <c r="HNQ30" s="371"/>
      <c r="HNR30" s="371"/>
      <c r="HNS30" s="382"/>
      <c r="HNW30" s="371"/>
      <c r="HNX30" s="371"/>
      <c r="HNY30" s="371"/>
      <c r="HNZ30" s="371"/>
      <c r="HOA30" s="371"/>
      <c r="HOB30" s="371"/>
      <c r="HOC30" s="371"/>
      <c r="HOD30" s="371"/>
      <c r="HOE30" s="371"/>
      <c r="HOF30" s="371"/>
      <c r="HOG30" s="371"/>
      <c r="HOH30" s="371"/>
      <c r="HOI30" s="371"/>
      <c r="HOJ30" s="371"/>
      <c r="HOK30" s="371"/>
      <c r="HOL30" s="371"/>
      <c r="HOM30" s="371"/>
      <c r="HON30" s="371"/>
      <c r="HOO30" s="371"/>
      <c r="HOP30" s="371"/>
      <c r="HOQ30" s="371"/>
      <c r="HOR30" s="371"/>
      <c r="HOS30" s="371"/>
      <c r="HOT30" s="371"/>
      <c r="HOU30" s="371"/>
      <c r="HOV30" s="371"/>
      <c r="HOW30" s="382"/>
      <c r="HPA30" s="371"/>
      <c r="HPB30" s="371"/>
      <c r="HPC30" s="371"/>
      <c r="HPD30" s="371"/>
      <c r="HPE30" s="371"/>
      <c r="HPF30" s="371"/>
      <c r="HPG30" s="371"/>
      <c r="HPH30" s="371"/>
      <c r="HPI30" s="371"/>
      <c r="HPJ30" s="371"/>
      <c r="HPK30" s="371"/>
      <c r="HPL30" s="371"/>
      <c r="HPM30" s="371"/>
      <c r="HPN30" s="371"/>
      <c r="HPO30" s="371"/>
      <c r="HPP30" s="371"/>
      <c r="HPQ30" s="371"/>
      <c r="HPR30" s="371"/>
      <c r="HPS30" s="371"/>
      <c r="HPT30" s="371"/>
      <c r="HPU30" s="371"/>
      <c r="HPV30" s="371"/>
      <c r="HPW30" s="371"/>
      <c r="HPX30" s="371"/>
      <c r="HPY30" s="371"/>
      <c r="HPZ30" s="371"/>
      <c r="HQA30" s="382"/>
      <c r="HQE30" s="371"/>
      <c r="HQF30" s="371"/>
      <c r="HQG30" s="371"/>
      <c r="HQH30" s="371"/>
      <c r="HQI30" s="371"/>
      <c r="HQJ30" s="371"/>
      <c r="HQK30" s="371"/>
      <c r="HQL30" s="371"/>
      <c r="HQM30" s="371"/>
      <c r="HQN30" s="371"/>
      <c r="HQO30" s="371"/>
      <c r="HQP30" s="371"/>
      <c r="HQQ30" s="371"/>
      <c r="HQR30" s="371"/>
      <c r="HQS30" s="371"/>
      <c r="HQT30" s="371"/>
      <c r="HQU30" s="371"/>
      <c r="HQV30" s="371"/>
      <c r="HQW30" s="371"/>
      <c r="HQX30" s="371"/>
      <c r="HQY30" s="371"/>
      <c r="HQZ30" s="371"/>
      <c r="HRA30" s="371"/>
      <c r="HRB30" s="371"/>
      <c r="HRC30" s="371"/>
      <c r="HRD30" s="371"/>
      <c r="HRE30" s="382"/>
      <c r="HRI30" s="371"/>
      <c r="HRJ30" s="371"/>
      <c r="HRK30" s="371"/>
      <c r="HRL30" s="371"/>
      <c r="HRM30" s="371"/>
      <c r="HRN30" s="371"/>
      <c r="HRO30" s="371"/>
      <c r="HRP30" s="371"/>
      <c r="HRQ30" s="371"/>
      <c r="HRR30" s="371"/>
      <c r="HRS30" s="371"/>
      <c r="HRT30" s="371"/>
      <c r="HRU30" s="371"/>
      <c r="HRV30" s="371"/>
      <c r="HRW30" s="371"/>
      <c r="HRX30" s="371"/>
      <c r="HRY30" s="371"/>
      <c r="HRZ30" s="371"/>
      <c r="HSA30" s="371"/>
      <c r="HSB30" s="371"/>
      <c r="HSC30" s="371"/>
      <c r="HSD30" s="371"/>
      <c r="HSE30" s="371"/>
      <c r="HSF30" s="371"/>
      <c r="HSG30" s="371"/>
      <c r="HSH30" s="371"/>
      <c r="HSI30" s="382"/>
      <c r="HSM30" s="371"/>
      <c r="HSN30" s="371"/>
      <c r="HSO30" s="371"/>
      <c r="HSP30" s="371"/>
      <c r="HSQ30" s="371"/>
      <c r="HSR30" s="371"/>
      <c r="HSS30" s="371"/>
      <c r="HST30" s="371"/>
      <c r="HSU30" s="371"/>
      <c r="HSV30" s="371"/>
      <c r="HSW30" s="371"/>
      <c r="HSX30" s="371"/>
      <c r="HSY30" s="371"/>
      <c r="HSZ30" s="371"/>
      <c r="HTA30" s="371"/>
      <c r="HTB30" s="371"/>
      <c r="HTC30" s="371"/>
      <c r="HTD30" s="371"/>
      <c r="HTE30" s="371"/>
      <c r="HTF30" s="371"/>
      <c r="HTG30" s="371"/>
      <c r="HTH30" s="371"/>
      <c r="HTI30" s="371"/>
      <c r="HTJ30" s="371"/>
      <c r="HTK30" s="371"/>
      <c r="HTL30" s="371"/>
      <c r="HTM30" s="382"/>
      <c r="HTQ30" s="371"/>
      <c r="HTR30" s="371"/>
      <c r="HTS30" s="371"/>
      <c r="HTT30" s="371"/>
      <c r="HTU30" s="371"/>
      <c r="HTV30" s="371"/>
      <c r="HTW30" s="371"/>
      <c r="HTX30" s="371"/>
      <c r="HTY30" s="371"/>
      <c r="HTZ30" s="371"/>
      <c r="HUA30" s="371"/>
      <c r="HUB30" s="371"/>
      <c r="HUC30" s="371"/>
      <c r="HUD30" s="371"/>
      <c r="HUE30" s="371"/>
      <c r="HUF30" s="371"/>
      <c r="HUG30" s="371"/>
      <c r="HUH30" s="371"/>
      <c r="HUI30" s="371"/>
      <c r="HUJ30" s="371"/>
      <c r="HUK30" s="371"/>
      <c r="HUL30" s="371"/>
      <c r="HUM30" s="371"/>
      <c r="HUN30" s="371"/>
      <c r="HUO30" s="371"/>
      <c r="HUP30" s="371"/>
      <c r="HUQ30" s="382"/>
      <c r="HUU30" s="371"/>
      <c r="HUV30" s="371"/>
      <c r="HUW30" s="371"/>
      <c r="HUX30" s="371"/>
      <c r="HUY30" s="371"/>
      <c r="HUZ30" s="371"/>
      <c r="HVA30" s="371"/>
      <c r="HVB30" s="371"/>
      <c r="HVC30" s="371"/>
      <c r="HVD30" s="371"/>
      <c r="HVE30" s="371"/>
      <c r="HVF30" s="371"/>
      <c r="HVG30" s="371"/>
      <c r="HVH30" s="371"/>
      <c r="HVI30" s="371"/>
      <c r="HVJ30" s="371"/>
      <c r="HVK30" s="371"/>
      <c r="HVL30" s="371"/>
      <c r="HVM30" s="371"/>
      <c r="HVN30" s="371"/>
      <c r="HVO30" s="371"/>
      <c r="HVP30" s="371"/>
      <c r="HVQ30" s="371"/>
      <c r="HVR30" s="371"/>
      <c r="HVS30" s="371"/>
      <c r="HVT30" s="371"/>
      <c r="HVU30" s="382"/>
      <c r="HVY30" s="371"/>
      <c r="HVZ30" s="371"/>
      <c r="HWA30" s="371"/>
      <c r="HWB30" s="371"/>
      <c r="HWC30" s="371"/>
      <c r="HWD30" s="371"/>
      <c r="HWE30" s="371"/>
      <c r="HWF30" s="371"/>
      <c r="HWG30" s="371"/>
      <c r="HWH30" s="371"/>
      <c r="HWI30" s="371"/>
      <c r="HWJ30" s="371"/>
      <c r="HWK30" s="371"/>
      <c r="HWL30" s="371"/>
      <c r="HWM30" s="371"/>
      <c r="HWN30" s="371"/>
      <c r="HWO30" s="371"/>
      <c r="HWP30" s="371"/>
      <c r="HWQ30" s="371"/>
      <c r="HWR30" s="371"/>
      <c r="HWS30" s="371"/>
      <c r="HWT30" s="371"/>
      <c r="HWU30" s="371"/>
      <c r="HWV30" s="371"/>
      <c r="HWW30" s="371"/>
      <c r="HWX30" s="371"/>
      <c r="HWY30" s="382"/>
      <c r="HXC30" s="371"/>
      <c r="HXD30" s="371"/>
      <c r="HXE30" s="371"/>
      <c r="HXF30" s="371"/>
      <c r="HXG30" s="371"/>
      <c r="HXH30" s="371"/>
      <c r="HXI30" s="371"/>
      <c r="HXJ30" s="371"/>
      <c r="HXK30" s="371"/>
      <c r="HXL30" s="371"/>
      <c r="HXM30" s="371"/>
      <c r="HXN30" s="371"/>
      <c r="HXO30" s="371"/>
      <c r="HXP30" s="371"/>
      <c r="HXQ30" s="371"/>
      <c r="HXR30" s="371"/>
      <c r="HXS30" s="371"/>
      <c r="HXT30" s="371"/>
      <c r="HXU30" s="371"/>
      <c r="HXV30" s="371"/>
      <c r="HXW30" s="371"/>
      <c r="HXX30" s="371"/>
      <c r="HXY30" s="371"/>
      <c r="HXZ30" s="371"/>
      <c r="HYA30" s="371"/>
      <c r="HYB30" s="371"/>
      <c r="HYC30" s="382"/>
      <c r="HYG30" s="371"/>
      <c r="HYH30" s="371"/>
      <c r="HYI30" s="371"/>
      <c r="HYJ30" s="371"/>
      <c r="HYK30" s="371"/>
      <c r="HYL30" s="371"/>
      <c r="HYM30" s="371"/>
      <c r="HYN30" s="371"/>
      <c r="HYO30" s="371"/>
      <c r="HYP30" s="371"/>
      <c r="HYQ30" s="371"/>
      <c r="HYR30" s="371"/>
      <c r="HYS30" s="371"/>
      <c r="HYT30" s="371"/>
      <c r="HYU30" s="371"/>
      <c r="HYV30" s="371"/>
      <c r="HYW30" s="371"/>
      <c r="HYX30" s="371"/>
      <c r="HYY30" s="371"/>
      <c r="HYZ30" s="371"/>
      <c r="HZA30" s="371"/>
      <c r="HZB30" s="371"/>
      <c r="HZC30" s="371"/>
      <c r="HZD30" s="371"/>
      <c r="HZE30" s="371"/>
      <c r="HZF30" s="371"/>
      <c r="HZG30" s="382"/>
      <c r="HZK30" s="371"/>
      <c r="HZL30" s="371"/>
      <c r="HZM30" s="371"/>
      <c r="HZN30" s="371"/>
      <c r="HZO30" s="371"/>
      <c r="HZP30" s="371"/>
      <c r="HZQ30" s="371"/>
      <c r="HZR30" s="371"/>
      <c r="HZS30" s="371"/>
      <c r="HZT30" s="371"/>
      <c r="HZU30" s="371"/>
      <c r="HZV30" s="371"/>
      <c r="HZW30" s="371"/>
      <c r="HZX30" s="371"/>
      <c r="HZY30" s="371"/>
      <c r="HZZ30" s="371"/>
      <c r="IAA30" s="371"/>
      <c r="IAB30" s="371"/>
      <c r="IAC30" s="371"/>
      <c r="IAD30" s="371"/>
      <c r="IAE30" s="371"/>
      <c r="IAF30" s="371"/>
      <c r="IAG30" s="371"/>
      <c r="IAH30" s="371"/>
      <c r="IAI30" s="371"/>
      <c r="IAJ30" s="371"/>
      <c r="IAK30" s="382"/>
      <c r="IAO30" s="371"/>
      <c r="IAP30" s="371"/>
      <c r="IAQ30" s="371"/>
      <c r="IAR30" s="371"/>
      <c r="IAS30" s="371"/>
      <c r="IAT30" s="371"/>
      <c r="IAU30" s="371"/>
      <c r="IAV30" s="371"/>
      <c r="IAW30" s="371"/>
      <c r="IAX30" s="371"/>
      <c r="IAY30" s="371"/>
      <c r="IAZ30" s="371"/>
      <c r="IBA30" s="371"/>
      <c r="IBB30" s="371"/>
      <c r="IBC30" s="371"/>
      <c r="IBD30" s="371"/>
      <c r="IBE30" s="371"/>
      <c r="IBF30" s="371"/>
      <c r="IBG30" s="371"/>
      <c r="IBH30" s="371"/>
      <c r="IBI30" s="371"/>
      <c r="IBJ30" s="371"/>
      <c r="IBK30" s="371"/>
      <c r="IBL30" s="371"/>
      <c r="IBM30" s="371"/>
      <c r="IBN30" s="371"/>
      <c r="IBO30" s="382"/>
      <c r="IBS30" s="371"/>
      <c r="IBT30" s="371"/>
      <c r="IBU30" s="371"/>
      <c r="IBV30" s="371"/>
      <c r="IBW30" s="371"/>
      <c r="IBX30" s="371"/>
      <c r="IBY30" s="371"/>
      <c r="IBZ30" s="371"/>
      <c r="ICA30" s="371"/>
      <c r="ICB30" s="371"/>
      <c r="ICC30" s="371"/>
      <c r="ICD30" s="371"/>
      <c r="ICE30" s="371"/>
      <c r="ICF30" s="371"/>
      <c r="ICG30" s="371"/>
      <c r="ICH30" s="371"/>
      <c r="ICI30" s="371"/>
      <c r="ICJ30" s="371"/>
      <c r="ICK30" s="371"/>
      <c r="ICL30" s="371"/>
      <c r="ICM30" s="371"/>
      <c r="ICN30" s="371"/>
      <c r="ICO30" s="371"/>
      <c r="ICP30" s="371"/>
      <c r="ICQ30" s="371"/>
      <c r="ICR30" s="371"/>
      <c r="ICS30" s="382"/>
      <c r="ICW30" s="371"/>
      <c r="ICX30" s="371"/>
      <c r="ICY30" s="371"/>
      <c r="ICZ30" s="371"/>
      <c r="IDA30" s="371"/>
      <c r="IDB30" s="371"/>
      <c r="IDC30" s="371"/>
      <c r="IDD30" s="371"/>
      <c r="IDE30" s="371"/>
      <c r="IDF30" s="371"/>
      <c r="IDG30" s="371"/>
      <c r="IDH30" s="371"/>
      <c r="IDI30" s="371"/>
      <c r="IDJ30" s="371"/>
      <c r="IDK30" s="371"/>
      <c r="IDL30" s="371"/>
      <c r="IDM30" s="371"/>
      <c r="IDN30" s="371"/>
      <c r="IDO30" s="371"/>
      <c r="IDP30" s="371"/>
      <c r="IDQ30" s="371"/>
      <c r="IDR30" s="371"/>
      <c r="IDS30" s="371"/>
      <c r="IDT30" s="371"/>
      <c r="IDU30" s="371"/>
      <c r="IDV30" s="371"/>
      <c r="IDW30" s="382"/>
      <c r="IEA30" s="371"/>
      <c r="IEB30" s="371"/>
      <c r="IEC30" s="371"/>
      <c r="IED30" s="371"/>
      <c r="IEE30" s="371"/>
      <c r="IEF30" s="371"/>
      <c r="IEG30" s="371"/>
      <c r="IEH30" s="371"/>
      <c r="IEI30" s="371"/>
      <c r="IEJ30" s="371"/>
      <c r="IEK30" s="371"/>
      <c r="IEL30" s="371"/>
      <c r="IEM30" s="371"/>
      <c r="IEN30" s="371"/>
      <c r="IEO30" s="371"/>
      <c r="IEP30" s="371"/>
      <c r="IEQ30" s="371"/>
      <c r="IER30" s="371"/>
      <c r="IES30" s="371"/>
      <c r="IET30" s="371"/>
      <c r="IEU30" s="371"/>
      <c r="IEV30" s="371"/>
      <c r="IEW30" s="371"/>
      <c r="IEX30" s="371"/>
      <c r="IEY30" s="371"/>
      <c r="IEZ30" s="371"/>
      <c r="IFA30" s="382"/>
      <c r="IFE30" s="371"/>
      <c r="IFF30" s="371"/>
      <c r="IFG30" s="371"/>
      <c r="IFH30" s="371"/>
      <c r="IFI30" s="371"/>
      <c r="IFJ30" s="371"/>
      <c r="IFK30" s="371"/>
      <c r="IFL30" s="371"/>
      <c r="IFM30" s="371"/>
      <c r="IFN30" s="371"/>
      <c r="IFO30" s="371"/>
      <c r="IFP30" s="371"/>
      <c r="IFQ30" s="371"/>
      <c r="IFR30" s="371"/>
      <c r="IFS30" s="371"/>
      <c r="IFT30" s="371"/>
      <c r="IFU30" s="371"/>
      <c r="IFV30" s="371"/>
      <c r="IFW30" s="371"/>
      <c r="IFX30" s="371"/>
      <c r="IFY30" s="371"/>
      <c r="IFZ30" s="371"/>
      <c r="IGA30" s="371"/>
      <c r="IGB30" s="371"/>
      <c r="IGC30" s="371"/>
      <c r="IGD30" s="371"/>
      <c r="IGE30" s="382"/>
      <c r="IGI30" s="371"/>
      <c r="IGJ30" s="371"/>
      <c r="IGK30" s="371"/>
      <c r="IGL30" s="371"/>
      <c r="IGM30" s="371"/>
      <c r="IGN30" s="371"/>
      <c r="IGO30" s="371"/>
      <c r="IGP30" s="371"/>
      <c r="IGQ30" s="371"/>
      <c r="IGR30" s="371"/>
      <c r="IGS30" s="371"/>
      <c r="IGT30" s="371"/>
      <c r="IGU30" s="371"/>
      <c r="IGV30" s="371"/>
      <c r="IGW30" s="371"/>
      <c r="IGX30" s="371"/>
      <c r="IGY30" s="371"/>
      <c r="IGZ30" s="371"/>
      <c r="IHA30" s="371"/>
      <c r="IHB30" s="371"/>
      <c r="IHC30" s="371"/>
      <c r="IHD30" s="371"/>
      <c r="IHE30" s="371"/>
      <c r="IHF30" s="371"/>
      <c r="IHG30" s="371"/>
      <c r="IHH30" s="371"/>
      <c r="IHI30" s="382"/>
      <c r="IHM30" s="371"/>
      <c r="IHN30" s="371"/>
      <c r="IHO30" s="371"/>
      <c r="IHP30" s="371"/>
      <c r="IHQ30" s="371"/>
      <c r="IHR30" s="371"/>
      <c r="IHS30" s="371"/>
      <c r="IHT30" s="371"/>
      <c r="IHU30" s="371"/>
      <c r="IHV30" s="371"/>
      <c r="IHW30" s="371"/>
      <c r="IHX30" s="371"/>
      <c r="IHY30" s="371"/>
      <c r="IHZ30" s="371"/>
      <c r="IIA30" s="371"/>
      <c r="IIB30" s="371"/>
      <c r="IIC30" s="371"/>
      <c r="IID30" s="371"/>
      <c r="IIE30" s="371"/>
      <c r="IIF30" s="371"/>
      <c r="IIG30" s="371"/>
      <c r="IIH30" s="371"/>
      <c r="III30" s="371"/>
      <c r="IIJ30" s="371"/>
      <c r="IIK30" s="371"/>
      <c r="IIL30" s="371"/>
      <c r="IIM30" s="382"/>
      <c r="IIQ30" s="371"/>
      <c r="IIR30" s="371"/>
      <c r="IIS30" s="371"/>
      <c r="IIT30" s="371"/>
      <c r="IIU30" s="371"/>
      <c r="IIV30" s="371"/>
      <c r="IIW30" s="371"/>
      <c r="IIX30" s="371"/>
      <c r="IIY30" s="371"/>
      <c r="IIZ30" s="371"/>
      <c r="IJA30" s="371"/>
      <c r="IJB30" s="371"/>
      <c r="IJC30" s="371"/>
      <c r="IJD30" s="371"/>
      <c r="IJE30" s="371"/>
      <c r="IJF30" s="371"/>
      <c r="IJG30" s="371"/>
      <c r="IJH30" s="371"/>
      <c r="IJI30" s="371"/>
      <c r="IJJ30" s="371"/>
      <c r="IJK30" s="371"/>
      <c r="IJL30" s="371"/>
      <c r="IJM30" s="371"/>
      <c r="IJN30" s="371"/>
      <c r="IJO30" s="371"/>
      <c r="IJP30" s="371"/>
      <c r="IJQ30" s="382"/>
      <c r="IJU30" s="371"/>
      <c r="IJV30" s="371"/>
      <c r="IJW30" s="371"/>
      <c r="IJX30" s="371"/>
      <c r="IJY30" s="371"/>
      <c r="IJZ30" s="371"/>
      <c r="IKA30" s="371"/>
      <c r="IKB30" s="371"/>
      <c r="IKC30" s="371"/>
      <c r="IKD30" s="371"/>
      <c r="IKE30" s="371"/>
      <c r="IKF30" s="371"/>
      <c r="IKG30" s="371"/>
      <c r="IKH30" s="371"/>
      <c r="IKI30" s="371"/>
      <c r="IKJ30" s="371"/>
      <c r="IKK30" s="371"/>
      <c r="IKL30" s="371"/>
      <c r="IKM30" s="371"/>
      <c r="IKN30" s="371"/>
      <c r="IKO30" s="371"/>
      <c r="IKP30" s="371"/>
      <c r="IKQ30" s="371"/>
      <c r="IKR30" s="371"/>
      <c r="IKS30" s="371"/>
      <c r="IKT30" s="371"/>
      <c r="IKU30" s="382"/>
      <c r="IKY30" s="371"/>
      <c r="IKZ30" s="371"/>
      <c r="ILA30" s="371"/>
      <c r="ILB30" s="371"/>
      <c r="ILC30" s="371"/>
      <c r="ILD30" s="371"/>
      <c r="ILE30" s="371"/>
      <c r="ILF30" s="371"/>
      <c r="ILG30" s="371"/>
      <c r="ILH30" s="371"/>
      <c r="ILI30" s="371"/>
      <c r="ILJ30" s="371"/>
      <c r="ILK30" s="371"/>
      <c r="ILL30" s="371"/>
      <c r="ILM30" s="371"/>
      <c r="ILN30" s="371"/>
      <c r="ILO30" s="371"/>
      <c r="ILP30" s="371"/>
      <c r="ILQ30" s="371"/>
      <c r="ILR30" s="371"/>
      <c r="ILS30" s="371"/>
      <c r="ILT30" s="371"/>
      <c r="ILU30" s="371"/>
      <c r="ILV30" s="371"/>
      <c r="ILW30" s="371"/>
      <c r="ILX30" s="371"/>
      <c r="ILY30" s="382"/>
      <c r="IMC30" s="371"/>
      <c r="IMD30" s="371"/>
      <c r="IME30" s="371"/>
      <c r="IMF30" s="371"/>
      <c r="IMG30" s="371"/>
      <c r="IMH30" s="371"/>
      <c r="IMI30" s="371"/>
      <c r="IMJ30" s="371"/>
      <c r="IMK30" s="371"/>
      <c r="IML30" s="371"/>
      <c r="IMM30" s="371"/>
      <c r="IMN30" s="371"/>
      <c r="IMO30" s="371"/>
      <c r="IMP30" s="371"/>
      <c r="IMQ30" s="371"/>
      <c r="IMR30" s="371"/>
      <c r="IMS30" s="371"/>
      <c r="IMT30" s="371"/>
      <c r="IMU30" s="371"/>
      <c r="IMV30" s="371"/>
      <c r="IMW30" s="371"/>
      <c r="IMX30" s="371"/>
      <c r="IMY30" s="371"/>
      <c r="IMZ30" s="371"/>
      <c r="INA30" s="371"/>
      <c r="INB30" s="371"/>
      <c r="INC30" s="382"/>
      <c r="ING30" s="371"/>
      <c r="INH30" s="371"/>
      <c r="INI30" s="371"/>
      <c r="INJ30" s="371"/>
      <c r="INK30" s="371"/>
      <c r="INL30" s="371"/>
      <c r="INM30" s="371"/>
      <c r="INN30" s="371"/>
      <c r="INO30" s="371"/>
      <c r="INP30" s="371"/>
      <c r="INQ30" s="371"/>
      <c r="INR30" s="371"/>
      <c r="INS30" s="371"/>
      <c r="INT30" s="371"/>
      <c r="INU30" s="371"/>
      <c r="INV30" s="371"/>
      <c r="INW30" s="371"/>
      <c r="INX30" s="371"/>
      <c r="INY30" s="371"/>
      <c r="INZ30" s="371"/>
      <c r="IOA30" s="371"/>
      <c r="IOB30" s="371"/>
      <c r="IOC30" s="371"/>
      <c r="IOD30" s="371"/>
      <c r="IOE30" s="371"/>
      <c r="IOF30" s="371"/>
      <c r="IOG30" s="382"/>
      <c r="IOK30" s="371"/>
      <c r="IOL30" s="371"/>
      <c r="IOM30" s="371"/>
      <c r="ION30" s="371"/>
      <c r="IOO30" s="371"/>
      <c r="IOP30" s="371"/>
      <c r="IOQ30" s="371"/>
      <c r="IOR30" s="371"/>
      <c r="IOS30" s="371"/>
      <c r="IOT30" s="371"/>
      <c r="IOU30" s="371"/>
      <c r="IOV30" s="371"/>
      <c r="IOW30" s="371"/>
      <c r="IOX30" s="371"/>
      <c r="IOY30" s="371"/>
      <c r="IOZ30" s="371"/>
      <c r="IPA30" s="371"/>
      <c r="IPB30" s="371"/>
      <c r="IPC30" s="371"/>
      <c r="IPD30" s="371"/>
      <c r="IPE30" s="371"/>
      <c r="IPF30" s="371"/>
      <c r="IPG30" s="371"/>
      <c r="IPH30" s="371"/>
      <c r="IPI30" s="371"/>
      <c r="IPJ30" s="371"/>
      <c r="IPK30" s="382"/>
      <c r="IPO30" s="371"/>
      <c r="IPP30" s="371"/>
      <c r="IPQ30" s="371"/>
      <c r="IPR30" s="371"/>
      <c r="IPS30" s="371"/>
      <c r="IPT30" s="371"/>
      <c r="IPU30" s="371"/>
      <c r="IPV30" s="371"/>
      <c r="IPW30" s="371"/>
      <c r="IPX30" s="371"/>
      <c r="IPY30" s="371"/>
      <c r="IPZ30" s="371"/>
      <c r="IQA30" s="371"/>
      <c r="IQB30" s="371"/>
      <c r="IQC30" s="371"/>
      <c r="IQD30" s="371"/>
      <c r="IQE30" s="371"/>
      <c r="IQF30" s="371"/>
      <c r="IQG30" s="371"/>
      <c r="IQH30" s="371"/>
      <c r="IQI30" s="371"/>
      <c r="IQJ30" s="371"/>
      <c r="IQK30" s="371"/>
      <c r="IQL30" s="371"/>
      <c r="IQM30" s="371"/>
      <c r="IQN30" s="371"/>
      <c r="IQO30" s="382"/>
      <c r="IQS30" s="371"/>
      <c r="IQT30" s="371"/>
      <c r="IQU30" s="371"/>
      <c r="IQV30" s="371"/>
      <c r="IQW30" s="371"/>
      <c r="IQX30" s="371"/>
      <c r="IQY30" s="371"/>
      <c r="IQZ30" s="371"/>
      <c r="IRA30" s="371"/>
      <c r="IRB30" s="371"/>
      <c r="IRC30" s="371"/>
      <c r="IRD30" s="371"/>
      <c r="IRE30" s="371"/>
      <c r="IRF30" s="371"/>
      <c r="IRG30" s="371"/>
      <c r="IRH30" s="371"/>
      <c r="IRI30" s="371"/>
      <c r="IRJ30" s="371"/>
      <c r="IRK30" s="371"/>
      <c r="IRL30" s="371"/>
      <c r="IRM30" s="371"/>
      <c r="IRN30" s="371"/>
      <c r="IRO30" s="371"/>
      <c r="IRP30" s="371"/>
      <c r="IRQ30" s="371"/>
      <c r="IRR30" s="371"/>
      <c r="IRS30" s="382"/>
      <c r="IRW30" s="371"/>
      <c r="IRX30" s="371"/>
      <c r="IRY30" s="371"/>
      <c r="IRZ30" s="371"/>
      <c r="ISA30" s="371"/>
      <c r="ISB30" s="371"/>
      <c r="ISC30" s="371"/>
      <c r="ISD30" s="371"/>
      <c r="ISE30" s="371"/>
      <c r="ISF30" s="371"/>
      <c r="ISG30" s="371"/>
      <c r="ISH30" s="371"/>
      <c r="ISI30" s="371"/>
      <c r="ISJ30" s="371"/>
      <c r="ISK30" s="371"/>
      <c r="ISL30" s="371"/>
      <c r="ISM30" s="371"/>
      <c r="ISN30" s="371"/>
      <c r="ISO30" s="371"/>
      <c r="ISP30" s="371"/>
      <c r="ISQ30" s="371"/>
      <c r="ISR30" s="371"/>
      <c r="ISS30" s="371"/>
      <c r="IST30" s="371"/>
      <c r="ISU30" s="371"/>
      <c r="ISV30" s="371"/>
      <c r="ISW30" s="382"/>
      <c r="ITA30" s="371"/>
      <c r="ITB30" s="371"/>
      <c r="ITC30" s="371"/>
      <c r="ITD30" s="371"/>
      <c r="ITE30" s="371"/>
      <c r="ITF30" s="371"/>
      <c r="ITG30" s="371"/>
      <c r="ITH30" s="371"/>
      <c r="ITI30" s="371"/>
      <c r="ITJ30" s="371"/>
      <c r="ITK30" s="371"/>
      <c r="ITL30" s="371"/>
      <c r="ITM30" s="371"/>
      <c r="ITN30" s="371"/>
      <c r="ITO30" s="371"/>
      <c r="ITP30" s="371"/>
      <c r="ITQ30" s="371"/>
      <c r="ITR30" s="371"/>
      <c r="ITS30" s="371"/>
      <c r="ITT30" s="371"/>
      <c r="ITU30" s="371"/>
      <c r="ITV30" s="371"/>
      <c r="ITW30" s="371"/>
      <c r="ITX30" s="371"/>
      <c r="ITY30" s="371"/>
      <c r="ITZ30" s="371"/>
      <c r="IUA30" s="382"/>
      <c r="IUE30" s="371"/>
      <c r="IUF30" s="371"/>
      <c r="IUG30" s="371"/>
      <c r="IUH30" s="371"/>
      <c r="IUI30" s="371"/>
      <c r="IUJ30" s="371"/>
      <c r="IUK30" s="371"/>
      <c r="IUL30" s="371"/>
      <c r="IUM30" s="371"/>
      <c r="IUN30" s="371"/>
      <c r="IUO30" s="371"/>
      <c r="IUP30" s="371"/>
      <c r="IUQ30" s="371"/>
      <c r="IUR30" s="371"/>
      <c r="IUS30" s="371"/>
      <c r="IUT30" s="371"/>
      <c r="IUU30" s="371"/>
      <c r="IUV30" s="371"/>
      <c r="IUW30" s="371"/>
      <c r="IUX30" s="371"/>
      <c r="IUY30" s="371"/>
      <c r="IUZ30" s="371"/>
      <c r="IVA30" s="371"/>
      <c r="IVB30" s="371"/>
      <c r="IVC30" s="371"/>
      <c r="IVD30" s="371"/>
      <c r="IVE30" s="382"/>
      <c r="IVI30" s="371"/>
      <c r="IVJ30" s="371"/>
      <c r="IVK30" s="371"/>
      <c r="IVL30" s="371"/>
      <c r="IVM30" s="371"/>
      <c r="IVN30" s="371"/>
      <c r="IVO30" s="371"/>
      <c r="IVP30" s="371"/>
      <c r="IVQ30" s="371"/>
      <c r="IVR30" s="371"/>
      <c r="IVS30" s="371"/>
      <c r="IVT30" s="371"/>
      <c r="IVU30" s="371"/>
      <c r="IVV30" s="371"/>
      <c r="IVW30" s="371"/>
      <c r="IVX30" s="371"/>
      <c r="IVY30" s="371"/>
      <c r="IVZ30" s="371"/>
      <c r="IWA30" s="371"/>
      <c r="IWB30" s="371"/>
      <c r="IWC30" s="371"/>
      <c r="IWD30" s="371"/>
      <c r="IWE30" s="371"/>
      <c r="IWF30" s="371"/>
      <c r="IWG30" s="371"/>
      <c r="IWH30" s="371"/>
      <c r="IWI30" s="382"/>
      <c r="IWM30" s="371"/>
      <c r="IWN30" s="371"/>
      <c r="IWO30" s="371"/>
      <c r="IWP30" s="371"/>
      <c r="IWQ30" s="371"/>
      <c r="IWR30" s="371"/>
      <c r="IWS30" s="371"/>
      <c r="IWT30" s="371"/>
      <c r="IWU30" s="371"/>
      <c r="IWV30" s="371"/>
      <c r="IWW30" s="371"/>
      <c r="IWX30" s="371"/>
      <c r="IWY30" s="371"/>
      <c r="IWZ30" s="371"/>
      <c r="IXA30" s="371"/>
      <c r="IXB30" s="371"/>
      <c r="IXC30" s="371"/>
      <c r="IXD30" s="371"/>
      <c r="IXE30" s="371"/>
      <c r="IXF30" s="371"/>
      <c r="IXG30" s="371"/>
      <c r="IXH30" s="371"/>
      <c r="IXI30" s="371"/>
      <c r="IXJ30" s="371"/>
      <c r="IXK30" s="371"/>
      <c r="IXL30" s="371"/>
      <c r="IXM30" s="382"/>
      <c r="IXQ30" s="371"/>
      <c r="IXR30" s="371"/>
      <c r="IXS30" s="371"/>
      <c r="IXT30" s="371"/>
      <c r="IXU30" s="371"/>
      <c r="IXV30" s="371"/>
      <c r="IXW30" s="371"/>
      <c r="IXX30" s="371"/>
      <c r="IXY30" s="371"/>
      <c r="IXZ30" s="371"/>
      <c r="IYA30" s="371"/>
      <c r="IYB30" s="371"/>
      <c r="IYC30" s="371"/>
      <c r="IYD30" s="371"/>
      <c r="IYE30" s="371"/>
      <c r="IYF30" s="371"/>
      <c r="IYG30" s="371"/>
      <c r="IYH30" s="371"/>
      <c r="IYI30" s="371"/>
      <c r="IYJ30" s="371"/>
      <c r="IYK30" s="371"/>
      <c r="IYL30" s="371"/>
      <c r="IYM30" s="371"/>
      <c r="IYN30" s="371"/>
      <c r="IYO30" s="371"/>
      <c r="IYP30" s="371"/>
      <c r="IYQ30" s="382"/>
      <c r="IYU30" s="371"/>
      <c r="IYV30" s="371"/>
      <c r="IYW30" s="371"/>
      <c r="IYX30" s="371"/>
      <c r="IYY30" s="371"/>
      <c r="IYZ30" s="371"/>
      <c r="IZA30" s="371"/>
      <c r="IZB30" s="371"/>
      <c r="IZC30" s="371"/>
      <c r="IZD30" s="371"/>
      <c r="IZE30" s="371"/>
      <c r="IZF30" s="371"/>
      <c r="IZG30" s="371"/>
      <c r="IZH30" s="371"/>
      <c r="IZI30" s="371"/>
      <c r="IZJ30" s="371"/>
      <c r="IZK30" s="371"/>
      <c r="IZL30" s="371"/>
      <c r="IZM30" s="371"/>
      <c r="IZN30" s="371"/>
      <c r="IZO30" s="371"/>
      <c r="IZP30" s="371"/>
      <c r="IZQ30" s="371"/>
      <c r="IZR30" s="371"/>
      <c r="IZS30" s="371"/>
      <c r="IZT30" s="371"/>
      <c r="IZU30" s="382"/>
      <c r="IZY30" s="371"/>
      <c r="IZZ30" s="371"/>
      <c r="JAA30" s="371"/>
      <c r="JAB30" s="371"/>
      <c r="JAC30" s="371"/>
      <c r="JAD30" s="371"/>
      <c r="JAE30" s="371"/>
      <c r="JAF30" s="371"/>
      <c r="JAG30" s="371"/>
      <c r="JAH30" s="371"/>
      <c r="JAI30" s="371"/>
      <c r="JAJ30" s="371"/>
      <c r="JAK30" s="371"/>
      <c r="JAL30" s="371"/>
      <c r="JAM30" s="371"/>
      <c r="JAN30" s="371"/>
      <c r="JAO30" s="371"/>
      <c r="JAP30" s="371"/>
      <c r="JAQ30" s="371"/>
      <c r="JAR30" s="371"/>
      <c r="JAS30" s="371"/>
      <c r="JAT30" s="371"/>
      <c r="JAU30" s="371"/>
      <c r="JAV30" s="371"/>
      <c r="JAW30" s="371"/>
      <c r="JAX30" s="371"/>
      <c r="JAY30" s="382"/>
      <c r="JBC30" s="371"/>
      <c r="JBD30" s="371"/>
      <c r="JBE30" s="371"/>
      <c r="JBF30" s="371"/>
      <c r="JBG30" s="371"/>
      <c r="JBH30" s="371"/>
      <c r="JBI30" s="371"/>
      <c r="JBJ30" s="371"/>
      <c r="JBK30" s="371"/>
      <c r="JBL30" s="371"/>
      <c r="JBM30" s="371"/>
      <c r="JBN30" s="371"/>
      <c r="JBO30" s="371"/>
      <c r="JBP30" s="371"/>
      <c r="JBQ30" s="371"/>
      <c r="JBR30" s="371"/>
      <c r="JBS30" s="371"/>
      <c r="JBT30" s="371"/>
      <c r="JBU30" s="371"/>
      <c r="JBV30" s="371"/>
      <c r="JBW30" s="371"/>
      <c r="JBX30" s="371"/>
      <c r="JBY30" s="371"/>
      <c r="JBZ30" s="371"/>
      <c r="JCA30" s="371"/>
      <c r="JCB30" s="371"/>
      <c r="JCC30" s="382"/>
      <c r="JCG30" s="371"/>
      <c r="JCH30" s="371"/>
      <c r="JCI30" s="371"/>
      <c r="JCJ30" s="371"/>
      <c r="JCK30" s="371"/>
      <c r="JCL30" s="371"/>
      <c r="JCM30" s="371"/>
      <c r="JCN30" s="371"/>
      <c r="JCO30" s="371"/>
      <c r="JCP30" s="371"/>
      <c r="JCQ30" s="371"/>
      <c r="JCR30" s="371"/>
      <c r="JCS30" s="371"/>
      <c r="JCT30" s="371"/>
      <c r="JCU30" s="371"/>
      <c r="JCV30" s="371"/>
      <c r="JCW30" s="371"/>
      <c r="JCX30" s="371"/>
      <c r="JCY30" s="371"/>
      <c r="JCZ30" s="371"/>
      <c r="JDA30" s="371"/>
      <c r="JDB30" s="371"/>
      <c r="JDC30" s="371"/>
      <c r="JDD30" s="371"/>
      <c r="JDE30" s="371"/>
      <c r="JDF30" s="371"/>
      <c r="JDG30" s="382"/>
      <c r="JDK30" s="371"/>
      <c r="JDL30" s="371"/>
      <c r="JDM30" s="371"/>
      <c r="JDN30" s="371"/>
      <c r="JDO30" s="371"/>
      <c r="JDP30" s="371"/>
      <c r="JDQ30" s="371"/>
      <c r="JDR30" s="371"/>
      <c r="JDS30" s="371"/>
      <c r="JDT30" s="371"/>
      <c r="JDU30" s="371"/>
      <c r="JDV30" s="371"/>
      <c r="JDW30" s="371"/>
      <c r="JDX30" s="371"/>
      <c r="JDY30" s="371"/>
      <c r="JDZ30" s="371"/>
      <c r="JEA30" s="371"/>
      <c r="JEB30" s="371"/>
      <c r="JEC30" s="371"/>
      <c r="JED30" s="371"/>
      <c r="JEE30" s="371"/>
      <c r="JEF30" s="371"/>
      <c r="JEG30" s="371"/>
      <c r="JEH30" s="371"/>
      <c r="JEI30" s="371"/>
      <c r="JEJ30" s="371"/>
      <c r="JEK30" s="382"/>
      <c r="JEO30" s="371"/>
      <c r="JEP30" s="371"/>
      <c r="JEQ30" s="371"/>
      <c r="JER30" s="371"/>
      <c r="JES30" s="371"/>
      <c r="JET30" s="371"/>
      <c r="JEU30" s="371"/>
      <c r="JEV30" s="371"/>
      <c r="JEW30" s="371"/>
      <c r="JEX30" s="371"/>
      <c r="JEY30" s="371"/>
      <c r="JEZ30" s="371"/>
      <c r="JFA30" s="371"/>
      <c r="JFB30" s="371"/>
      <c r="JFC30" s="371"/>
      <c r="JFD30" s="371"/>
      <c r="JFE30" s="371"/>
      <c r="JFF30" s="371"/>
      <c r="JFG30" s="371"/>
      <c r="JFH30" s="371"/>
      <c r="JFI30" s="371"/>
      <c r="JFJ30" s="371"/>
      <c r="JFK30" s="371"/>
      <c r="JFL30" s="371"/>
      <c r="JFM30" s="371"/>
      <c r="JFN30" s="371"/>
      <c r="JFO30" s="382"/>
      <c r="JFS30" s="371"/>
      <c r="JFT30" s="371"/>
      <c r="JFU30" s="371"/>
      <c r="JFV30" s="371"/>
      <c r="JFW30" s="371"/>
      <c r="JFX30" s="371"/>
      <c r="JFY30" s="371"/>
      <c r="JFZ30" s="371"/>
      <c r="JGA30" s="371"/>
      <c r="JGB30" s="371"/>
      <c r="JGC30" s="371"/>
      <c r="JGD30" s="371"/>
      <c r="JGE30" s="371"/>
      <c r="JGF30" s="371"/>
      <c r="JGG30" s="371"/>
      <c r="JGH30" s="371"/>
      <c r="JGI30" s="371"/>
      <c r="JGJ30" s="371"/>
      <c r="JGK30" s="371"/>
      <c r="JGL30" s="371"/>
      <c r="JGM30" s="371"/>
      <c r="JGN30" s="371"/>
      <c r="JGO30" s="371"/>
      <c r="JGP30" s="371"/>
      <c r="JGQ30" s="371"/>
      <c r="JGR30" s="371"/>
      <c r="JGS30" s="382"/>
      <c r="JGW30" s="371"/>
      <c r="JGX30" s="371"/>
      <c r="JGY30" s="371"/>
      <c r="JGZ30" s="371"/>
      <c r="JHA30" s="371"/>
      <c r="JHB30" s="371"/>
      <c r="JHC30" s="371"/>
      <c r="JHD30" s="371"/>
      <c r="JHE30" s="371"/>
      <c r="JHF30" s="371"/>
      <c r="JHG30" s="371"/>
      <c r="JHH30" s="371"/>
      <c r="JHI30" s="371"/>
      <c r="JHJ30" s="371"/>
      <c r="JHK30" s="371"/>
      <c r="JHL30" s="371"/>
      <c r="JHM30" s="371"/>
      <c r="JHN30" s="371"/>
      <c r="JHO30" s="371"/>
      <c r="JHP30" s="371"/>
      <c r="JHQ30" s="371"/>
      <c r="JHR30" s="371"/>
      <c r="JHS30" s="371"/>
      <c r="JHT30" s="371"/>
      <c r="JHU30" s="371"/>
      <c r="JHV30" s="371"/>
      <c r="JHW30" s="382"/>
      <c r="JIA30" s="371"/>
      <c r="JIB30" s="371"/>
      <c r="JIC30" s="371"/>
      <c r="JID30" s="371"/>
      <c r="JIE30" s="371"/>
      <c r="JIF30" s="371"/>
      <c r="JIG30" s="371"/>
      <c r="JIH30" s="371"/>
      <c r="JII30" s="371"/>
      <c r="JIJ30" s="371"/>
      <c r="JIK30" s="371"/>
      <c r="JIL30" s="371"/>
      <c r="JIM30" s="371"/>
      <c r="JIN30" s="371"/>
      <c r="JIO30" s="371"/>
      <c r="JIP30" s="371"/>
      <c r="JIQ30" s="371"/>
      <c r="JIR30" s="371"/>
      <c r="JIS30" s="371"/>
      <c r="JIT30" s="371"/>
      <c r="JIU30" s="371"/>
      <c r="JIV30" s="371"/>
      <c r="JIW30" s="371"/>
      <c r="JIX30" s="371"/>
      <c r="JIY30" s="371"/>
      <c r="JIZ30" s="371"/>
      <c r="JJA30" s="382"/>
      <c r="JJE30" s="371"/>
      <c r="JJF30" s="371"/>
      <c r="JJG30" s="371"/>
      <c r="JJH30" s="371"/>
      <c r="JJI30" s="371"/>
      <c r="JJJ30" s="371"/>
      <c r="JJK30" s="371"/>
      <c r="JJL30" s="371"/>
      <c r="JJM30" s="371"/>
      <c r="JJN30" s="371"/>
      <c r="JJO30" s="371"/>
      <c r="JJP30" s="371"/>
      <c r="JJQ30" s="371"/>
      <c r="JJR30" s="371"/>
      <c r="JJS30" s="371"/>
      <c r="JJT30" s="371"/>
      <c r="JJU30" s="371"/>
      <c r="JJV30" s="371"/>
      <c r="JJW30" s="371"/>
      <c r="JJX30" s="371"/>
      <c r="JJY30" s="371"/>
      <c r="JJZ30" s="371"/>
      <c r="JKA30" s="371"/>
      <c r="JKB30" s="371"/>
      <c r="JKC30" s="371"/>
      <c r="JKD30" s="371"/>
      <c r="JKE30" s="382"/>
      <c r="JKI30" s="371"/>
      <c r="JKJ30" s="371"/>
      <c r="JKK30" s="371"/>
      <c r="JKL30" s="371"/>
      <c r="JKM30" s="371"/>
      <c r="JKN30" s="371"/>
      <c r="JKO30" s="371"/>
      <c r="JKP30" s="371"/>
      <c r="JKQ30" s="371"/>
      <c r="JKR30" s="371"/>
      <c r="JKS30" s="371"/>
      <c r="JKT30" s="371"/>
      <c r="JKU30" s="371"/>
      <c r="JKV30" s="371"/>
      <c r="JKW30" s="371"/>
      <c r="JKX30" s="371"/>
      <c r="JKY30" s="371"/>
      <c r="JKZ30" s="371"/>
      <c r="JLA30" s="371"/>
      <c r="JLB30" s="371"/>
      <c r="JLC30" s="371"/>
      <c r="JLD30" s="371"/>
      <c r="JLE30" s="371"/>
      <c r="JLF30" s="371"/>
      <c r="JLG30" s="371"/>
      <c r="JLH30" s="371"/>
      <c r="JLI30" s="382"/>
      <c r="JLM30" s="371"/>
      <c r="JLN30" s="371"/>
      <c r="JLO30" s="371"/>
      <c r="JLP30" s="371"/>
      <c r="JLQ30" s="371"/>
      <c r="JLR30" s="371"/>
      <c r="JLS30" s="371"/>
      <c r="JLT30" s="371"/>
      <c r="JLU30" s="371"/>
      <c r="JLV30" s="371"/>
      <c r="JLW30" s="371"/>
      <c r="JLX30" s="371"/>
      <c r="JLY30" s="371"/>
      <c r="JLZ30" s="371"/>
      <c r="JMA30" s="371"/>
      <c r="JMB30" s="371"/>
      <c r="JMC30" s="371"/>
      <c r="JMD30" s="371"/>
      <c r="JME30" s="371"/>
      <c r="JMF30" s="371"/>
      <c r="JMG30" s="371"/>
      <c r="JMH30" s="371"/>
      <c r="JMI30" s="371"/>
      <c r="JMJ30" s="371"/>
      <c r="JMK30" s="371"/>
      <c r="JML30" s="371"/>
      <c r="JMM30" s="382"/>
      <c r="JMQ30" s="371"/>
      <c r="JMR30" s="371"/>
      <c r="JMS30" s="371"/>
      <c r="JMT30" s="371"/>
      <c r="JMU30" s="371"/>
      <c r="JMV30" s="371"/>
      <c r="JMW30" s="371"/>
      <c r="JMX30" s="371"/>
      <c r="JMY30" s="371"/>
      <c r="JMZ30" s="371"/>
      <c r="JNA30" s="371"/>
      <c r="JNB30" s="371"/>
      <c r="JNC30" s="371"/>
      <c r="JND30" s="371"/>
      <c r="JNE30" s="371"/>
      <c r="JNF30" s="371"/>
      <c r="JNG30" s="371"/>
      <c r="JNH30" s="371"/>
      <c r="JNI30" s="371"/>
      <c r="JNJ30" s="371"/>
      <c r="JNK30" s="371"/>
      <c r="JNL30" s="371"/>
      <c r="JNM30" s="371"/>
      <c r="JNN30" s="371"/>
      <c r="JNO30" s="371"/>
      <c r="JNP30" s="371"/>
      <c r="JNQ30" s="382"/>
      <c r="JNU30" s="371"/>
      <c r="JNV30" s="371"/>
      <c r="JNW30" s="371"/>
      <c r="JNX30" s="371"/>
      <c r="JNY30" s="371"/>
      <c r="JNZ30" s="371"/>
      <c r="JOA30" s="371"/>
      <c r="JOB30" s="371"/>
      <c r="JOC30" s="371"/>
      <c r="JOD30" s="371"/>
      <c r="JOE30" s="371"/>
      <c r="JOF30" s="371"/>
      <c r="JOG30" s="371"/>
      <c r="JOH30" s="371"/>
      <c r="JOI30" s="371"/>
      <c r="JOJ30" s="371"/>
      <c r="JOK30" s="371"/>
      <c r="JOL30" s="371"/>
      <c r="JOM30" s="371"/>
      <c r="JON30" s="371"/>
      <c r="JOO30" s="371"/>
      <c r="JOP30" s="371"/>
      <c r="JOQ30" s="371"/>
      <c r="JOR30" s="371"/>
      <c r="JOS30" s="371"/>
      <c r="JOT30" s="371"/>
      <c r="JOU30" s="382"/>
      <c r="JOY30" s="371"/>
      <c r="JOZ30" s="371"/>
      <c r="JPA30" s="371"/>
      <c r="JPB30" s="371"/>
      <c r="JPC30" s="371"/>
      <c r="JPD30" s="371"/>
      <c r="JPE30" s="371"/>
      <c r="JPF30" s="371"/>
      <c r="JPG30" s="371"/>
      <c r="JPH30" s="371"/>
      <c r="JPI30" s="371"/>
      <c r="JPJ30" s="371"/>
      <c r="JPK30" s="371"/>
      <c r="JPL30" s="371"/>
      <c r="JPM30" s="371"/>
      <c r="JPN30" s="371"/>
      <c r="JPO30" s="371"/>
      <c r="JPP30" s="371"/>
      <c r="JPQ30" s="371"/>
      <c r="JPR30" s="371"/>
      <c r="JPS30" s="371"/>
      <c r="JPT30" s="371"/>
      <c r="JPU30" s="371"/>
      <c r="JPV30" s="371"/>
      <c r="JPW30" s="371"/>
      <c r="JPX30" s="371"/>
      <c r="JPY30" s="382"/>
      <c r="JQC30" s="371"/>
      <c r="JQD30" s="371"/>
      <c r="JQE30" s="371"/>
      <c r="JQF30" s="371"/>
      <c r="JQG30" s="371"/>
      <c r="JQH30" s="371"/>
      <c r="JQI30" s="371"/>
      <c r="JQJ30" s="371"/>
      <c r="JQK30" s="371"/>
      <c r="JQL30" s="371"/>
      <c r="JQM30" s="371"/>
      <c r="JQN30" s="371"/>
      <c r="JQO30" s="371"/>
      <c r="JQP30" s="371"/>
      <c r="JQQ30" s="371"/>
      <c r="JQR30" s="371"/>
      <c r="JQS30" s="371"/>
      <c r="JQT30" s="371"/>
      <c r="JQU30" s="371"/>
      <c r="JQV30" s="371"/>
      <c r="JQW30" s="371"/>
      <c r="JQX30" s="371"/>
      <c r="JQY30" s="371"/>
      <c r="JQZ30" s="371"/>
      <c r="JRA30" s="371"/>
      <c r="JRB30" s="371"/>
      <c r="JRC30" s="382"/>
      <c r="JRG30" s="371"/>
      <c r="JRH30" s="371"/>
      <c r="JRI30" s="371"/>
      <c r="JRJ30" s="371"/>
      <c r="JRK30" s="371"/>
      <c r="JRL30" s="371"/>
      <c r="JRM30" s="371"/>
      <c r="JRN30" s="371"/>
      <c r="JRO30" s="371"/>
      <c r="JRP30" s="371"/>
      <c r="JRQ30" s="371"/>
      <c r="JRR30" s="371"/>
      <c r="JRS30" s="371"/>
      <c r="JRT30" s="371"/>
      <c r="JRU30" s="371"/>
      <c r="JRV30" s="371"/>
      <c r="JRW30" s="371"/>
      <c r="JRX30" s="371"/>
      <c r="JRY30" s="371"/>
      <c r="JRZ30" s="371"/>
      <c r="JSA30" s="371"/>
      <c r="JSB30" s="371"/>
      <c r="JSC30" s="371"/>
      <c r="JSD30" s="371"/>
      <c r="JSE30" s="371"/>
      <c r="JSF30" s="371"/>
      <c r="JSG30" s="382"/>
      <c r="JSK30" s="371"/>
      <c r="JSL30" s="371"/>
      <c r="JSM30" s="371"/>
      <c r="JSN30" s="371"/>
      <c r="JSO30" s="371"/>
      <c r="JSP30" s="371"/>
      <c r="JSQ30" s="371"/>
      <c r="JSR30" s="371"/>
      <c r="JSS30" s="371"/>
      <c r="JST30" s="371"/>
      <c r="JSU30" s="371"/>
      <c r="JSV30" s="371"/>
      <c r="JSW30" s="371"/>
      <c r="JSX30" s="371"/>
      <c r="JSY30" s="371"/>
      <c r="JSZ30" s="371"/>
      <c r="JTA30" s="371"/>
      <c r="JTB30" s="371"/>
      <c r="JTC30" s="371"/>
      <c r="JTD30" s="371"/>
      <c r="JTE30" s="371"/>
      <c r="JTF30" s="371"/>
      <c r="JTG30" s="371"/>
      <c r="JTH30" s="371"/>
      <c r="JTI30" s="371"/>
      <c r="JTJ30" s="371"/>
      <c r="JTK30" s="382"/>
      <c r="JTO30" s="371"/>
      <c r="JTP30" s="371"/>
      <c r="JTQ30" s="371"/>
      <c r="JTR30" s="371"/>
      <c r="JTS30" s="371"/>
      <c r="JTT30" s="371"/>
      <c r="JTU30" s="371"/>
      <c r="JTV30" s="371"/>
      <c r="JTW30" s="371"/>
      <c r="JTX30" s="371"/>
      <c r="JTY30" s="371"/>
      <c r="JTZ30" s="371"/>
      <c r="JUA30" s="371"/>
      <c r="JUB30" s="371"/>
      <c r="JUC30" s="371"/>
      <c r="JUD30" s="371"/>
      <c r="JUE30" s="371"/>
      <c r="JUF30" s="371"/>
      <c r="JUG30" s="371"/>
      <c r="JUH30" s="371"/>
      <c r="JUI30" s="371"/>
      <c r="JUJ30" s="371"/>
      <c r="JUK30" s="371"/>
      <c r="JUL30" s="371"/>
      <c r="JUM30" s="371"/>
      <c r="JUN30" s="371"/>
      <c r="JUO30" s="382"/>
      <c r="JUS30" s="371"/>
      <c r="JUT30" s="371"/>
      <c r="JUU30" s="371"/>
      <c r="JUV30" s="371"/>
      <c r="JUW30" s="371"/>
      <c r="JUX30" s="371"/>
      <c r="JUY30" s="371"/>
      <c r="JUZ30" s="371"/>
      <c r="JVA30" s="371"/>
      <c r="JVB30" s="371"/>
      <c r="JVC30" s="371"/>
      <c r="JVD30" s="371"/>
      <c r="JVE30" s="371"/>
      <c r="JVF30" s="371"/>
      <c r="JVG30" s="371"/>
      <c r="JVH30" s="371"/>
      <c r="JVI30" s="371"/>
      <c r="JVJ30" s="371"/>
      <c r="JVK30" s="371"/>
      <c r="JVL30" s="371"/>
      <c r="JVM30" s="371"/>
      <c r="JVN30" s="371"/>
      <c r="JVO30" s="371"/>
      <c r="JVP30" s="371"/>
      <c r="JVQ30" s="371"/>
      <c r="JVR30" s="371"/>
      <c r="JVS30" s="382"/>
      <c r="JVW30" s="371"/>
      <c r="JVX30" s="371"/>
      <c r="JVY30" s="371"/>
      <c r="JVZ30" s="371"/>
      <c r="JWA30" s="371"/>
      <c r="JWB30" s="371"/>
      <c r="JWC30" s="371"/>
      <c r="JWD30" s="371"/>
      <c r="JWE30" s="371"/>
      <c r="JWF30" s="371"/>
      <c r="JWG30" s="371"/>
      <c r="JWH30" s="371"/>
      <c r="JWI30" s="371"/>
      <c r="JWJ30" s="371"/>
      <c r="JWK30" s="371"/>
      <c r="JWL30" s="371"/>
      <c r="JWM30" s="371"/>
      <c r="JWN30" s="371"/>
      <c r="JWO30" s="371"/>
      <c r="JWP30" s="371"/>
      <c r="JWQ30" s="371"/>
      <c r="JWR30" s="371"/>
      <c r="JWS30" s="371"/>
      <c r="JWT30" s="371"/>
      <c r="JWU30" s="371"/>
      <c r="JWV30" s="371"/>
      <c r="JWW30" s="382"/>
      <c r="JXA30" s="371"/>
      <c r="JXB30" s="371"/>
      <c r="JXC30" s="371"/>
      <c r="JXD30" s="371"/>
      <c r="JXE30" s="371"/>
      <c r="JXF30" s="371"/>
      <c r="JXG30" s="371"/>
      <c r="JXH30" s="371"/>
      <c r="JXI30" s="371"/>
      <c r="JXJ30" s="371"/>
      <c r="JXK30" s="371"/>
      <c r="JXL30" s="371"/>
      <c r="JXM30" s="371"/>
      <c r="JXN30" s="371"/>
      <c r="JXO30" s="371"/>
      <c r="JXP30" s="371"/>
      <c r="JXQ30" s="371"/>
      <c r="JXR30" s="371"/>
      <c r="JXS30" s="371"/>
      <c r="JXT30" s="371"/>
      <c r="JXU30" s="371"/>
      <c r="JXV30" s="371"/>
      <c r="JXW30" s="371"/>
      <c r="JXX30" s="371"/>
      <c r="JXY30" s="371"/>
      <c r="JXZ30" s="371"/>
      <c r="JYA30" s="382"/>
      <c r="JYE30" s="371"/>
      <c r="JYF30" s="371"/>
      <c r="JYG30" s="371"/>
      <c r="JYH30" s="371"/>
      <c r="JYI30" s="371"/>
      <c r="JYJ30" s="371"/>
      <c r="JYK30" s="371"/>
      <c r="JYL30" s="371"/>
      <c r="JYM30" s="371"/>
      <c r="JYN30" s="371"/>
      <c r="JYO30" s="371"/>
      <c r="JYP30" s="371"/>
      <c r="JYQ30" s="371"/>
      <c r="JYR30" s="371"/>
      <c r="JYS30" s="371"/>
      <c r="JYT30" s="371"/>
      <c r="JYU30" s="371"/>
      <c r="JYV30" s="371"/>
      <c r="JYW30" s="371"/>
      <c r="JYX30" s="371"/>
      <c r="JYY30" s="371"/>
      <c r="JYZ30" s="371"/>
      <c r="JZA30" s="371"/>
      <c r="JZB30" s="371"/>
      <c r="JZC30" s="371"/>
      <c r="JZD30" s="371"/>
      <c r="JZE30" s="382"/>
      <c r="JZI30" s="371"/>
      <c r="JZJ30" s="371"/>
      <c r="JZK30" s="371"/>
      <c r="JZL30" s="371"/>
      <c r="JZM30" s="371"/>
      <c r="JZN30" s="371"/>
      <c r="JZO30" s="371"/>
      <c r="JZP30" s="371"/>
      <c r="JZQ30" s="371"/>
      <c r="JZR30" s="371"/>
      <c r="JZS30" s="371"/>
      <c r="JZT30" s="371"/>
      <c r="JZU30" s="371"/>
      <c r="JZV30" s="371"/>
      <c r="JZW30" s="371"/>
      <c r="JZX30" s="371"/>
      <c r="JZY30" s="371"/>
      <c r="JZZ30" s="371"/>
      <c r="KAA30" s="371"/>
      <c r="KAB30" s="371"/>
      <c r="KAC30" s="371"/>
      <c r="KAD30" s="371"/>
      <c r="KAE30" s="371"/>
      <c r="KAF30" s="371"/>
      <c r="KAG30" s="371"/>
      <c r="KAH30" s="371"/>
      <c r="KAI30" s="382"/>
      <c r="KAM30" s="371"/>
      <c r="KAN30" s="371"/>
      <c r="KAO30" s="371"/>
      <c r="KAP30" s="371"/>
      <c r="KAQ30" s="371"/>
      <c r="KAR30" s="371"/>
      <c r="KAS30" s="371"/>
      <c r="KAT30" s="371"/>
      <c r="KAU30" s="371"/>
      <c r="KAV30" s="371"/>
      <c r="KAW30" s="371"/>
      <c r="KAX30" s="371"/>
      <c r="KAY30" s="371"/>
      <c r="KAZ30" s="371"/>
      <c r="KBA30" s="371"/>
      <c r="KBB30" s="371"/>
      <c r="KBC30" s="371"/>
      <c r="KBD30" s="371"/>
      <c r="KBE30" s="371"/>
      <c r="KBF30" s="371"/>
      <c r="KBG30" s="371"/>
      <c r="KBH30" s="371"/>
      <c r="KBI30" s="371"/>
      <c r="KBJ30" s="371"/>
      <c r="KBK30" s="371"/>
      <c r="KBL30" s="371"/>
      <c r="KBM30" s="382"/>
      <c r="KBQ30" s="371"/>
      <c r="KBR30" s="371"/>
      <c r="KBS30" s="371"/>
      <c r="KBT30" s="371"/>
      <c r="KBU30" s="371"/>
      <c r="KBV30" s="371"/>
      <c r="KBW30" s="371"/>
      <c r="KBX30" s="371"/>
      <c r="KBY30" s="371"/>
      <c r="KBZ30" s="371"/>
      <c r="KCA30" s="371"/>
      <c r="KCB30" s="371"/>
      <c r="KCC30" s="371"/>
      <c r="KCD30" s="371"/>
      <c r="KCE30" s="371"/>
      <c r="KCF30" s="371"/>
      <c r="KCG30" s="371"/>
      <c r="KCH30" s="371"/>
      <c r="KCI30" s="371"/>
      <c r="KCJ30" s="371"/>
      <c r="KCK30" s="371"/>
      <c r="KCL30" s="371"/>
      <c r="KCM30" s="371"/>
      <c r="KCN30" s="371"/>
      <c r="KCO30" s="371"/>
      <c r="KCP30" s="371"/>
      <c r="KCQ30" s="382"/>
      <c r="KCU30" s="371"/>
      <c r="KCV30" s="371"/>
      <c r="KCW30" s="371"/>
      <c r="KCX30" s="371"/>
      <c r="KCY30" s="371"/>
      <c r="KCZ30" s="371"/>
      <c r="KDA30" s="371"/>
      <c r="KDB30" s="371"/>
      <c r="KDC30" s="371"/>
      <c r="KDD30" s="371"/>
      <c r="KDE30" s="371"/>
      <c r="KDF30" s="371"/>
      <c r="KDG30" s="371"/>
      <c r="KDH30" s="371"/>
      <c r="KDI30" s="371"/>
      <c r="KDJ30" s="371"/>
      <c r="KDK30" s="371"/>
      <c r="KDL30" s="371"/>
      <c r="KDM30" s="371"/>
      <c r="KDN30" s="371"/>
      <c r="KDO30" s="371"/>
      <c r="KDP30" s="371"/>
      <c r="KDQ30" s="371"/>
      <c r="KDR30" s="371"/>
      <c r="KDS30" s="371"/>
      <c r="KDT30" s="371"/>
      <c r="KDU30" s="382"/>
      <c r="KDY30" s="371"/>
      <c r="KDZ30" s="371"/>
      <c r="KEA30" s="371"/>
      <c r="KEB30" s="371"/>
      <c r="KEC30" s="371"/>
      <c r="KED30" s="371"/>
      <c r="KEE30" s="371"/>
      <c r="KEF30" s="371"/>
      <c r="KEG30" s="371"/>
      <c r="KEH30" s="371"/>
      <c r="KEI30" s="371"/>
      <c r="KEJ30" s="371"/>
      <c r="KEK30" s="371"/>
      <c r="KEL30" s="371"/>
      <c r="KEM30" s="371"/>
      <c r="KEN30" s="371"/>
      <c r="KEO30" s="371"/>
      <c r="KEP30" s="371"/>
      <c r="KEQ30" s="371"/>
      <c r="KER30" s="371"/>
      <c r="KES30" s="371"/>
      <c r="KET30" s="371"/>
      <c r="KEU30" s="371"/>
      <c r="KEV30" s="371"/>
      <c r="KEW30" s="371"/>
      <c r="KEX30" s="371"/>
      <c r="KEY30" s="382"/>
      <c r="KFC30" s="371"/>
      <c r="KFD30" s="371"/>
      <c r="KFE30" s="371"/>
      <c r="KFF30" s="371"/>
      <c r="KFG30" s="371"/>
      <c r="KFH30" s="371"/>
      <c r="KFI30" s="371"/>
      <c r="KFJ30" s="371"/>
      <c r="KFK30" s="371"/>
      <c r="KFL30" s="371"/>
      <c r="KFM30" s="371"/>
      <c r="KFN30" s="371"/>
      <c r="KFO30" s="371"/>
      <c r="KFP30" s="371"/>
      <c r="KFQ30" s="371"/>
      <c r="KFR30" s="371"/>
      <c r="KFS30" s="371"/>
      <c r="KFT30" s="371"/>
      <c r="KFU30" s="371"/>
      <c r="KFV30" s="371"/>
      <c r="KFW30" s="371"/>
      <c r="KFX30" s="371"/>
      <c r="KFY30" s="371"/>
      <c r="KFZ30" s="371"/>
      <c r="KGA30" s="371"/>
      <c r="KGB30" s="371"/>
      <c r="KGC30" s="382"/>
      <c r="KGG30" s="371"/>
      <c r="KGH30" s="371"/>
      <c r="KGI30" s="371"/>
      <c r="KGJ30" s="371"/>
      <c r="KGK30" s="371"/>
      <c r="KGL30" s="371"/>
      <c r="KGM30" s="371"/>
      <c r="KGN30" s="371"/>
      <c r="KGO30" s="371"/>
      <c r="KGP30" s="371"/>
      <c r="KGQ30" s="371"/>
      <c r="KGR30" s="371"/>
      <c r="KGS30" s="371"/>
      <c r="KGT30" s="371"/>
      <c r="KGU30" s="371"/>
      <c r="KGV30" s="371"/>
      <c r="KGW30" s="371"/>
      <c r="KGX30" s="371"/>
      <c r="KGY30" s="371"/>
      <c r="KGZ30" s="371"/>
      <c r="KHA30" s="371"/>
      <c r="KHB30" s="371"/>
      <c r="KHC30" s="371"/>
      <c r="KHD30" s="371"/>
      <c r="KHE30" s="371"/>
      <c r="KHF30" s="371"/>
      <c r="KHG30" s="382"/>
      <c r="KHK30" s="371"/>
      <c r="KHL30" s="371"/>
      <c r="KHM30" s="371"/>
      <c r="KHN30" s="371"/>
      <c r="KHO30" s="371"/>
      <c r="KHP30" s="371"/>
      <c r="KHQ30" s="371"/>
      <c r="KHR30" s="371"/>
      <c r="KHS30" s="371"/>
      <c r="KHT30" s="371"/>
      <c r="KHU30" s="371"/>
      <c r="KHV30" s="371"/>
      <c r="KHW30" s="371"/>
      <c r="KHX30" s="371"/>
      <c r="KHY30" s="371"/>
      <c r="KHZ30" s="371"/>
      <c r="KIA30" s="371"/>
      <c r="KIB30" s="371"/>
      <c r="KIC30" s="371"/>
      <c r="KID30" s="371"/>
      <c r="KIE30" s="371"/>
      <c r="KIF30" s="371"/>
      <c r="KIG30" s="371"/>
      <c r="KIH30" s="371"/>
      <c r="KII30" s="371"/>
      <c r="KIJ30" s="371"/>
      <c r="KIK30" s="382"/>
      <c r="KIO30" s="371"/>
      <c r="KIP30" s="371"/>
      <c r="KIQ30" s="371"/>
      <c r="KIR30" s="371"/>
      <c r="KIS30" s="371"/>
      <c r="KIT30" s="371"/>
      <c r="KIU30" s="371"/>
      <c r="KIV30" s="371"/>
      <c r="KIW30" s="371"/>
      <c r="KIX30" s="371"/>
      <c r="KIY30" s="371"/>
      <c r="KIZ30" s="371"/>
      <c r="KJA30" s="371"/>
      <c r="KJB30" s="371"/>
      <c r="KJC30" s="371"/>
      <c r="KJD30" s="371"/>
      <c r="KJE30" s="371"/>
      <c r="KJF30" s="371"/>
      <c r="KJG30" s="371"/>
      <c r="KJH30" s="371"/>
      <c r="KJI30" s="371"/>
      <c r="KJJ30" s="371"/>
      <c r="KJK30" s="371"/>
      <c r="KJL30" s="371"/>
      <c r="KJM30" s="371"/>
      <c r="KJN30" s="371"/>
      <c r="KJO30" s="382"/>
      <c r="KJS30" s="371"/>
      <c r="KJT30" s="371"/>
      <c r="KJU30" s="371"/>
      <c r="KJV30" s="371"/>
      <c r="KJW30" s="371"/>
      <c r="KJX30" s="371"/>
      <c r="KJY30" s="371"/>
      <c r="KJZ30" s="371"/>
      <c r="KKA30" s="371"/>
      <c r="KKB30" s="371"/>
      <c r="KKC30" s="371"/>
      <c r="KKD30" s="371"/>
      <c r="KKE30" s="371"/>
      <c r="KKF30" s="371"/>
      <c r="KKG30" s="371"/>
      <c r="KKH30" s="371"/>
      <c r="KKI30" s="371"/>
      <c r="KKJ30" s="371"/>
      <c r="KKK30" s="371"/>
      <c r="KKL30" s="371"/>
      <c r="KKM30" s="371"/>
      <c r="KKN30" s="371"/>
      <c r="KKO30" s="371"/>
      <c r="KKP30" s="371"/>
      <c r="KKQ30" s="371"/>
      <c r="KKR30" s="371"/>
      <c r="KKS30" s="382"/>
      <c r="KKW30" s="371"/>
      <c r="KKX30" s="371"/>
      <c r="KKY30" s="371"/>
      <c r="KKZ30" s="371"/>
      <c r="KLA30" s="371"/>
      <c r="KLB30" s="371"/>
      <c r="KLC30" s="371"/>
      <c r="KLD30" s="371"/>
      <c r="KLE30" s="371"/>
      <c r="KLF30" s="371"/>
      <c r="KLG30" s="371"/>
      <c r="KLH30" s="371"/>
      <c r="KLI30" s="371"/>
      <c r="KLJ30" s="371"/>
      <c r="KLK30" s="371"/>
      <c r="KLL30" s="371"/>
      <c r="KLM30" s="371"/>
      <c r="KLN30" s="371"/>
      <c r="KLO30" s="371"/>
      <c r="KLP30" s="371"/>
      <c r="KLQ30" s="371"/>
      <c r="KLR30" s="371"/>
      <c r="KLS30" s="371"/>
      <c r="KLT30" s="371"/>
      <c r="KLU30" s="371"/>
      <c r="KLV30" s="371"/>
      <c r="KLW30" s="382"/>
      <c r="KMA30" s="371"/>
      <c r="KMB30" s="371"/>
      <c r="KMC30" s="371"/>
      <c r="KMD30" s="371"/>
      <c r="KME30" s="371"/>
      <c r="KMF30" s="371"/>
      <c r="KMG30" s="371"/>
      <c r="KMH30" s="371"/>
      <c r="KMI30" s="371"/>
      <c r="KMJ30" s="371"/>
      <c r="KMK30" s="371"/>
      <c r="KML30" s="371"/>
      <c r="KMM30" s="371"/>
      <c r="KMN30" s="371"/>
      <c r="KMO30" s="371"/>
      <c r="KMP30" s="371"/>
      <c r="KMQ30" s="371"/>
      <c r="KMR30" s="371"/>
      <c r="KMS30" s="371"/>
      <c r="KMT30" s="371"/>
      <c r="KMU30" s="371"/>
      <c r="KMV30" s="371"/>
      <c r="KMW30" s="371"/>
      <c r="KMX30" s="371"/>
      <c r="KMY30" s="371"/>
      <c r="KMZ30" s="371"/>
      <c r="KNA30" s="382"/>
      <c r="KNE30" s="371"/>
      <c r="KNF30" s="371"/>
      <c r="KNG30" s="371"/>
      <c r="KNH30" s="371"/>
      <c r="KNI30" s="371"/>
      <c r="KNJ30" s="371"/>
      <c r="KNK30" s="371"/>
      <c r="KNL30" s="371"/>
      <c r="KNM30" s="371"/>
      <c r="KNN30" s="371"/>
      <c r="KNO30" s="371"/>
      <c r="KNP30" s="371"/>
      <c r="KNQ30" s="371"/>
      <c r="KNR30" s="371"/>
      <c r="KNS30" s="371"/>
      <c r="KNT30" s="371"/>
      <c r="KNU30" s="371"/>
      <c r="KNV30" s="371"/>
      <c r="KNW30" s="371"/>
      <c r="KNX30" s="371"/>
      <c r="KNY30" s="371"/>
      <c r="KNZ30" s="371"/>
      <c r="KOA30" s="371"/>
      <c r="KOB30" s="371"/>
      <c r="KOC30" s="371"/>
      <c r="KOD30" s="371"/>
      <c r="KOE30" s="382"/>
      <c r="KOI30" s="371"/>
      <c r="KOJ30" s="371"/>
      <c r="KOK30" s="371"/>
      <c r="KOL30" s="371"/>
      <c r="KOM30" s="371"/>
      <c r="KON30" s="371"/>
      <c r="KOO30" s="371"/>
      <c r="KOP30" s="371"/>
      <c r="KOQ30" s="371"/>
      <c r="KOR30" s="371"/>
      <c r="KOS30" s="371"/>
      <c r="KOT30" s="371"/>
      <c r="KOU30" s="371"/>
      <c r="KOV30" s="371"/>
      <c r="KOW30" s="371"/>
      <c r="KOX30" s="371"/>
      <c r="KOY30" s="371"/>
      <c r="KOZ30" s="371"/>
      <c r="KPA30" s="371"/>
      <c r="KPB30" s="371"/>
      <c r="KPC30" s="371"/>
      <c r="KPD30" s="371"/>
      <c r="KPE30" s="371"/>
      <c r="KPF30" s="371"/>
      <c r="KPG30" s="371"/>
      <c r="KPH30" s="371"/>
      <c r="KPI30" s="382"/>
      <c r="KPM30" s="371"/>
      <c r="KPN30" s="371"/>
      <c r="KPO30" s="371"/>
      <c r="KPP30" s="371"/>
      <c r="KPQ30" s="371"/>
      <c r="KPR30" s="371"/>
      <c r="KPS30" s="371"/>
      <c r="KPT30" s="371"/>
      <c r="KPU30" s="371"/>
      <c r="KPV30" s="371"/>
      <c r="KPW30" s="371"/>
      <c r="KPX30" s="371"/>
      <c r="KPY30" s="371"/>
      <c r="KPZ30" s="371"/>
      <c r="KQA30" s="371"/>
      <c r="KQB30" s="371"/>
      <c r="KQC30" s="371"/>
      <c r="KQD30" s="371"/>
      <c r="KQE30" s="371"/>
      <c r="KQF30" s="371"/>
      <c r="KQG30" s="371"/>
      <c r="KQH30" s="371"/>
      <c r="KQI30" s="371"/>
      <c r="KQJ30" s="371"/>
      <c r="KQK30" s="371"/>
      <c r="KQL30" s="371"/>
      <c r="KQM30" s="382"/>
      <c r="KQQ30" s="371"/>
      <c r="KQR30" s="371"/>
      <c r="KQS30" s="371"/>
      <c r="KQT30" s="371"/>
      <c r="KQU30" s="371"/>
      <c r="KQV30" s="371"/>
      <c r="KQW30" s="371"/>
      <c r="KQX30" s="371"/>
      <c r="KQY30" s="371"/>
      <c r="KQZ30" s="371"/>
      <c r="KRA30" s="371"/>
      <c r="KRB30" s="371"/>
      <c r="KRC30" s="371"/>
      <c r="KRD30" s="371"/>
      <c r="KRE30" s="371"/>
      <c r="KRF30" s="371"/>
      <c r="KRG30" s="371"/>
      <c r="KRH30" s="371"/>
      <c r="KRI30" s="371"/>
      <c r="KRJ30" s="371"/>
      <c r="KRK30" s="371"/>
      <c r="KRL30" s="371"/>
      <c r="KRM30" s="371"/>
      <c r="KRN30" s="371"/>
      <c r="KRO30" s="371"/>
      <c r="KRP30" s="371"/>
      <c r="KRQ30" s="382"/>
      <c r="KRU30" s="371"/>
      <c r="KRV30" s="371"/>
      <c r="KRW30" s="371"/>
      <c r="KRX30" s="371"/>
      <c r="KRY30" s="371"/>
      <c r="KRZ30" s="371"/>
      <c r="KSA30" s="371"/>
      <c r="KSB30" s="371"/>
      <c r="KSC30" s="371"/>
      <c r="KSD30" s="371"/>
      <c r="KSE30" s="371"/>
      <c r="KSF30" s="371"/>
      <c r="KSG30" s="371"/>
      <c r="KSH30" s="371"/>
      <c r="KSI30" s="371"/>
      <c r="KSJ30" s="371"/>
      <c r="KSK30" s="371"/>
      <c r="KSL30" s="371"/>
      <c r="KSM30" s="371"/>
      <c r="KSN30" s="371"/>
      <c r="KSO30" s="371"/>
      <c r="KSP30" s="371"/>
      <c r="KSQ30" s="371"/>
      <c r="KSR30" s="371"/>
      <c r="KSS30" s="371"/>
      <c r="KST30" s="371"/>
      <c r="KSU30" s="382"/>
      <c r="KSY30" s="371"/>
      <c r="KSZ30" s="371"/>
      <c r="KTA30" s="371"/>
      <c r="KTB30" s="371"/>
      <c r="KTC30" s="371"/>
      <c r="KTD30" s="371"/>
      <c r="KTE30" s="371"/>
      <c r="KTF30" s="371"/>
      <c r="KTG30" s="371"/>
      <c r="KTH30" s="371"/>
      <c r="KTI30" s="371"/>
      <c r="KTJ30" s="371"/>
      <c r="KTK30" s="371"/>
      <c r="KTL30" s="371"/>
      <c r="KTM30" s="371"/>
      <c r="KTN30" s="371"/>
      <c r="KTO30" s="371"/>
      <c r="KTP30" s="371"/>
      <c r="KTQ30" s="371"/>
      <c r="KTR30" s="371"/>
      <c r="KTS30" s="371"/>
      <c r="KTT30" s="371"/>
      <c r="KTU30" s="371"/>
      <c r="KTV30" s="371"/>
      <c r="KTW30" s="371"/>
      <c r="KTX30" s="371"/>
      <c r="KTY30" s="382"/>
      <c r="KUC30" s="371"/>
      <c r="KUD30" s="371"/>
      <c r="KUE30" s="371"/>
      <c r="KUF30" s="371"/>
      <c r="KUG30" s="371"/>
      <c r="KUH30" s="371"/>
      <c r="KUI30" s="371"/>
      <c r="KUJ30" s="371"/>
      <c r="KUK30" s="371"/>
      <c r="KUL30" s="371"/>
      <c r="KUM30" s="371"/>
      <c r="KUN30" s="371"/>
      <c r="KUO30" s="371"/>
      <c r="KUP30" s="371"/>
      <c r="KUQ30" s="371"/>
      <c r="KUR30" s="371"/>
      <c r="KUS30" s="371"/>
      <c r="KUT30" s="371"/>
      <c r="KUU30" s="371"/>
      <c r="KUV30" s="371"/>
      <c r="KUW30" s="371"/>
      <c r="KUX30" s="371"/>
      <c r="KUY30" s="371"/>
      <c r="KUZ30" s="371"/>
      <c r="KVA30" s="371"/>
      <c r="KVB30" s="371"/>
      <c r="KVC30" s="382"/>
      <c r="KVG30" s="371"/>
      <c r="KVH30" s="371"/>
      <c r="KVI30" s="371"/>
      <c r="KVJ30" s="371"/>
      <c r="KVK30" s="371"/>
      <c r="KVL30" s="371"/>
      <c r="KVM30" s="371"/>
      <c r="KVN30" s="371"/>
      <c r="KVO30" s="371"/>
      <c r="KVP30" s="371"/>
      <c r="KVQ30" s="371"/>
      <c r="KVR30" s="371"/>
      <c r="KVS30" s="371"/>
      <c r="KVT30" s="371"/>
      <c r="KVU30" s="371"/>
      <c r="KVV30" s="371"/>
      <c r="KVW30" s="371"/>
      <c r="KVX30" s="371"/>
      <c r="KVY30" s="371"/>
      <c r="KVZ30" s="371"/>
      <c r="KWA30" s="371"/>
      <c r="KWB30" s="371"/>
      <c r="KWC30" s="371"/>
      <c r="KWD30" s="371"/>
      <c r="KWE30" s="371"/>
      <c r="KWF30" s="371"/>
      <c r="KWG30" s="382"/>
      <c r="KWK30" s="371"/>
      <c r="KWL30" s="371"/>
      <c r="KWM30" s="371"/>
      <c r="KWN30" s="371"/>
      <c r="KWO30" s="371"/>
      <c r="KWP30" s="371"/>
      <c r="KWQ30" s="371"/>
      <c r="KWR30" s="371"/>
      <c r="KWS30" s="371"/>
      <c r="KWT30" s="371"/>
      <c r="KWU30" s="371"/>
      <c r="KWV30" s="371"/>
      <c r="KWW30" s="371"/>
      <c r="KWX30" s="371"/>
      <c r="KWY30" s="371"/>
      <c r="KWZ30" s="371"/>
      <c r="KXA30" s="371"/>
      <c r="KXB30" s="371"/>
      <c r="KXC30" s="371"/>
      <c r="KXD30" s="371"/>
      <c r="KXE30" s="371"/>
      <c r="KXF30" s="371"/>
      <c r="KXG30" s="371"/>
      <c r="KXH30" s="371"/>
      <c r="KXI30" s="371"/>
      <c r="KXJ30" s="371"/>
      <c r="KXK30" s="382"/>
      <c r="KXO30" s="371"/>
      <c r="KXP30" s="371"/>
      <c r="KXQ30" s="371"/>
      <c r="KXR30" s="371"/>
      <c r="KXS30" s="371"/>
      <c r="KXT30" s="371"/>
      <c r="KXU30" s="371"/>
      <c r="KXV30" s="371"/>
      <c r="KXW30" s="371"/>
      <c r="KXX30" s="371"/>
      <c r="KXY30" s="371"/>
      <c r="KXZ30" s="371"/>
      <c r="KYA30" s="371"/>
      <c r="KYB30" s="371"/>
      <c r="KYC30" s="371"/>
      <c r="KYD30" s="371"/>
      <c r="KYE30" s="371"/>
      <c r="KYF30" s="371"/>
      <c r="KYG30" s="371"/>
      <c r="KYH30" s="371"/>
      <c r="KYI30" s="371"/>
      <c r="KYJ30" s="371"/>
      <c r="KYK30" s="371"/>
      <c r="KYL30" s="371"/>
      <c r="KYM30" s="371"/>
      <c r="KYN30" s="371"/>
      <c r="KYO30" s="382"/>
      <c r="KYS30" s="371"/>
      <c r="KYT30" s="371"/>
      <c r="KYU30" s="371"/>
      <c r="KYV30" s="371"/>
      <c r="KYW30" s="371"/>
      <c r="KYX30" s="371"/>
      <c r="KYY30" s="371"/>
      <c r="KYZ30" s="371"/>
      <c r="KZA30" s="371"/>
      <c r="KZB30" s="371"/>
      <c r="KZC30" s="371"/>
      <c r="KZD30" s="371"/>
      <c r="KZE30" s="371"/>
      <c r="KZF30" s="371"/>
      <c r="KZG30" s="371"/>
      <c r="KZH30" s="371"/>
      <c r="KZI30" s="371"/>
      <c r="KZJ30" s="371"/>
      <c r="KZK30" s="371"/>
      <c r="KZL30" s="371"/>
      <c r="KZM30" s="371"/>
      <c r="KZN30" s="371"/>
      <c r="KZO30" s="371"/>
      <c r="KZP30" s="371"/>
      <c r="KZQ30" s="371"/>
      <c r="KZR30" s="371"/>
      <c r="KZS30" s="382"/>
      <c r="KZW30" s="371"/>
      <c r="KZX30" s="371"/>
      <c r="KZY30" s="371"/>
      <c r="KZZ30" s="371"/>
      <c r="LAA30" s="371"/>
      <c r="LAB30" s="371"/>
      <c r="LAC30" s="371"/>
      <c r="LAD30" s="371"/>
      <c r="LAE30" s="371"/>
      <c r="LAF30" s="371"/>
      <c r="LAG30" s="371"/>
      <c r="LAH30" s="371"/>
      <c r="LAI30" s="371"/>
      <c r="LAJ30" s="371"/>
      <c r="LAK30" s="371"/>
      <c r="LAL30" s="371"/>
      <c r="LAM30" s="371"/>
      <c r="LAN30" s="371"/>
      <c r="LAO30" s="371"/>
      <c r="LAP30" s="371"/>
      <c r="LAQ30" s="371"/>
      <c r="LAR30" s="371"/>
      <c r="LAS30" s="371"/>
      <c r="LAT30" s="371"/>
      <c r="LAU30" s="371"/>
      <c r="LAV30" s="371"/>
      <c r="LAW30" s="382"/>
      <c r="LBA30" s="371"/>
      <c r="LBB30" s="371"/>
      <c r="LBC30" s="371"/>
      <c r="LBD30" s="371"/>
      <c r="LBE30" s="371"/>
      <c r="LBF30" s="371"/>
      <c r="LBG30" s="371"/>
      <c r="LBH30" s="371"/>
      <c r="LBI30" s="371"/>
      <c r="LBJ30" s="371"/>
      <c r="LBK30" s="371"/>
      <c r="LBL30" s="371"/>
      <c r="LBM30" s="371"/>
      <c r="LBN30" s="371"/>
      <c r="LBO30" s="371"/>
      <c r="LBP30" s="371"/>
      <c r="LBQ30" s="371"/>
      <c r="LBR30" s="371"/>
      <c r="LBS30" s="371"/>
      <c r="LBT30" s="371"/>
      <c r="LBU30" s="371"/>
      <c r="LBV30" s="371"/>
      <c r="LBW30" s="371"/>
      <c r="LBX30" s="371"/>
      <c r="LBY30" s="371"/>
      <c r="LBZ30" s="371"/>
      <c r="LCA30" s="382"/>
      <c r="LCE30" s="371"/>
      <c r="LCF30" s="371"/>
      <c r="LCG30" s="371"/>
      <c r="LCH30" s="371"/>
      <c r="LCI30" s="371"/>
      <c r="LCJ30" s="371"/>
      <c r="LCK30" s="371"/>
      <c r="LCL30" s="371"/>
      <c r="LCM30" s="371"/>
      <c r="LCN30" s="371"/>
      <c r="LCO30" s="371"/>
      <c r="LCP30" s="371"/>
      <c r="LCQ30" s="371"/>
      <c r="LCR30" s="371"/>
      <c r="LCS30" s="371"/>
      <c r="LCT30" s="371"/>
      <c r="LCU30" s="371"/>
      <c r="LCV30" s="371"/>
      <c r="LCW30" s="371"/>
      <c r="LCX30" s="371"/>
      <c r="LCY30" s="371"/>
      <c r="LCZ30" s="371"/>
      <c r="LDA30" s="371"/>
      <c r="LDB30" s="371"/>
      <c r="LDC30" s="371"/>
      <c r="LDD30" s="371"/>
      <c r="LDE30" s="382"/>
      <c r="LDI30" s="371"/>
      <c r="LDJ30" s="371"/>
      <c r="LDK30" s="371"/>
      <c r="LDL30" s="371"/>
      <c r="LDM30" s="371"/>
      <c r="LDN30" s="371"/>
      <c r="LDO30" s="371"/>
      <c r="LDP30" s="371"/>
      <c r="LDQ30" s="371"/>
      <c r="LDR30" s="371"/>
      <c r="LDS30" s="371"/>
      <c r="LDT30" s="371"/>
      <c r="LDU30" s="371"/>
      <c r="LDV30" s="371"/>
      <c r="LDW30" s="371"/>
      <c r="LDX30" s="371"/>
      <c r="LDY30" s="371"/>
      <c r="LDZ30" s="371"/>
      <c r="LEA30" s="371"/>
      <c r="LEB30" s="371"/>
      <c r="LEC30" s="371"/>
      <c r="LED30" s="371"/>
      <c r="LEE30" s="371"/>
      <c r="LEF30" s="371"/>
      <c r="LEG30" s="371"/>
      <c r="LEH30" s="371"/>
      <c r="LEI30" s="382"/>
      <c r="LEM30" s="371"/>
      <c r="LEN30" s="371"/>
      <c r="LEO30" s="371"/>
      <c r="LEP30" s="371"/>
      <c r="LEQ30" s="371"/>
      <c r="LER30" s="371"/>
      <c r="LES30" s="371"/>
      <c r="LET30" s="371"/>
      <c r="LEU30" s="371"/>
      <c r="LEV30" s="371"/>
      <c r="LEW30" s="371"/>
      <c r="LEX30" s="371"/>
      <c r="LEY30" s="371"/>
      <c r="LEZ30" s="371"/>
      <c r="LFA30" s="371"/>
      <c r="LFB30" s="371"/>
      <c r="LFC30" s="371"/>
      <c r="LFD30" s="371"/>
      <c r="LFE30" s="371"/>
      <c r="LFF30" s="371"/>
      <c r="LFG30" s="371"/>
      <c r="LFH30" s="371"/>
      <c r="LFI30" s="371"/>
      <c r="LFJ30" s="371"/>
      <c r="LFK30" s="371"/>
      <c r="LFL30" s="371"/>
      <c r="LFM30" s="382"/>
      <c r="LFQ30" s="371"/>
      <c r="LFR30" s="371"/>
      <c r="LFS30" s="371"/>
      <c r="LFT30" s="371"/>
      <c r="LFU30" s="371"/>
      <c r="LFV30" s="371"/>
      <c r="LFW30" s="371"/>
      <c r="LFX30" s="371"/>
      <c r="LFY30" s="371"/>
      <c r="LFZ30" s="371"/>
      <c r="LGA30" s="371"/>
      <c r="LGB30" s="371"/>
      <c r="LGC30" s="371"/>
      <c r="LGD30" s="371"/>
      <c r="LGE30" s="371"/>
      <c r="LGF30" s="371"/>
      <c r="LGG30" s="371"/>
      <c r="LGH30" s="371"/>
      <c r="LGI30" s="371"/>
      <c r="LGJ30" s="371"/>
      <c r="LGK30" s="371"/>
      <c r="LGL30" s="371"/>
      <c r="LGM30" s="371"/>
      <c r="LGN30" s="371"/>
      <c r="LGO30" s="371"/>
      <c r="LGP30" s="371"/>
      <c r="LGQ30" s="382"/>
      <c r="LGU30" s="371"/>
      <c r="LGV30" s="371"/>
      <c r="LGW30" s="371"/>
      <c r="LGX30" s="371"/>
      <c r="LGY30" s="371"/>
      <c r="LGZ30" s="371"/>
      <c r="LHA30" s="371"/>
      <c r="LHB30" s="371"/>
      <c r="LHC30" s="371"/>
      <c r="LHD30" s="371"/>
      <c r="LHE30" s="371"/>
      <c r="LHF30" s="371"/>
      <c r="LHG30" s="371"/>
      <c r="LHH30" s="371"/>
      <c r="LHI30" s="371"/>
      <c r="LHJ30" s="371"/>
      <c r="LHK30" s="371"/>
      <c r="LHL30" s="371"/>
      <c r="LHM30" s="371"/>
      <c r="LHN30" s="371"/>
      <c r="LHO30" s="371"/>
      <c r="LHP30" s="371"/>
      <c r="LHQ30" s="371"/>
      <c r="LHR30" s="371"/>
      <c r="LHS30" s="371"/>
      <c r="LHT30" s="371"/>
      <c r="LHU30" s="382"/>
      <c r="LHY30" s="371"/>
      <c r="LHZ30" s="371"/>
      <c r="LIA30" s="371"/>
      <c r="LIB30" s="371"/>
      <c r="LIC30" s="371"/>
      <c r="LID30" s="371"/>
      <c r="LIE30" s="371"/>
      <c r="LIF30" s="371"/>
      <c r="LIG30" s="371"/>
      <c r="LIH30" s="371"/>
      <c r="LII30" s="371"/>
      <c r="LIJ30" s="371"/>
      <c r="LIK30" s="371"/>
      <c r="LIL30" s="371"/>
      <c r="LIM30" s="371"/>
      <c r="LIN30" s="371"/>
      <c r="LIO30" s="371"/>
      <c r="LIP30" s="371"/>
      <c r="LIQ30" s="371"/>
      <c r="LIR30" s="371"/>
      <c r="LIS30" s="371"/>
      <c r="LIT30" s="371"/>
      <c r="LIU30" s="371"/>
      <c r="LIV30" s="371"/>
      <c r="LIW30" s="371"/>
      <c r="LIX30" s="371"/>
      <c r="LIY30" s="382"/>
      <c r="LJC30" s="371"/>
      <c r="LJD30" s="371"/>
      <c r="LJE30" s="371"/>
      <c r="LJF30" s="371"/>
      <c r="LJG30" s="371"/>
      <c r="LJH30" s="371"/>
      <c r="LJI30" s="371"/>
      <c r="LJJ30" s="371"/>
      <c r="LJK30" s="371"/>
      <c r="LJL30" s="371"/>
      <c r="LJM30" s="371"/>
      <c r="LJN30" s="371"/>
      <c r="LJO30" s="371"/>
      <c r="LJP30" s="371"/>
      <c r="LJQ30" s="371"/>
      <c r="LJR30" s="371"/>
      <c r="LJS30" s="371"/>
      <c r="LJT30" s="371"/>
      <c r="LJU30" s="371"/>
      <c r="LJV30" s="371"/>
      <c r="LJW30" s="371"/>
      <c r="LJX30" s="371"/>
      <c r="LJY30" s="371"/>
      <c r="LJZ30" s="371"/>
      <c r="LKA30" s="371"/>
      <c r="LKB30" s="371"/>
      <c r="LKC30" s="382"/>
      <c r="LKG30" s="371"/>
      <c r="LKH30" s="371"/>
      <c r="LKI30" s="371"/>
      <c r="LKJ30" s="371"/>
      <c r="LKK30" s="371"/>
      <c r="LKL30" s="371"/>
      <c r="LKM30" s="371"/>
      <c r="LKN30" s="371"/>
      <c r="LKO30" s="371"/>
      <c r="LKP30" s="371"/>
      <c r="LKQ30" s="371"/>
      <c r="LKR30" s="371"/>
      <c r="LKS30" s="371"/>
      <c r="LKT30" s="371"/>
      <c r="LKU30" s="371"/>
      <c r="LKV30" s="371"/>
      <c r="LKW30" s="371"/>
      <c r="LKX30" s="371"/>
      <c r="LKY30" s="371"/>
      <c r="LKZ30" s="371"/>
      <c r="LLA30" s="371"/>
      <c r="LLB30" s="371"/>
      <c r="LLC30" s="371"/>
      <c r="LLD30" s="371"/>
      <c r="LLE30" s="371"/>
      <c r="LLF30" s="371"/>
      <c r="LLG30" s="382"/>
      <c r="LLK30" s="371"/>
      <c r="LLL30" s="371"/>
      <c r="LLM30" s="371"/>
      <c r="LLN30" s="371"/>
      <c r="LLO30" s="371"/>
      <c r="LLP30" s="371"/>
      <c r="LLQ30" s="371"/>
      <c r="LLR30" s="371"/>
      <c r="LLS30" s="371"/>
      <c r="LLT30" s="371"/>
      <c r="LLU30" s="371"/>
      <c r="LLV30" s="371"/>
      <c r="LLW30" s="371"/>
      <c r="LLX30" s="371"/>
      <c r="LLY30" s="371"/>
      <c r="LLZ30" s="371"/>
      <c r="LMA30" s="371"/>
      <c r="LMB30" s="371"/>
      <c r="LMC30" s="371"/>
      <c r="LMD30" s="371"/>
      <c r="LME30" s="371"/>
      <c r="LMF30" s="371"/>
      <c r="LMG30" s="371"/>
      <c r="LMH30" s="371"/>
      <c r="LMI30" s="371"/>
      <c r="LMJ30" s="371"/>
      <c r="LMK30" s="382"/>
      <c r="LMO30" s="371"/>
      <c r="LMP30" s="371"/>
      <c r="LMQ30" s="371"/>
      <c r="LMR30" s="371"/>
      <c r="LMS30" s="371"/>
      <c r="LMT30" s="371"/>
      <c r="LMU30" s="371"/>
      <c r="LMV30" s="371"/>
      <c r="LMW30" s="371"/>
      <c r="LMX30" s="371"/>
      <c r="LMY30" s="371"/>
      <c r="LMZ30" s="371"/>
      <c r="LNA30" s="371"/>
      <c r="LNB30" s="371"/>
      <c r="LNC30" s="371"/>
      <c r="LND30" s="371"/>
      <c r="LNE30" s="371"/>
      <c r="LNF30" s="371"/>
      <c r="LNG30" s="371"/>
      <c r="LNH30" s="371"/>
      <c r="LNI30" s="371"/>
      <c r="LNJ30" s="371"/>
      <c r="LNK30" s="371"/>
      <c r="LNL30" s="371"/>
      <c r="LNM30" s="371"/>
      <c r="LNN30" s="371"/>
      <c r="LNO30" s="382"/>
      <c r="LNS30" s="371"/>
      <c r="LNT30" s="371"/>
      <c r="LNU30" s="371"/>
      <c r="LNV30" s="371"/>
      <c r="LNW30" s="371"/>
      <c r="LNX30" s="371"/>
      <c r="LNY30" s="371"/>
      <c r="LNZ30" s="371"/>
      <c r="LOA30" s="371"/>
      <c r="LOB30" s="371"/>
      <c r="LOC30" s="371"/>
      <c r="LOD30" s="371"/>
      <c r="LOE30" s="371"/>
      <c r="LOF30" s="371"/>
      <c r="LOG30" s="371"/>
      <c r="LOH30" s="371"/>
      <c r="LOI30" s="371"/>
      <c r="LOJ30" s="371"/>
      <c r="LOK30" s="371"/>
      <c r="LOL30" s="371"/>
      <c r="LOM30" s="371"/>
      <c r="LON30" s="371"/>
      <c r="LOO30" s="371"/>
      <c r="LOP30" s="371"/>
      <c r="LOQ30" s="371"/>
      <c r="LOR30" s="371"/>
      <c r="LOS30" s="382"/>
      <c r="LOW30" s="371"/>
      <c r="LOX30" s="371"/>
      <c r="LOY30" s="371"/>
      <c r="LOZ30" s="371"/>
      <c r="LPA30" s="371"/>
      <c r="LPB30" s="371"/>
      <c r="LPC30" s="371"/>
      <c r="LPD30" s="371"/>
      <c r="LPE30" s="371"/>
      <c r="LPF30" s="371"/>
      <c r="LPG30" s="371"/>
      <c r="LPH30" s="371"/>
      <c r="LPI30" s="371"/>
      <c r="LPJ30" s="371"/>
      <c r="LPK30" s="371"/>
      <c r="LPL30" s="371"/>
      <c r="LPM30" s="371"/>
      <c r="LPN30" s="371"/>
      <c r="LPO30" s="371"/>
      <c r="LPP30" s="371"/>
      <c r="LPQ30" s="371"/>
      <c r="LPR30" s="371"/>
      <c r="LPS30" s="371"/>
      <c r="LPT30" s="371"/>
      <c r="LPU30" s="371"/>
      <c r="LPV30" s="371"/>
      <c r="LPW30" s="382"/>
      <c r="LQA30" s="371"/>
      <c r="LQB30" s="371"/>
      <c r="LQC30" s="371"/>
      <c r="LQD30" s="371"/>
      <c r="LQE30" s="371"/>
      <c r="LQF30" s="371"/>
      <c r="LQG30" s="371"/>
      <c r="LQH30" s="371"/>
      <c r="LQI30" s="371"/>
      <c r="LQJ30" s="371"/>
      <c r="LQK30" s="371"/>
      <c r="LQL30" s="371"/>
      <c r="LQM30" s="371"/>
      <c r="LQN30" s="371"/>
      <c r="LQO30" s="371"/>
      <c r="LQP30" s="371"/>
      <c r="LQQ30" s="371"/>
      <c r="LQR30" s="371"/>
      <c r="LQS30" s="371"/>
      <c r="LQT30" s="371"/>
      <c r="LQU30" s="371"/>
      <c r="LQV30" s="371"/>
      <c r="LQW30" s="371"/>
      <c r="LQX30" s="371"/>
      <c r="LQY30" s="371"/>
      <c r="LQZ30" s="371"/>
      <c r="LRA30" s="382"/>
      <c r="LRE30" s="371"/>
      <c r="LRF30" s="371"/>
      <c r="LRG30" s="371"/>
      <c r="LRH30" s="371"/>
      <c r="LRI30" s="371"/>
      <c r="LRJ30" s="371"/>
      <c r="LRK30" s="371"/>
      <c r="LRL30" s="371"/>
      <c r="LRM30" s="371"/>
      <c r="LRN30" s="371"/>
      <c r="LRO30" s="371"/>
      <c r="LRP30" s="371"/>
      <c r="LRQ30" s="371"/>
      <c r="LRR30" s="371"/>
      <c r="LRS30" s="371"/>
      <c r="LRT30" s="371"/>
      <c r="LRU30" s="371"/>
      <c r="LRV30" s="371"/>
      <c r="LRW30" s="371"/>
      <c r="LRX30" s="371"/>
      <c r="LRY30" s="371"/>
      <c r="LRZ30" s="371"/>
      <c r="LSA30" s="371"/>
      <c r="LSB30" s="371"/>
      <c r="LSC30" s="371"/>
      <c r="LSD30" s="371"/>
      <c r="LSE30" s="382"/>
      <c r="LSI30" s="371"/>
      <c r="LSJ30" s="371"/>
      <c r="LSK30" s="371"/>
      <c r="LSL30" s="371"/>
      <c r="LSM30" s="371"/>
      <c r="LSN30" s="371"/>
      <c r="LSO30" s="371"/>
      <c r="LSP30" s="371"/>
      <c r="LSQ30" s="371"/>
      <c r="LSR30" s="371"/>
      <c r="LSS30" s="371"/>
      <c r="LST30" s="371"/>
      <c r="LSU30" s="371"/>
      <c r="LSV30" s="371"/>
      <c r="LSW30" s="371"/>
      <c r="LSX30" s="371"/>
      <c r="LSY30" s="371"/>
      <c r="LSZ30" s="371"/>
      <c r="LTA30" s="371"/>
      <c r="LTB30" s="371"/>
      <c r="LTC30" s="371"/>
      <c r="LTD30" s="371"/>
      <c r="LTE30" s="371"/>
      <c r="LTF30" s="371"/>
      <c r="LTG30" s="371"/>
      <c r="LTH30" s="371"/>
      <c r="LTI30" s="382"/>
      <c r="LTM30" s="371"/>
      <c r="LTN30" s="371"/>
      <c r="LTO30" s="371"/>
      <c r="LTP30" s="371"/>
      <c r="LTQ30" s="371"/>
      <c r="LTR30" s="371"/>
      <c r="LTS30" s="371"/>
      <c r="LTT30" s="371"/>
      <c r="LTU30" s="371"/>
      <c r="LTV30" s="371"/>
      <c r="LTW30" s="371"/>
      <c r="LTX30" s="371"/>
      <c r="LTY30" s="371"/>
      <c r="LTZ30" s="371"/>
      <c r="LUA30" s="371"/>
      <c r="LUB30" s="371"/>
      <c r="LUC30" s="371"/>
      <c r="LUD30" s="371"/>
      <c r="LUE30" s="371"/>
      <c r="LUF30" s="371"/>
      <c r="LUG30" s="371"/>
      <c r="LUH30" s="371"/>
      <c r="LUI30" s="371"/>
      <c r="LUJ30" s="371"/>
      <c r="LUK30" s="371"/>
      <c r="LUL30" s="371"/>
      <c r="LUM30" s="382"/>
      <c r="LUQ30" s="371"/>
      <c r="LUR30" s="371"/>
      <c r="LUS30" s="371"/>
      <c r="LUT30" s="371"/>
      <c r="LUU30" s="371"/>
      <c r="LUV30" s="371"/>
      <c r="LUW30" s="371"/>
      <c r="LUX30" s="371"/>
      <c r="LUY30" s="371"/>
      <c r="LUZ30" s="371"/>
      <c r="LVA30" s="371"/>
      <c r="LVB30" s="371"/>
      <c r="LVC30" s="371"/>
      <c r="LVD30" s="371"/>
      <c r="LVE30" s="371"/>
      <c r="LVF30" s="371"/>
      <c r="LVG30" s="371"/>
      <c r="LVH30" s="371"/>
      <c r="LVI30" s="371"/>
      <c r="LVJ30" s="371"/>
      <c r="LVK30" s="371"/>
      <c r="LVL30" s="371"/>
      <c r="LVM30" s="371"/>
      <c r="LVN30" s="371"/>
      <c r="LVO30" s="371"/>
      <c r="LVP30" s="371"/>
      <c r="LVQ30" s="382"/>
      <c r="LVU30" s="371"/>
      <c r="LVV30" s="371"/>
      <c r="LVW30" s="371"/>
      <c r="LVX30" s="371"/>
      <c r="LVY30" s="371"/>
      <c r="LVZ30" s="371"/>
      <c r="LWA30" s="371"/>
      <c r="LWB30" s="371"/>
      <c r="LWC30" s="371"/>
      <c r="LWD30" s="371"/>
      <c r="LWE30" s="371"/>
      <c r="LWF30" s="371"/>
      <c r="LWG30" s="371"/>
      <c r="LWH30" s="371"/>
      <c r="LWI30" s="371"/>
      <c r="LWJ30" s="371"/>
      <c r="LWK30" s="371"/>
      <c r="LWL30" s="371"/>
      <c r="LWM30" s="371"/>
      <c r="LWN30" s="371"/>
      <c r="LWO30" s="371"/>
      <c r="LWP30" s="371"/>
      <c r="LWQ30" s="371"/>
      <c r="LWR30" s="371"/>
      <c r="LWS30" s="371"/>
      <c r="LWT30" s="371"/>
      <c r="LWU30" s="382"/>
      <c r="LWY30" s="371"/>
      <c r="LWZ30" s="371"/>
      <c r="LXA30" s="371"/>
      <c r="LXB30" s="371"/>
      <c r="LXC30" s="371"/>
      <c r="LXD30" s="371"/>
      <c r="LXE30" s="371"/>
      <c r="LXF30" s="371"/>
      <c r="LXG30" s="371"/>
      <c r="LXH30" s="371"/>
      <c r="LXI30" s="371"/>
      <c r="LXJ30" s="371"/>
      <c r="LXK30" s="371"/>
      <c r="LXL30" s="371"/>
      <c r="LXM30" s="371"/>
      <c r="LXN30" s="371"/>
      <c r="LXO30" s="371"/>
      <c r="LXP30" s="371"/>
      <c r="LXQ30" s="371"/>
      <c r="LXR30" s="371"/>
      <c r="LXS30" s="371"/>
      <c r="LXT30" s="371"/>
      <c r="LXU30" s="371"/>
      <c r="LXV30" s="371"/>
      <c r="LXW30" s="371"/>
      <c r="LXX30" s="371"/>
      <c r="LXY30" s="382"/>
      <c r="LYC30" s="371"/>
      <c r="LYD30" s="371"/>
      <c r="LYE30" s="371"/>
      <c r="LYF30" s="371"/>
      <c r="LYG30" s="371"/>
      <c r="LYH30" s="371"/>
      <c r="LYI30" s="371"/>
      <c r="LYJ30" s="371"/>
      <c r="LYK30" s="371"/>
      <c r="LYL30" s="371"/>
      <c r="LYM30" s="371"/>
      <c r="LYN30" s="371"/>
      <c r="LYO30" s="371"/>
      <c r="LYP30" s="371"/>
      <c r="LYQ30" s="371"/>
      <c r="LYR30" s="371"/>
      <c r="LYS30" s="371"/>
      <c r="LYT30" s="371"/>
      <c r="LYU30" s="371"/>
      <c r="LYV30" s="371"/>
      <c r="LYW30" s="371"/>
      <c r="LYX30" s="371"/>
      <c r="LYY30" s="371"/>
      <c r="LYZ30" s="371"/>
      <c r="LZA30" s="371"/>
      <c r="LZB30" s="371"/>
      <c r="LZC30" s="382"/>
      <c r="LZG30" s="371"/>
      <c r="LZH30" s="371"/>
      <c r="LZI30" s="371"/>
      <c r="LZJ30" s="371"/>
      <c r="LZK30" s="371"/>
      <c r="LZL30" s="371"/>
      <c r="LZM30" s="371"/>
      <c r="LZN30" s="371"/>
      <c r="LZO30" s="371"/>
      <c r="LZP30" s="371"/>
      <c r="LZQ30" s="371"/>
      <c r="LZR30" s="371"/>
      <c r="LZS30" s="371"/>
      <c r="LZT30" s="371"/>
      <c r="LZU30" s="371"/>
      <c r="LZV30" s="371"/>
      <c r="LZW30" s="371"/>
      <c r="LZX30" s="371"/>
      <c r="LZY30" s="371"/>
      <c r="LZZ30" s="371"/>
      <c r="MAA30" s="371"/>
      <c r="MAB30" s="371"/>
      <c r="MAC30" s="371"/>
      <c r="MAD30" s="371"/>
      <c r="MAE30" s="371"/>
      <c r="MAF30" s="371"/>
      <c r="MAG30" s="382"/>
      <c r="MAK30" s="371"/>
      <c r="MAL30" s="371"/>
      <c r="MAM30" s="371"/>
      <c r="MAN30" s="371"/>
      <c r="MAO30" s="371"/>
      <c r="MAP30" s="371"/>
      <c r="MAQ30" s="371"/>
      <c r="MAR30" s="371"/>
      <c r="MAS30" s="371"/>
      <c r="MAT30" s="371"/>
      <c r="MAU30" s="371"/>
      <c r="MAV30" s="371"/>
      <c r="MAW30" s="371"/>
      <c r="MAX30" s="371"/>
      <c r="MAY30" s="371"/>
      <c r="MAZ30" s="371"/>
      <c r="MBA30" s="371"/>
      <c r="MBB30" s="371"/>
      <c r="MBC30" s="371"/>
      <c r="MBD30" s="371"/>
      <c r="MBE30" s="371"/>
      <c r="MBF30" s="371"/>
      <c r="MBG30" s="371"/>
      <c r="MBH30" s="371"/>
      <c r="MBI30" s="371"/>
      <c r="MBJ30" s="371"/>
      <c r="MBK30" s="382"/>
      <c r="MBO30" s="371"/>
      <c r="MBP30" s="371"/>
      <c r="MBQ30" s="371"/>
      <c r="MBR30" s="371"/>
      <c r="MBS30" s="371"/>
      <c r="MBT30" s="371"/>
      <c r="MBU30" s="371"/>
      <c r="MBV30" s="371"/>
      <c r="MBW30" s="371"/>
      <c r="MBX30" s="371"/>
      <c r="MBY30" s="371"/>
      <c r="MBZ30" s="371"/>
      <c r="MCA30" s="371"/>
      <c r="MCB30" s="371"/>
      <c r="MCC30" s="371"/>
      <c r="MCD30" s="371"/>
      <c r="MCE30" s="371"/>
      <c r="MCF30" s="371"/>
      <c r="MCG30" s="371"/>
      <c r="MCH30" s="371"/>
      <c r="MCI30" s="371"/>
      <c r="MCJ30" s="371"/>
      <c r="MCK30" s="371"/>
      <c r="MCL30" s="371"/>
      <c r="MCM30" s="371"/>
      <c r="MCN30" s="371"/>
      <c r="MCO30" s="382"/>
      <c r="MCS30" s="371"/>
      <c r="MCT30" s="371"/>
      <c r="MCU30" s="371"/>
      <c r="MCV30" s="371"/>
      <c r="MCW30" s="371"/>
      <c r="MCX30" s="371"/>
      <c r="MCY30" s="371"/>
      <c r="MCZ30" s="371"/>
      <c r="MDA30" s="371"/>
      <c r="MDB30" s="371"/>
      <c r="MDC30" s="371"/>
      <c r="MDD30" s="371"/>
      <c r="MDE30" s="371"/>
      <c r="MDF30" s="371"/>
      <c r="MDG30" s="371"/>
      <c r="MDH30" s="371"/>
      <c r="MDI30" s="371"/>
      <c r="MDJ30" s="371"/>
      <c r="MDK30" s="371"/>
      <c r="MDL30" s="371"/>
      <c r="MDM30" s="371"/>
      <c r="MDN30" s="371"/>
      <c r="MDO30" s="371"/>
      <c r="MDP30" s="371"/>
      <c r="MDQ30" s="371"/>
      <c r="MDR30" s="371"/>
      <c r="MDS30" s="382"/>
      <c r="MDW30" s="371"/>
      <c r="MDX30" s="371"/>
      <c r="MDY30" s="371"/>
      <c r="MDZ30" s="371"/>
      <c r="MEA30" s="371"/>
      <c r="MEB30" s="371"/>
      <c r="MEC30" s="371"/>
      <c r="MED30" s="371"/>
      <c r="MEE30" s="371"/>
      <c r="MEF30" s="371"/>
      <c r="MEG30" s="371"/>
      <c r="MEH30" s="371"/>
      <c r="MEI30" s="371"/>
      <c r="MEJ30" s="371"/>
      <c r="MEK30" s="371"/>
      <c r="MEL30" s="371"/>
      <c r="MEM30" s="371"/>
      <c r="MEN30" s="371"/>
      <c r="MEO30" s="371"/>
      <c r="MEP30" s="371"/>
      <c r="MEQ30" s="371"/>
      <c r="MER30" s="371"/>
      <c r="MES30" s="371"/>
      <c r="MET30" s="371"/>
      <c r="MEU30" s="371"/>
      <c r="MEV30" s="371"/>
      <c r="MEW30" s="382"/>
      <c r="MFA30" s="371"/>
      <c r="MFB30" s="371"/>
      <c r="MFC30" s="371"/>
      <c r="MFD30" s="371"/>
      <c r="MFE30" s="371"/>
      <c r="MFF30" s="371"/>
      <c r="MFG30" s="371"/>
      <c r="MFH30" s="371"/>
      <c r="MFI30" s="371"/>
      <c r="MFJ30" s="371"/>
      <c r="MFK30" s="371"/>
      <c r="MFL30" s="371"/>
      <c r="MFM30" s="371"/>
      <c r="MFN30" s="371"/>
      <c r="MFO30" s="371"/>
      <c r="MFP30" s="371"/>
      <c r="MFQ30" s="371"/>
      <c r="MFR30" s="371"/>
      <c r="MFS30" s="371"/>
      <c r="MFT30" s="371"/>
      <c r="MFU30" s="371"/>
      <c r="MFV30" s="371"/>
      <c r="MFW30" s="371"/>
      <c r="MFX30" s="371"/>
      <c r="MFY30" s="371"/>
      <c r="MFZ30" s="371"/>
      <c r="MGA30" s="382"/>
      <c r="MGE30" s="371"/>
      <c r="MGF30" s="371"/>
      <c r="MGG30" s="371"/>
      <c r="MGH30" s="371"/>
      <c r="MGI30" s="371"/>
      <c r="MGJ30" s="371"/>
      <c r="MGK30" s="371"/>
      <c r="MGL30" s="371"/>
      <c r="MGM30" s="371"/>
      <c r="MGN30" s="371"/>
      <c r="MGO30" s="371"/>
      <c r="MGP30" s="371"/>
      <c r="MGQ30" s="371"/>
      <c r="MGR30" s="371"/>
      <c r="MGS30" s="371"/>
      <c r="MGT30" s="371"/>
      <c r="MGU30" s="371"/>
      <c r="MGV30" s="371"/>
      <c r="MGW30" s="371"/>
      <c r="MGX30" s="371"/>
      <c r="MGY30" s="371"/>
      <c r="MGZ30" s="371"/>
      <c r="MHA30" s="371"/>
      <c r="MHB30" s="371"/>
      <c r="MHC30" s="371"/>
      <c r="MHD30" s="371"/>
      <c r="MHE30" s="382"/>
      <c r="MHI30" s="371"/>
      <c r="MHJ30" s="371"/>
      <c r="MHK30" s="371"/>
      <c r="MHL30" s="371"/>
      <c r="MHM30" s="371"/>
      <c r="MHN30" s="371"/>
      <c r="MHO30" s="371"/>
      <c r="MHP30" s="371"/>
      <c r="MHQ30" s="371"/>
      <c r="MHR30" s="371"/>
      <c r="MHS30" s="371"/>
      <c r="MHT30" s="371"/>
      <c r="MHU30" s="371"/>
      <c r="MHV30" s="371"/>
      <c r="MHW30" s="371"/>
      <c r="MHX30" s="371"/>
      <c r="MHY30" s="371"/>
      <c r="MHZ30" s="371"/>
      <c r="MIA30" s="371"/>
      <c r="MIB30" s="371"/>
      <c r="MIC30" s="371"/>
      <c r="MID30" s="371"/>
      <c r="MIE30" s="371"/>
      <c r="MIF30" s="371"/>
      <c r="MIG30" s="371"/>
      <c r="MIH30" s="371"/>
      <c r="MII30" s="382"/>
      <c r="MIM30" s="371"/>
      <c r="MIN30" s="371"/>
      <c r="MIO30" s="371"/>
      <c r="MIP30" s="371"/>
      <c r="MIQ30" s="371"/>
      <c r="MIR30" s="371"/>
      <c r="MIS30" s="371"/>
      <c r="MIT30" s="371"/>
      <c r="MIU30" s="371"/>
      <c r="MIV30" s="371"/>
      <c r="MIW30" s="371"/>
      <c r="MIX30" s="371"/>
      <c r="MIY30" s="371"/>
      <c r="MIZ30" s="371"/>
      <c r="MJA30" s="371"/>
      <c r="MJB30" s="371"/>
      <c r="MJC30" s="371"/>
      <c r="MJD30" s="371"/>
      <c r="MJE30" s="371"/>
      <c r="MJF30" s="371"/>
      <c r="MJG30" s="371"/>
      <c r="MJH30" s="371"/>
      <c r="MJI30" s="371"/>
      <c r="MJJ30" s="371"/>
      <c r="MJK30" s="371"/>
      <c r="MJL30" s="371"/>
      <c r="MJM30" s="382"/>
      <c r="MJQ30" s="371"/>
      <c r="MJR30" s="371"/>
      <c r="MJS30" s="371"/>
      <c r="MJT30" s="371"/>
      <c r="MJU30" s="371"/>
      <c r="MJV30" s="371"/>
      <c r="MJW30" s="371"/>
      <c r="MJX30" s="371"/>
      <c r="MJY30" s="371"/>
      <c r="MJZ30" s="371"/>
      <c r="MKA30" s="371"/>
      <c r="MKB30" s="371"/>
      <c r="MKC30" s="371"/>
      <c r="MKD30" s="371"/>
      <c r="MKE30" s="371"/>
      <c r="MKF30" s="371"/>
      <c r="MKG30" s="371"/>
      <c r="MKH30" s="371"/>
      <c r="MKI30" s="371"/>
      <c r="MKJ30" s="371"/>
      <c r="MKK30" s="371"/>
      <c r="MKL30" s="371"/>
      <c r="MKM30" s="371"/>
      <c r="MKN30" s="371"/>
      <c r="MKO30" s="371"/>
      <c r="MKP30" s="371"/>
      <c r="MKQ30" s="382"/>
      <c r="MKU30" s="371"/>
      <c r="MKV30" s="371"/>
      <c r="MKW30" s="371"/>
      <c r="MKX30" s="371"/>
      <c r="MKY30" s="371"/>
      <c r="MKZ30" s="371"/>
      <c r="MLA30" s="371"/>
      <c r="MLB30" s="371"/>
      <c r="MLC30" s="371"/>
      <c r="MLD30" s="371"/>
      <c r="MLE30" s="371"/>
      <c r="MLF30" s="371"/>
      <c r="MLG30" s="371"/>
      <c r="MLH30" s="371"/>
      <c r="MLI30" s="371"/>
      <c r="MLJ30" s="371"/>
      <c r="MLK30" s="371"/>
      <c r="MLL30" s="371"/>
      <c r="MLM30" s="371"/>
      <c r="MLN30" s="371"/>
      <c r="MLO30" s="371"/>
      <c r="MLP30" s="371"/>
      <c r="MLQ30" s="371"/>
      <c r="MLR30" s="371"/>
      <c r="MLS30" s="371"/>
      <c r="MLT30" s="371"/>
      <c r="MLU30" s="382"/>
      <c r="MLY30" s="371"/>
      <c r="MLZ30" s="371"/>
      <c r="MMA30" s="371"/>
      <c r="MMB30" s="371"/>
      <c r="MMC30" s="371"/>
      <c r="MMD30" s="371"/>
      <c r="MME30" s="371"/>
      <c r="MMF30" s="371"/>
      <c r="MMG30" s="371"/>
      <c r="MMH30" s="371"/>
      <c r="MMI30" s="371"/>
      <c r="MMJ30" s="371"/>
      <c r="MMK30" s="371"/>
      <c r="MML30" s="371"/>
      <c r="MMM30" s="371"/>
      <c r="MMN30" s="371"/>
      <c r="MMO30" s="371"/>
      <c r="MMP30" s="371"/>
      <c r="MMQ30" s="371"/>
      <c r="MMR30" s="371"/>
      <c r="MMS30" s="371"/>
      <c r="MMT30" s="371"/>
      <c r="MMU30" s="371"/>
      <c r="MMV30" s="371"/>
      <c r="MMW30" s="371"/>
      <c r="MMX30" s="371"/>
      <c r="MMY30" s="382"/>
      <c r="MNC30" s="371"/>
      <c r="MND30" s="371"/>
      <c r="MNE30" s="371"/>
      <c r="MNF30" s="371"/>
      <c r="MNG30" s="371"/>
      <c r="MNH30" s="371"/>
      <c r="MNI30" s="371"/>
      <c r="MNJ30" s="371"/>
      <c r="MNK30" s="371"/>
      <c r="MNL30" s="371"/>
      <c r="MNM30" s="371"/>
      <c r="MNN30" s="371"/>
      <c r="MNO30" s="371"/>
      <c r="MNP30" s="371"/>
      <c r="MNQ30" s="371"/>
      <c r="MNR30" s="371"/>
      <c r="MNS30" s="371"/>
      <c r="MNT30" s="371"/>
      <c r="MNU30" s="371"/>
      <c r="MNV30" s="371"/>
      <c r="MNW30" s="371"/>
      <c r="MNX30" s="371"/>
      <c r="MNY30" s="371"/>
      <c r="MNZ30" s="371"/>
      <c r="MOA30" s="371"/>
      <c r="MOB30" s="371"/>
      <c r="MOC30" s="382"/>
      <c r="MOG30" s="371"/>
      <c r="MOH30" s="371"/>
      <c r="MOI30" s="371"/>
      <c r="MOJ30" s="371"/>
      <c r="MOK30" s="371"/>
      <c r="MOL30" s="371"/>
      <c r="MOM30" s="371"/>
      <c r="MON30" s="371"/>
      <c r="MOO30" s="371"/>
      <c r="MOP30" s="371"/>
      <c r="MOQ30" s="371"/>
      <c r="MOR30" s="371"/>
      <c r="MOS30" s="371"/>
      <c r="MOT30" s="371"/>
      <c r="MOU30" s="371"/>
      <c r="MOV30" s="371"/>
      <c r="MOW30" s="371"/>
      <c r="MOX30" s="371"/>
      <c r="MOY30" s="371"/>
      <c r="MOZ30" s="371"/>
      <c r="MPA30" s="371"/>
      <c r="MPB30" s="371"/>
      <c r="MPC30" s="371"/>
      <c r="MPD30" s="371"/>
      <c r="MPE30" s="371"/>
      <c r="MPF30" s="371"/>
      <c r="MPG30" s="382"/>
      <c r="MPK30" s="371"/>
      <c r="MPL30" s="371"/>
      <c r="MPM30" s="371"/>
      <c r="MPN30" s="371"/>
      <c r="MPO30" s="371"/>
      <c r="MPP30" s="371"/>
      <c r="MPQ30" s="371"/>
      <c r="MPR30" s="371"/>
      <c r="MPS30" s="371"/>
      <c r="MPT30" s="371"/>
      <c r="MPU30" s="371"/>
      <c r="MPV30" s="371"/>
      <c r="MPW30" s="371"/>
      <c r="MPX30" s="371"/>
      <c r="MPY30" s="371"/>
      <c r="MPZ30" s="371"/>
      <c r="MQA30" s="371"/>
      <c r="MQB30" s="371"/>
      <c r="MQC30" s="371"/>
      <c r="MQD30" s="371"/>
      <c r="MQE30" s="371"/>
      <c r="MQF30" s="371"/>
      <c r="MQG30" s="371"/>
      <c r="MQH30" s="371"/>
      <c r="MQI30" s="371"/>
      <c r="MQJ30" s="371"/>
      <c r="MQK30" s="382"/>
      <c r="MQO30" s="371"/>
      <c r="MQP30" s="371"/>
      <c r="MQQ30" s="371"/>
      <c r="MQR30" s="371"/>
      <c r="MQS30" s="371"/>
      <c r="MQT30" s="371"/>
      <c r="MQU30" s="371"/>
      <c r="MQV30" s="371"/>
      <c r="MQW30" s="371"/>
      <c r="MQX30" s="371"/>
      <c r="MQY30" s="371"/>
      <c r="MQZ30" s="371"/>
      <c r="MRA30" s="371"/>
      <c r="MRB30" s="371"/>
      <c r="MRC30" s="371"/>
      <c r="MRD30" s="371"/>
      <c r="MRE30" s="371"/>
      <c r="MRF30" s="371"/>
      <c r="MRG30" s="371"/>
      <c r="MRH30" s="371"/>
      <c r="MRI30" s="371"/>
      <c r="MRJ30" s="371"/>
      <c r="MRK30" s="371"/>
      <c r="MRL30" s="371"/>
      <c r="MRM30" s="371"/>
      <c r="MRN30" s="371"/>
      <c r="MRO30" s="382"/>
      <c r="MRS30" s="371"/>
      <c r="MRT30" s="371"/>
      <c r="MRU30" s="371"/>
      <c r="MRV30" s="371"/>
      <c r="MRW30" s="371"/>
      <c r="MRX30" s="371"/>
      <c r="MRY30" s="371"/>
      <c r="MRZ30" s="371"/>
      <c r="MSA30" s="371"/>
      <c r="MSB30" s="371"/>
      <c r="MSC30" s="371"/>
      <c r="MSD30" s="371"/>
      <c r="MSE30" s="371"/>
      <c r="MSF30" s="371"/>
      <c r="MSG30" s="371"/>
      <c r="MSH30" s="371"/>
      <c r="MSI30" s="371"/>
      <c r="MSJ30" s="371"/>
      <c r="MSK30" s="371"/>
      <c r="MSL30" s="371"/>
      <c r="MSM30" s="371"/>
      <c r="MSN30" s="371"/>
      <c r="MSO30" s="371"/>
      <c r="MSP30" s="371"/>
      <c r="MSQ30" s="371"/>
      <c r="MSR30" s="371"/>
      <c r="MSS30" s="382"/>
      <c r="MSW30" s="371"/>
      <c r="MSX30" s="371"/>
      <c r="MSY30" s="371"/>
      <c r="MSZ30" s="371"/>
      <c r="MTA30" s="371"/>
      <c r="MTB30" s="371"/>
      <c r="MTC30" s="371"/>
      <c r="MTD30" s="371"/>
      <c r="MTE30" s="371"/>
      <c r="MTF30" s="371"/>
      <c r="MTG30" s="371"/>
      <c r="MTH30" s="371"/>
      <c r="MTI30" s="371"/>
      <c r="MTJ30" s="371"/>
      <c r="MTK30" s="371"/>
      <c r="MTL30" s="371"/>
      <c r="MTM30" s="371"/>
      <c r="MTN30" s="371"/>
      <c r="MTO30" s="371"/>
      <c r="MTP30" s="371"/>
      <c r="MTQ30" s="371"/>
      <c r="MTR30" s="371"/>
      <c r="MTS30" s="371"/>
      <c r="MTT30" s="371"/>
      <c r="MTU30" s="371"/>
      <c r="MTV30" s="371"/>
      <c r="MTW30" s="382"/>
      <c r="MUA30" s="371"/>
      <c r="MUB30" s="371"/>
      <c r="MUC30" s="371"/>
      <c r="MUD30" s="371"/>
      <c r="MUE30" s="371"/>
      <c r="MUF30" s="371"/>
      <c r="MUG30" s="371"/>
      <c r="MUH30" s="371"/>
      <c r="MUI30" s="371"/>
      <c r="MUJ30" s="371"/>
      <c r="MUK30" s="371"/>
      <c r="MUL30" s="371"/>
      <c r="MUM30" s="371"/>
      <c r="MUN30" s="371"/>
      <c r="MUO30" s="371"/>
      <c r="MUP30" s="371"/>
      <c r="MUQ30" s="371"/>
      <c r="MUR30" s="371"/>
      <c r="MUS30" s="371"/>
      <c r="MUT30" s="371"/>
      <c r="MUU30" s="371"/>
      <c r="MUV30" s="371"/>
      <c r="MUW30" s="371"/>
      <c r="MUX30" s="371"/>
      <c r="MUY30" s="371"/>
      <c r="MUZ30" s="371"/>
      <c r="MVA30" s="382"/>
      <c r="MVE30" s="371"/>
      <c r="MVF30" s="371"/>
      <c r="MVG30" s="371"/>
      <c r="MVH30" s="371"/>
      <c r="MVI30" s="371"/>
      <c r="MVJ30" s="371"/>
      <c r="MVK30" s="371"/>
      <c r="MVL30" s="371"/>
      <c r="MVM30" s="371"/>
      <c r="MVN30" s="371"/>
      <c r="MVO30" s="371"/>
      <c r="MVP30" s="371"/>
      <c r="MVQ30" s="371"/>
      <c r="MVR30" s="371"/>
      <c r="MVS30" s="371"/>
      <c r="MVT30" s="371"/>
      <c r="MVU30" s="371"/>
      <c r="MVV30" s="371"/>
      <c r="MVW30" s="371"/>
      <c r="MVX30" s="371"/>
      <c r="MVY30" s="371"/>
      <c r="MVZ30" s="371"/>
      <c r="MWA30" s="371"/>
      <c r="MWB30" s="371"/>
      <c r="MWC30" s="371"/>
      <c r="MWD30" s="371"/>
      <c r="MWE30" s="382"/>
      <c r="MWI30" s="371"/>
      <c r="MWJ30" s="371"/>
      <c r="MWK30" s="371"/>
      <c r="MWL30" s="371"/>
      <c r="MWM30" s="371"/>
      <c r="MWN30" s="371"/>
      <c r="MWO30" s="371"/>
      <c r="MWP30" s="371"/>
      <c r="MWQ30" s="371"/>
      <c r="MWR30" s="371"/>
      <c r="MWS30" s="371"/>
      <c r="MWT30" s="371"/>
      <c r="MWU30" s="371"/>
      <c r="MWV30" s="371"/>
      <c r="MWW30" s="371"/>
      <c r="MWX30" s="371"/>
      <c r="MWY30" s="371"/>
      <c r="MWZ30" s="371"/>
      <c r="MXA30" s="371"/>
      <c r="MXB30" s="371"/>
      <c r="MXC30" s="371"/>
      <c r="MXD30" s="371"/>
      <c r="MXE30" s="371"/>
      <c r="MXF30" s="371"/>
      <c r="MXG30" s="371"/>
      <c r="MXH30" s="371"/>
      <c r="MXI30" s="382"/>
      <c r="MXM30" s="371"/>
      <c r="MXN30" s="371"/>
      <c r="MXO30" s="371"/>
      <c r="MXP30" s="371"/>
      <c r="MXQ30" s="371"/>
      <c r="MXR30" s="371"/>
      <c r="MXS30" s="371"/>
      <c r="MXT30" s="371"/>
      <c r="MXU30" s="371"/>
      <c r="MXV30" s="371"/>
      <c r="MXW30" s="371"/>
      <c r="MXX30" s="371"/>
      <c r="MXY30" s="371"/>
      <c r="MXZ30" s="371"/>
      <c r="MYA30" s="371"/>
      <c r="MYB30" s="371"/>
      <c r="MYC30" s="371"/>
      <c r="MYD30" s="371"/>
      <c r="MYE30" s="371"/>
      <c r="MYF30" s="371"/>
      <c r="MYG30" s="371"/>
      <c r="MYH30" s="371"/>
      <c r="MYI30" s="371"/>
      <c r="MYJ30" s="371"/>
      <c r="MYK30" s="371"/>
      <c r="MYL30" s="371"/>
      <c r="MYM30" s="382"/>
      <c r="MYQ30" s="371"/>
      <c r="MYR30" s="371"/>
      <c r="MYS30" s="371"/>
      <c r="MYT30" s="371"/>
      <c r="MYU30" s="371"/>
      <c r="MYV30" s="371"/>
      <c r="MYW30" s="371"/>
      <c r="MYX30" s="371"/>
      <c r="MYY30" s="371"/>
      <c r="MYZ30" s="371"/>
      <c r="MZA30" s="371"/>
      <c r="MZB30" s="371"/>
      <c r="MZC30" s="371"/>
      <c r="MZD30" s="371"/>
      <c r="MZE30" s="371"/>
      <c r="MZF30" s="371"/>
      <c r="MZG30" s="371"/>
      <c r="MZH30" s="371"/>
      <c r="MZI30" s="371"/>
      <c r="MZJ30" s="371"/>
      <c r="MZK30" s="371"/>
      <c r="MZL30" s="371"/>
      <c r="MZM30" s="371"/>
      <c r="MZN30" s="371"/>
      <c r="MZO30" s="371"/>
      <c r="MZP30" s="371"/>
      <c r="MZQ30" s="382"/>
      <c r="MZU30" s="371"/>
      <c r="MZV30" s="371"/>
      <c r="MZW30" s="371"/>
      <c r="MZX30" s="371"/>
      <c r="MZY30" s="371"/>
      <c r="MZZ30" s="371"/>
      <c r="NAA30" s="371"/>
      <c r="NAB30" s="371"/>
      <c r="NAC30" s="371"/>
      <c r="NAD30" s="371"/>
      <c r="NAE30" s="371"/>
      <c r="NAF30" s="371"/>
      <c r="NAG30" s="371"/>
      <c r="NAH30" s="371"/>
      <c r="NAI30" s="371"/>
      <c r="NAJ30" s="371"/>
      <c r="NAK30" s="371"/>
      <c r="NAL30" s="371"/>
      <c r="NAM30" s="371"/>
      <c r="NAN30" s="371"/>
      <c r="NAO30" s="371"/>
      <c r="NAP30" s="371"/>
      <c r="NAQ30" s="371"/>
      <c r="NAR30" s="371"/>
      <c r="NAS30" s="371"/>
      <c r="NAT30" s="371"/>
      <c r="NAU30" s="382"/>
      <c r="NAY30" s="371"/>
      <c r="NAZ30" s="371"/>
      <c r="NBA30" s="371"/>
      <c r="NBB30" s="371"/>
      <c r="NBC30" s="371"/>
      <c r="NBD30" s="371"/>
      <c r="NBE30" s="371"/>
      <c r="NBF30" s="371"/>
      <c r="NBG30" s="371"/>
      <c r="NBH30" s="371"/>
      <c r="NBI30" s="371"/>
      <c r="NBJ30" s="371"/>
      <c r="NBK30" s="371"/>
      <c r="NBL30" s="371"/>
      <c r="NBM30" s="371"/>
      <c r="NBN30" s="371"/>
      <c r="NBO30" s="371"/>
      <c r="NBP30" s="371"/>
      <c r="NBQ30" s="371"/>
      <c r="NBR30" s="371"/>
      <c r="NBS30" s="371"/>
      <c r="NBT30" s="371"/>
      <c r="NBU30" s="371"/>
      <c r="NBV30" s="371"/>
      <c r="NBW30" s="371"/>
      <c r="NBX30" s="371"/>
      <c r="NBY30" s="382"/>
      <c r="NCC30" s="371"/>
      <c r="NCD30" s="371"/>
      <c r="NCE30" s="371"/>
      <c r="NCF30" s="371"/>
      <c r="NCG30" s="371"/>
      <c r="NCH30" s="371"/>
      <c r="NCI30" s="371"/>
      <c r="NCJ30" s="371"/>
      <c r="NCK30" s="371"/>
      <c r="NCL30" s="371"/>
      <c r="NCM30" s="371"/>
      <c r="NCN30" s="371"/>
      <c r="NCO30" s="371"/>
      <c r="NCP30" s="371"/>
      <c r="NCQ30" s="371"/>
      <c r="NCR30" s="371"/>
      <c r="NCS30" s="371"/>
      <c r="NCT30" s="371"/>
      <c r="NCU30" s="371"/>
      <c r="NCV30" s="371"/>
      <c r="NCW30" s="371"/>
      <c r="NCX30" s="371"/>
      <c r="NCY30" s="371"/>
      <c r="NCZ30" s="371"/>
      <c r="NDA30" s="371"/>
      <c r="NDB30" s="371"/>
      <c r="NDC30" s="382"/>
      <c r="NDG30" s="371"/>
      <c r="NDH30" s="371"/>
      <c r="NDI30" s="371"/>
      <c r="NDJ30" s="371"/>
      <c r="NDK30" s="371"/>
      <c r="NDL30" s="371"/>
      <c r="NDM30" s="371"/>
      <c r="NDN30" s="371"/>
      <c r="NDO30" s="371"/>
      <c r="NDP30" s="371"/>
      <c r="NDQ30" s="371"/>
      <c r="NDR30" s="371"/>
      <c r="NDS30" s="371"/>
      <c r="NDT30" s="371"/>
      <c r="NDU30" s="371"/>
      <c r="NDV30" s="371"/>
      <c r="NDW30" s="371"/>
      <c r="NDX30" s="371"/>
      <c r="NDY30" s="371"/>
      <c r="NDZ30" s="371"/>
      <c r="NEA30" s="371"/>
      <c r="NEB30" s="371"/>
      <c r="NEC30" s="371"/>
      <c r="NED30" s="371"/>
      <c r="NEE30" s="371"/>
      <c r="NEF30" s="371"/>
      <c r="NEG30" s="382"/>
      <c r="NEK30" s="371"/>
      <c r="NEL30" s="371"/>
      <c r="NEM30" s="371"/>
      <c r="NEN30" s="371"/>
      <c r="NEO30" s="371"/>
      <c r="NEP30" s="371"/>
      <c r="NEQ30" s="371"/>
      <c r="NER30" s="371"/>
      <c r="NES30" s="371"/>
      <c r="NET30" s="371"/>
      <c r="NEU30" s="371"/>
      <c r="NEV30" s="371"/>
      <c r="NEW30" s="371"/>
      <c r="NEX30" s="371"/>
      <c r="NEY30" s="371"/>
      <c r="NEZ30" s="371"/>
      <c r="NFA30" s="371"/>
      <c r="NFB30" s="371"/>
      <c r="NFC30" s="371"/>
      <c r="NFD30" s="371"/>
      <c r="NFE30" s="371"/>
      <c r="NFF30" s="371"/>
      <c r="NFG30" s="371"/>
      <c r="NFH30" s="371"/>
      <c r="NFI30" s="371"/>
      <c r="NFJ30" s="371"/>
      <c r="NFK30" s="382"/>
      <c r="NFO30" s="371"/>
      <c r="NFP30" s="371"/>
      <c r="NFQ30" s="371"/>
      <c r="NFR30" s="371"/>
      <c r="NFS30" s="371"/>
      <c r="NFT30" s="371"/>
      <c r="NFU30" s="371"/>
      <c r="NFV30" s="371"/>
      <c r="NFW30" s="371"/>
      <c r="NFX30" s="371"/>
      <c r="NFY30" s="371"/>
      <c r="NFZ30" s="371"/>
      <c r="NGA30" s="371"/>
      <c r="NGB30" s="371"/>
      <c r="NGC30" s="371"/>
      <c r="NGD30" s="371"/>
      <c r="NGE30" s="371"/>
      <c r="NGF30" s="371"/>
      <c r="NGG30" s="371"/>
      <c r="NGH30" s="371"/>
      <c r="NGI30" s="371"/>
      <c r="NGJ30" s="371"/>
      <c r="NGK30" s="371"/>
      <c r="NGL30" s="371"/>
      <c r="NGM30" s="371"/>
      <c r="NGN30" s="371"/>
      <c r="NGO30" s="382"/>
      <c r="NGS30" s="371"/>
      <c r="NGT30" s="371"/>
      <c r="NGU30" s="371"/>
      <c r="NGV30" s="371"/>
      <c r="NGW30" s="371"/>
      <c r="NGX30" s="371"/>
      <c r="NGY30" s="371"/>
      <c r="NGZ30" s="371"/>
      <c r="NHA30" s="371"/>
      <c r="NHB30" s="371"/>
      <c r="NHC30" s="371"/>
      <c r="NHD30" s="371"/>
      <c r="NHE30" s="371"/>
      <c r="NHF30" s="371"/>
      <c r="NHG30" s="371"/>
      <c r="NHH30" s="371"/>
      <c r="NHI30" s="371"/>
      <c r="NHJ30" s="371"/>
      <c r="NHK30" s="371"/>
      <c r="NHL30" s="371"/>
      <c r="NHM30" s="371"/>
      <c r="NHN30" s="371"/>
      <c r="NHO30" s="371"/>
      <c r="NHP30" s="371"/>
      <c r="NHQ30" s="371"/>
      <c r="NHR30" s="371"/>
      <c r="NHS30" s="382"/>
      <c r="NHW30" s="371"/>
      <c r="NHX30" s="371"/>
      <c r="NHY30" s="371"/>
      <c r="NHZ30" s="371"/>
      <c r="NIA30" s="371"/>
      <c r="NIB30" s="371"/>
      <c r="NIC30" s="371"/>
      <c r="NID30" s="371"/>
      <c r="NIE30" s="371"/>
      <c r="NIF30" s="371"/>
      <c r="NIG30" s="371"/>
      <c r="NIH30" s="371"/>
      <c r="NII30" s="371"/>
      <c r="NIJ30" s="371"/>
      <c r="NIK30" s="371"/>
      <c r="NIL30" s="371"/>
      <c r="NIM30" s="371"/>
      <c r="NIN30" s="371"/>
      <c r="NIO30" s="371"/>
      <c r="NIP30" s="371"/>
      <c r="NIQ30" s="371"/>
      <c r="NIR30" s="371"/>
      <c r="NIS30" s="371"/>
      <c r="NIT30" s="371"/>
      <c r="NIU30" s="371"/>
      <c r="NIV30" s="371"/>
      <c r="NIW30" s="382"/>
      <c r="NJA30" s="371"/>
      <c r="NJB30" s="371"/>
      <c r="NJC30" s="371"/>
      <c r="NJD30" s="371"/>
      <c r="NJE30" s="371"/>
      <c r="NJF30" s="371"/>
      <c r="NJG30" s="371"/>
      <c r="NJH30" s="371"/>
      <c r="NJI30" s="371"/>
      <c r="NJJ30" s="371"/>
      <c r="NJK30" s="371"/>
      <c r="NJL30" s="371"/>
      <c r="NJM30" s="371"/>
      <c r="NJN30" s="371"/>
      <c r="NJO30" s="371"/>
      <c r="NJP30" s="371"/>
      <c r="NJQ30" s="371"/>
      <c r="NJR30" s="371"/>
      <c r="NJS30" s="371"/>
      <c r="NJT30" s="371"/>
      <c r="NJU30" s="371"/>
      <c r="NJV30" s="371"/>
      <c r="NJW30" s="371"/>
      <c r="NJX30" s="371"/>
      <c r="NJY30" s="371"/>
      <c r="NJZ30" s="371"/>
      <c r="NKA30" s="382"/>
      <c r="NKE30" s="371"/>
      <c r="NKF30" s="371"/>
      <c r="NKG30" s="371"/>
      <c r="NKH30" s="371"/>
      <c r="NKI30" s="371"/>
      <c r="NKJ30" s="371"/>
      <c r="NKK30" s="371"/>
      <c r="NKL30" s="371"/>
      <c r="NKM30" s="371"/>
      <c r="NKN30" s="371"/>
      <c r="NKO30" s="371"/>
      <c r="NKP30" s="371"/>
      <c r="NKQ30" s="371"/>
      <c r="NKR30" s="371"/>
      <c r="NKS30" s="371"/>
      <c r="NKT30" s="371"/>
      <c r="NKU30" s="371"/>
      <c r="NKV30" s="371"/>
      <c r="NKW30" s="371"/>
      <c r="NKX30" s="371"/>
      <c r="NKY30" s="371"/>
      <c r="NKZ30" s="371"/>
      <c r="NLA30" s="371"/>
      <c r="NLB30" s="371"/>
      <c r="NLC30" s="371"/>
      <c r="NLD30" s="371"/>
      <c r="NLE30" s="382"/>
      <c r="NLI30" s="371"/>
      <c r="NLJ30" s="371"/>
      <c r="NLK30" s="371"/>
      <c r="NLL30" s="371"/>
      <c r="NLM30" s="371"/>
      <c r="NLN30" s="371"/>
      <c r="NLO30" s="371"/>
      <c r="NLP30" s="371"/>
      <c r="NLQ30" s="371"/>
      <c r="NLR30" s="371"/>
      <c r="NLS30" s="371"/>
      <c r="NLT30" s="371"/>
      <c r="NLU30" s="371"/>
      <c r="NLV30" s="371"/>
      <c r="NLW30" s="371"/>
      <c r="NLX30" s="371"/>
      <c r="NLY30" s="371"/>
      <c r="NLZ30" s="371"/>
      <c r="NMA30" s="371"/>
      <c r="NMB30" s="371"/>
      <c r="NMC30" s="371"/>
      <c r="NMD30" s="371"/>
      <c r="NME30" s="371"/>
      <c r="NMF30" s="371"/>
      <c r="NMG30" s="371"/>
      <c r="NMH30" s="371"/>
      <c r="NMI30" s="382"/>
      <c r="NMM30" s="371"/>
      <c r="NMN30" s="371"/>
      <c r="NMO30" s="371"/>
      <c r="NMP30" s="371"/>
      <c r="NMQ30" s="371"/>
      <c r="NMR30" s="371"/>
      <c r="NMS30" s="371"/>
      <c r="NMT30" s="371"/>
      <c r="NMU30" s="371"/>
      <c r="NMV30" s="371"/>
      <c r="NMW30" s="371"/>
      <c r="NMX30" s="371"/>
      <c r="NMY30" s="371"/>
      <c r="NMZ30" s="371"/>
      <c r="NNA30" s="371"/>
      <c r="NNB30" s="371"/>
      <c r="NNC30" s="371"/>
      <c r="NND30" s="371"/>
      <c r="NNE30" s="371"/>
      <c r="NNF30" s="371"/>
      <c r="NNG30" s="371"/>
      <c r="NNH30" s="371"/>
      <c r="NNI30" s="371"/>
      <c r="NNJ30" s="371"/>
      <c r="NNK30" s="371"/>
      <c r="NNL30" s="371"/>
      <c r="NNM30" s="382"/>
      <c r="NNQ30" s="371"/>
      <c r="NNR30" s="371"/>
      <c r="NNS30" s="371"/>
      <c r="NNT30" s="371"/>
      <c r="NNU30" s="371"/>
      <c r="NNV30" s="371"/>
      <c r="NNW30" s="371"/>
      <c r="NNX30" s="371"/>
      <c r="NNY30" s="371"/>
      <c r="NNZ30" s="371"/>
      <c r="NOA30" s="371"/>
      <c r="NOB30" s="371"/>
      <c r="NOC30" s="371"/>
      <c r="NOD30" s="371"/>
      <c r="NOE30" s="371"/>
      <c r="NOF30" s="371"/>
      <c r="NOG30" s="371"/>
      <c r="NOH30" s="371"/>
      <c r="NOI30" s="371"/>
      <c r="NOJ30" s="371"/>
      <c r="NOK30" s="371"/>
      <c r="NOL30" s="371"/>
      <c r="NOM30" s="371"/>
      <c r="NON30" s="371"/>
      <c r="NOO30" s="371"/>
      <c r="NOP30" s="371"/>
      <c r="NOQ30" s="382"/>
      <c r="NOU30" s="371"/>
      <c r="NOV30" s="371"/>
      <c r="NOW30" s="371"/>
      <c r="NOX30" s="371"/>
      <c r="NOY30" s="371"/>
      <c r="NOZ30" s="371"/>
      <c r="NPA30" s="371"/>
      <c r="NPB30" s="371"/>
      <c r="NPC30" s="371"/>
      <c r="NPD30" s="371"/>
      <c r="NPE30" s="371"/>
      <c r="NPF30" s="371"/>
      <c r="NPG30" s="371"/>
      <c r="NPH30" s="371"/>
      <c r="NPI30" s="371"/>
      <c r="NPJ30" s="371"/>
      <c r="NPK30" s="371"/>
      <c r="NPL30" s="371"/>
      <c r="NPM30" s="371"/>
      <c r="NPN30" s="371"/>
      <c r="NPO30" s="371"/>
      <c r="NPP30" s="371"/>
      <c r="NPQ30" s="371"/>
      <c r="NPR30" s="371"/>
      <c r="NPS30" s="371"/>
      <c r="NPT30" s="371"/>
      <c r="NPU30" s="382"/>
      <c r="NPY30" s="371"/>
      <c r="NPZ30" s="371"/>
      <c r="NQA30" s="371"/>
      <c r="NQB30" s="371"/>
      <c r="NQC30" s="371"/>
      <c r="NQD30" s="371"/>
      <c r="NQE30" s="371"/>
      <c r="NQF30" s="371"/>
      <c r="NQG30" s="371"/>
      <c r="NQH30" s="371"/>
      <c r="NQI30" s="371"/>
      <c r="NQJ30" s="371"/>
      <c r="NQK30" s="371"/>
      <c r="NQL30" s="371"/>
      <c r="NQM30" s="371"/>
      <c r="NQN30" s="371"/>
      <c r="NQO30" s="371"/>
      <c r="NQP30" s="371"/>
      <c r="NQQ30" s="371"/>
      <c r="NQR30" s="371"/>
      <c r="NQS30" s="371"/>
      <c r="NQT30" s="371"/>
      <c r="NQU30" s="371"/>
      <c r="NQV30" s="371"/>
      <c r="NQW30" s="371"/>
      <c r="NQX30" s="371"/>
      <c r="NQY30" s="382"/>
      <c r="NRC30" s="371"/>
      <c r="NRD30" s="371"/>
      <c r="NRE30" s="371"/>
      <c r="NRF30" s="371"/>
      <c r="NRG30" s="371"/>
      <c r="NRH30" s="371"/>
      <c r="NRI30" s="371"/>
      <c r="NRJ30" s="371"/>
      <c r="NRK30" s="371"/>
      <c r="NRL30" s="371"/>
      <c r="NRM30" s="371"/>
      <c r="NRN30" s="371"/>
      <c r="NRO30" s="371"/>
      <c r="NRP30" s="371"/>
      <c r="NRQ30" s="371"/>
      <c r="NRR30" s="371"/>
      <c r="NRS30" s="371"/>
      <c r="NRT30" s="371"/>
      <c r="NRU30" s="371"/>
      <c r="NRV30" s="371"/>
      <c r="NRW30" s="371"/>
      <c r="NRX30" s="371"/>
      <c r="NRY30" s="371"/>
      <c r="NRZ30" s="371"/>
      <c r="NSA30" s="371"/>
      <c r="NSB30" s="371"/>
      <c r="NSC30" s="382"/>
      <c r="NSG30" s="371"/>
      <c r="NSH30" s="371"/>
      <c r="NSI30" s="371"/>
      <c r="NSJ30" s="371"/>
      <c r="NSK30" s="371"/>
      <c r="NSL30" s="371"/>
      <c r="NSM30" s="371"/>
      <c r="NSN30" s="371"/>
      <c r="NSO30" s="371"/>
      <c r="NSP30" s="371"/>
      <c r="NSQ30" s="371"/>
      <c r="NSR30" s="371"/>
      <c r="NSS30" s="371"/>
      <c r="NST30" s="371"/>
      <c r="NSU30" s="371"/>
      <c r="NSV30" s="371"/>
      <c r="NSW30" s="371"/>
      <c r="NSX30" s="371"/>
      <c r="NSY30" s="371"/>
      <c r="NSZ30" s="371"/>
      <c r="NTA30" s="371"/>
      <c r="NTB30" s="371"/>
      <c r="NTC30" s="371"/>
      <c r="NTD30" s="371"/>
      <c r="NTE30" s="371"/>
      <c r="NTF30" s="371"/>
      <c r="NTG30" s="382"/>
      <c r="NTK30" s="371"/>
      <c r="NTL30" s="371"/>
      <c r="NTM30" s="371"/>
      <c r="NTN30" s="371"/>
      <c r="NTO30" s="371"/>
      <c r="NTP30" s="371"/>
      <c r="NTQ30" s="371"/>
      <c r="NTR30" s="371"/>
      <c r="NTS30" s="371"/>
      <c r="NTT30" s="371"/>
      <c r="NTU30" s="371"/>
      <c r="NTV30" s="371"/>
      <c r="NTW30" s="371"/>
      <c r="NTX30" s="371"/>
      <c r="NTY30" s="371"/>
      <c r="NTZ30" s="371"/>
      <c r="NUA30" s="371"/>
      <c r="NUB30" s="371"/>
      <c r="NUC30" s="371"/>
      <c r="NUD30" s="371"/>
      <c r="NUE30" s="371"/>
      <c r="NUF30" s="371"/>
      <c r="NUG30" s="371"/>
      <c r="NUH30" s="371"/>
      <c r="NUI30" s="371"/>
      <c r="NUJ30" s="371"/>
      <c r="NUK30" s="382"/>
      <c r="NUO30" s="371"/>
      <c r="NUP30" s="371"/>
      <c r="NUQ30" s="371"/>
      <c r="NUR30" s="371"/>
      <c r="NUS30" s="371"/>
      <c r="NUT30" s="371"/>
      <c r="NUU30" s="371"/>
      <c r="NUV30" s="371"/>
      <c r="NUW30" s="371"/>
      <c r="NUX30" s="371"/>
      <c r="NUY30" s="371"/>
      <c r="NUZ30" s="371"/>
      <c r="NVA30" s="371"/>
      <c r="NVB30" s="371"/>
      <c r="NVC30" s="371"/>
      <c r="NVD30" s="371"/>
      <c r="NVE30" s="371"/>
      <c r="NVF30" s="371"/>
      <c r="NVG30" s="371"/>
      <c r="NVH30" s="371"/>
      <c r="NVI30" s="371"/>
      <c r="NVJ30" s="371"/>
      <c r="NVK30" s="371"/>
      <c r="NVL30" s="371"/>
      <c r="NVM30" s="371"/>
      <c r="NVN30" s="371"/>
      <c r="NVO30" s="382"/>
      <c r="NVS30" s="371"/>
      <c r="NVT30" s="371"/>
      <c r="NVU30" s="371"/>
      <c r="NVV30" s="371"/>
      <c r="NVW30" s="371"/>
      <c r="NVX30" s="371"/>
      <c r="NVY30" s="371"/>
      <c r="NVZ30" s="371"/>
      <c r="NWA30" s="371"/>
      <c r="NWB30" s="371"/>
      <c r="NWC30" s="371"/>
      <c r="NWD30" s="371"/>
      <c r="NWE30" s="371"/>
      <c r="NWF30" s="371"/>
      <c r="NWG30" s="371"/>
      <c r="NWH30" s="371"/>
      <c r="NWI30" s="371"/>
      <c r="NWJ30" s="371"/>
      <c r="NWK30" s="371"/>
      <c r="NWL30" s="371"/>
      <c r="NWM30" s="371"/>
      <c r="NWN30" s="371"/>
      <c r="NWO30" s="371"/>
      <c r="NWP30" s="371"/>
      <c r="NWQ30" s="371"/>
      <c r="NWR30" s="371"/>
      <c r="NWS30" s="382"/>
      <c r="NWW30" s="371"/>
      <c r="NWX30" s="371"/>
      <c r="NWY30" s="371"/>
      <c r="NWZ30" s="371"/>
      <c r="NXA30" s="371"/>
      <c r="NXB30" s="371"/>
      <c r="NXC30" s="371"/>
      <c r="NXD30" s="371"/>
      <c r="NXE30" s="371"/>
      <c r="NXF30" s="371"/>
      <c r="NXG30" s="371"/>
      <c r="NXH30" s="371"/>
      <c r="NXI30" s="371"/>
      <c r="NXJ30" s="371"/>
      <c r="NXK30" s="371"/>
      <c r="NXL30" s="371"/>
      <c r="NXM30" s="371"/>
      <c r="NXN30" s="371"/>
      <c r="NXO30" s="371"/>
      <c r="NXP30" s="371"/>
      <c r="NXQ30" s="371"/>
      <c r="NXR30" s="371"/>
      <c r="NXS30" s="371"/>
      <c r="NXT30" s="371"/>
      <c r="NXU30" s="371"/>
      <c r="NXV30" s="371"/>
      <c r="NXW30" s="382"/>
      <c r="NYA30" s="371"/>
      <c r="NYB30" s="371"/>
      <c r="NYC30" s="371"/>
      <c r="NYD30" s="371"/>
      <c r="NYE30" s="371"/>
      <c r="NYF30" s="371"/>
      <c r="NYG30" s="371"/>
      <c r="NYH30" s="371"/>
      <c r="NYI30" s="371"/>
      <c r="NYJ30" s="371"/>
      <c r="NYK30" s="371"/>
      <c r="NYL30" s="371"/>
      <c r="NYM30" s="371"/>
      <c r="NYN30" s="371"/>
      <c r="NYO30" s="371"/>
      <c r="NYP30" s="371"/>
      <c r="NYQ30" s="371"/>
      <c r="NYR30" s="371"/>
      <c r="NYS30" s="371"/>
      <c r="NYT30" s="371"/>
      <c r="NYU30" s="371"/>
      <c r="NYV30" s="371"/>
      <c r="NYW30" s="371"/>
      <c r="NYX30" s="371"/>
      <c r="NYY30" s="371"/>
      <c r="NYZ30" s="371"/>
      <c r="NZA30" s="382"/>
      <c r="NZE30" s="371"/>
      <c r="NZF30" s="371"/>
      <c r="NZG30" s="371"/>
      <c r="NZH30" s="371"/>
      <c r="NZI30" s="371"/>
      <c r="NZJ30" s="371"/>
      <c r="NZK30" s="371"/>
      <c r="NZL30" s="371"/>
      <c r="NZM30" s="371"/>
      <c r="NZN30" s="371"/>
      <c r="NZO30" s="371"/>
      <c r="NZP30" s="371"/>
      <c r="NZQ30" s="371"/>
      <c r="NZR30" s="371"/>
      <c r="NZS30" s="371"/>
      <c r="NZT30" s="371"/>
      <c r="NZU30" s="371"/>
      <c r="NZV30" s="371"/>
      <c r="NZW30" s="371"/>
      <c r="NZX30" s="371"/>
      <c r="NZY30" s="371"/>
      <c r="NZZ30" s="371"/>
      <c r="OAA30" s="371"/>
      <c r="OAB30" s="371"/>
      <c r="OAC30" s="371"/>
      <c r="OAD30" s="371"/>
      <c r="OAE30" s="382"/>
      <c r="OAI30" s="371"/>
      <c r="OAJ30" s="371"/>
      <c r="OAK30" s="371"/>
      <c r="OAL30" s="371"/>
      <c r="OAM30" s="371"/>
      <c r="OAN30" s="371"/>
      <c r="OAO30" s="371"/>
      <c r="OAP30" s="371"/>
      <c r="OAQ30" s="371"/>
      <c r="OAR30" s="371"/>
      <c r="OAS30" s="371"/>
      <c r="OAT30" s="371"/>
      <c r="OAU30" s="371"/>
      <c r="OAV30" s="371"/>
      <c r="OAW30" s="371"/>
      <c r="OAX30" s="371"/>
      <c r="OAY30" s="371"/>
      <c r="OAZ30" s="371"/>
      <c r="OBA30" s="371"/>
      <c r="OBB30" s="371"/>
      <c r="OBC30" s="371"/>
      <c r="OBD30" s="371"/>
      <c r="OBE30" s="371"/>
      <c r="OBF30" s="371"/>
      <c r="OBG30" s="371"/>
      <c r="OBH30" s="371"/>
      <c r="OBI30" s="382"/>
      <c r="OBM30" s="371"/>
      <c r="OBN30" s="371"/>
      <c r="OBO30" s="371"/>
      <c r="OBP30" s="371"/>
      <c r="OBQ30" s="371"/>
      <c r="OBR30" s="371"/>
      <c r="OBS30" s="371"/>
      <c r="OBT30" s="371"/>
      <c r="OBU30" s="371"/>
      <c r="OBV30" s="371"/>
      <c r="OBW30" s="371"/>
      <c r="OBX30" s="371"/>
      <c r="OBY30" s="371"/>
      <c r="OBZ30" s="371"/>
      <c r="OCA30" s="371"/>
      <c r="OCB30" s="371"/>
      <c r="OCC30" s="371"/>
      <c r="OCD30" s="371"/>
      <c r="OCE30" s="371"/>
      <c r="OCF30" s="371"/>
      <c r="OCG30" s="371"/>
      <c r="OCH30" s="371"/>
      <c r="OCI30" s="371"/>
      <c r="OCJ30" s="371"/>
      <c r="OCK30" s="371"/>
      <c r="OCL30" s="371"/>
      <c r="OCM30" s="382"/>
      <c r="OCQ30" s="371"/>
      <c r="OCR30" s="371"/>
      <c r="OCS30" s="371"/>
      <c r="OCT30" s="371"/>
      <c r="OCU30" s="371"/>
      <c r="OCV30" s="371"/>
      <c r="OCW30" s="371"/>
      <c r="OCX30" s="371"/>
      <c r="OCY30" s="371"/>
      <c r="OCZ30" s="371"/>
      <c r="ODA30" s="371"/>
      <c r="ODB30" s="371"/>
      <c r="ODC30" s="371"/>
      <c r="ODD30" s="371"/>
      <c r="ODE30" s="371"/>
      <c r="ODF30" s="371"/>
      <c r="ODG30" s="371"/>
      <c r="ODH30" s="371"/>
      <c r="ODI30" s="371"/>
      <c r="ODJ30" s="371"/>
      <c r="ODK30" s="371"/>
      <c r="ODL30" s="371"/>
      <c r="ODM30" s="371"/>
      <c r="ODN30" s="371"/>
      <c r="ODO30" s="371"/>
      <c r="ODP30" s="371"/>
      <c r="ODQ30" s="382"/>
      <c r="ODU30" s="371"/>
      <c r="ODV30" s="371"/>
      <c r="ODW30" s="371"/>
      <c r="ODX30" s="371"/>
      <c r="ODY30" s="371"/>
      <c r="ODZ30" s="371"/>
      <c r="OEA30" s="371"/>
      <c r="OEB30" s="371"/>
      <c r="OEC30" s="371"/>
      <c r="OED30" s="371"/>
      <c r="OEE30" s="371"/>
      <c r="OEF30" s="371"/>
      <c r="OEG30" s="371"/>
      <c r="OEH30" s="371"/>
      <c r="OEI30" s="371"/>
      <c r="OEJ30" s="371"/>
      <c r="OEK30" s="371"/>
      <c r="OEL30" s="371"/>
      <c r="OEM30" s="371"/>
      <c r="OEN30" s="371"/>
      <c r="OEO30" s="371"/>
      <c r="OEP30" s="371"/>
      <c r="OEQ30" s="371"/>
      <c r="OER30" s="371"/>
      <c r="OES30" s="371"/>
      <c r="OET30" s="371"/>
      <c r="OEU30" s="382"/>
      <c r="OEY30" s="371"/>
      <c r="OEZ30" s="371"/>
      <c r="OFA30" s="371"/>
      <c r="OFB30" s="371"/>
      <c r="OFC30" s="371"/>
      <c r="OFD30" s="371"/>
      <c r="OFE30" s="371"/>
      <c r="OFF30" s="371"/>
      <c r="OFG30" s="371"/>
      <c r="OFH30" s="371"/>
      <c r="OFI30" s="371"/>
      <c r="OFJ30" s="371"/>
      <c r="OFK30" s="371"/>
      <c r="OFL30" s="371"/>
      <c r="OFM30" s="371"/>
      <c r="OFN30" s="371"/>
      <c r="OFO30" s="371"/>
      <c r="OFP30" s="371"/>
      <c r="OFQ30" s="371"/>
      <c r="OFR30" s="371"/>
      <c r="OFS30" s="371"/>
      <c r="OFT30" s="371"/>
      <c r="OFU30" s="371"/>
      <c r="OFV30" s="371"/>
      <c r="OFW30" s="371"/>
      <c r="OFX30" s="371"/>
      <c r="OFY30" s="382"/>
      <c r="OGC30" s="371"/>
      <c r="OGD30" s="371"/>
      <c r="OGE30" s="371"/>
      <c r="OGF30" s="371"/>
      <c r="OGG30" s="371"/>
      <c r="OGH30" s="371"/>
      <c r="OGI30" s="371"/>
      <c r="OGJ30" s="371"/>
      <c r="OGK30" s="371"/>
      <c r="OGL30" s="371"/>
      <c r="OGM30" s="371"/>
      <c r="OGN30" s="371"/>
      <c r="OGO30" s="371"/>
      <c r="OGP30" s="371"/>
      <c r="OGQ30" s="371"/>
      <c r="OGR30" s="371"/>
      <c r="OGS30" s="371"/>
      <c r="OGT30" s="371"/>
      <c r="OGU30" s="371"/>
      <c r="OGV30" s="371"/>
      <c r="OGW30" s="371"/>
      <c r="OGX30" s="371"/>
      <c r="OGY30" s="371"/>
      <c r="OGZ30" s="371"/>
      <c r="OHA30" s="371"/>
      <c r="OHB30" s="371"/>
      <c r="OHC30" s="382"/>
      <c r="OHG30" s="371"/>
      <c r="OHH30" s="371"/>
      <c r="OHI30" s="371"/>
      <c r="OHJ30" s="371"/>
      <c r="OHK30" s="371"/>
      <c r="OHL30" s="371"/>
      <c r="OHM30" s="371"/>
      <c r="OHN30" s="371"/>
      <c r="OHO30" s="371"/>
      <c r="OHP30" s="371"/>
      <c r="OHQ30" s="371"/>
      <c r="OHR30" s="371"/>
      <c r="OHS30" s="371"/>
      <c r="OHT30" s="371"/>
      <c r="OHU30" s="371"/>
      <c r="OHV30" s="371"/>
      <c r="OHW30" s="371"/>
      <c r="OHX30" s="371"/>
      <c r="OHY30" s="371"/>
      <c r="OHZ30" s="371"/>
      <c r="OIA30" s="371"/>
      <c r="OIB30" s="371"/>
      <c r="OIC30" s="371"/>
      <c r="OID30" s="371"/>
      <c r="OIE30" s="371"/>
      <c r="OIF30" s="371"/>
      <c r="OIG30" s="382"/>
      <c r="OIK30" s="371"/>
      <c r="OIL30" s="371"/>
      <c r="OIM30" s="371"/>
      <c r="OIN30" s="371"/>
      <c r="OIO30" s="371"/>
      <c r="OIP30" s="371"/>
      <c r="OIQ30" s="371"/>
      <c r="OIR30" s="371"/>
      <c r="OIS30" s="371"/>
      <c r="OIT30" s="371"/>
      <c r="OIU30" s="371"/>
      <c r="OIV30" s="371"/>
      <c r="OIW30" s="371"/>
      <c r="OIX30" s="371"/>
      <c r="OIY30" s="371"/>
      <c r="OIZ30" s="371"/>
      <c r="OJA30" s="371"/>
      <c r="OJB30" s="371"/>
      <c r="OJC30" s="371"/>
      <c r="OJD30" s="371"/>
      <c r="OJE30" s="371"/>
      <c r="OJF30" s="371"/>
      <c r="OJG30" s="371"/>
      <c r="OJH30" s="371"/>
      <c r="OJI30" s="371"/>
      <c r="OJJ30" s="371"/>
      <c r="OJK30" s="382"/>
      <c r="OJO30" s="371"/>
      <c r="OJP30" s="371"/>
      <c r="OJQ30" s="371"/>
      <c r="OJR30" s="371"/>
      <c r="OJS30" s="371"/>
      <c r="OJT30" s="371"/>
      <c r="OJU30" s="371"/>
      <c r="OJV30" s="371"/>
      <c r="OJW30" s="371"/>
      <c r="OJX30" s="371"/>
      <c r="OJY30" s="371"/>
      <c r="OJZ30" s="371"/>
      <c r="OKA30" s="371"/>
      <c r="OKB30" s="371"/>
      <c r="OKC30" s="371"/>
      <c r="OKD30" s="371"/>
      <c r="OKE30" s="371"/>
      <c r="OKF30" s="371"/>
      <c r="OKG30" s="371"/>
      <c r="OKH30" s="371"/>
      <c r="OKI30" s="371"/>
      <c r="OKJ30" s="371"/>
      <c r="OKK30" s="371"/>
      <c r="OKL30" s="371"/>
      <c r="OKM30" s="371"/>
      <c r="OKN30" s="371"/>
      <c r="OKO30" s="382"/>
      <c r="OKS30" s="371"/>
      <c r="OKT30" s="371"/>
      <c r="OKU30" s="371"/>
      <c r="OKV30" s="371"/>
      <c r="OKW30" s="371"/>
      <c r="OKX30" s="371"/>
      <c r="OKY30" s="371"/>
      <c r="OKZ30" s="371"/>
      <c r="OLA30" s="371"/>
      <c r="OLB30" s="371"/>
      <c r="OLC30" s="371"/>
      <c r="OLD30" s="371"/>
      <c r="OLE30" s="371"/>
      <c r="OLF30" s="371"/>
      <c r="OLG30" s="371"/>
      <c r="OLH30" s="371"/>
      <c r="OLI30" s="371"/>
      <c r="OLJ30" s="371"/>
      <c r="OLK30" s="371"/>
      <c r="OLL30" s="371"/>
      <c r="OLM30" s="371"/>
      <c r="OLN30" s="371"/>
      <c r="OLO30" s="371"/>
      <c r="OLP30" s="371"/>
      <c r="OLQ30" s="371"/>
      <c r="OLR30" s="371"/>
      <c r="OLS30" s="382"/>
      <c r="OLW30" s="371"/>
      <c r="OLX30" s="371"/>
      <c r="OLY30" s="371"/>
      <c r="OLZ30" s="371"/>
      <c r="OMA30" s="371"/>
      <c r="OMB30" s="371"/>
      <c r="OMC30" s="371"/>
      <c r="OMD30" s="371"/>
      <c r="OME30" s="371"/>
      <c r="OMF30" s="371"/>
      <c r="OMG30" s="371"/>
      <c r="OMH30" s="371"/>
      <c r="OMI30" s="371"/>
      <c r="OMJ30" s="371"/>
      <c r="OMK30" s="371"/>
      <c r="OML30" s="371"/>
      <c r="OMM30" s="371"/>
      <c r="OMN30" s="371"/>
      <c r="OMO30" s="371"/>
      <c r="OMP30" s="371"/>
      <c r="OMQ30" s="371"/>
      <c r="OMR30" s="371"/>
      <c r="OMS30" s="371"/>
      <c r="OMT30" s="371"/>
      <c r="OMU30" s="371"/>
      <c r="OMV30" s="371"/>
      <c r="OMW30" s="382"/>
      <c r="ONA30" s="371"/>
      <c r="ONB30" s="371"/>
      <c r="ONC30" s="371"/>
      <c r="OND30" s="371"/>
      <c r="ONE30" s="371"/>
      <c r="ONF30" s="371"/>
      <c r="ONG30" s="371"/>
      <c r="ONH30" s="371"/>
      <c r="ONI30" s="371"/>
      <c r="ONJ30" s="371"/>
      <c r="ONK30" s="371"/>
      <c r="ONL30" s="371"/>
      <c r="ONM30" s="371"/>
      <c r="ONN30" s="371"/>
      <c r="ONO30" s="371"/>
      <c r="ONP30" s="371"/>
      <c r="ONQ30" s="371"/>
      <c r="ONR30" s="371"/>
      <c r="ONS30" s="371"/>
      <c r="ONT30" s="371"/>
      <c r="ONU30" s="371"/>
      <c r="ONV30" s="371"/>
      <c r="ONW30" s="371"/>
      <c r="ONX30" s="371"/>
      <c r="ONY30" s="371"/>
      <c r="ONZ30" s="371"/>
      <c r="OOA30" s="382"/>
      <c r="OOE30" s="371"/>
      <c r="OOF30" s="371"/>
      <c r="OOG30" s="371"/>
      <c r="OOH30" s="371"/>
      <c r="OOI30" s="371"/>
      <c r="OOJ30" s="371"/>
      <c r="OOK30" s="371"/>
      <c r="OOL30" s="371"/>
      <c r="OOM30" s="371"/>
      <c r="OON30" s="371"/>
      <c r="OOO30" s="371"/>
      <c r="OOP30" s="371"/>
      <c r="OOQ30" s="371"/>
      <c r="OOR30" s="371"/>
      <c r="OOS30" s="371"/>
      <c r="OOT30" s="371"/>
      <c r="OOU30" s="371"/>
      <c r="OOV30" s="371"/>
      <c r="OOW30" s="371"/>
      <c r="OOX30" s="371"/>
      <c r="OOY30" s="371"/>
      <c r="OOZ30" s="371"/>
      <c r="OPA30" s="371"/>
      <c r="OPB30" s="371"/>
      <c r="OPC30" s="371"/>
      <c r="OPD30" s="371"/>
      <c r="OPE30" s="382"/>
      <c r="OPI30" s="371"/>
      <c r="OPJ30" s="371"/>
      <c r="OPK30" s="371"/>
      <c r="OPL30" s="371"/>
      <c r="OPM30" s="371"/>
      <c r="OPN30" s="371"/>
      <c r="OPO30" s="371"/>
      <c r="OPP30" s="371"/>
      <c r="OPQ30" s="371"/>
      <c r="OPR30" s="371"/>
      <c r="OPS30" s="371"/>
      <c r="OPT30" s="371"/>
      <c r="OPU30" s="371"/>
      <c r="OPV30" s="371"/>
      <c r="OPW30" s="371"/>
      <c r="OPX30" s="371"/>
      <c r="OPY30" s="371"/>
      <c r="OPZ30" s="371"/>
      <c r="OQA30" s="371"/>
      <c r="OQB30" s="371"/>
      <c r="OQC30" s="371"/>
      <c r="OQD30" s="371"/>
      <c r="OQE30" s="371"/>
      <c r="OQF30" s="371"/>
      <c r="OQG30" s="371"/>
      <c r="OQH30" s="371"/>
      <c r="OQI30" s="382"/>
      <c r="OQM30" s="371"/>
      <c r="OQN30" s="371"/>
      <c r="OQO30" s="371"/>
      <c r="OQP30" s="371"/>
      <c r="OQQ30" s="371"/>
      <c r="OQR30" s="371"/>
      <c r="OQS30" s="371"/>
      <c r="OQT30" s="371"/>
      <c r="OQU30" s="371"/>
      <c r="OQV30" s="371"/>
      <c r="OQW30" s="371"/>
      <c r="OQX30" s="371"/>
      <c r="OQY30" s="371"/>
      <c r="OQZ30" s="371"/>
      <c r="ORA30" s="371"/>
      <c r="ORB30" s="371"/>
      <c r="ORC30" s="371"/>
      <c r="ORD30" s="371"/>
      <c r="ORE30" s="371"/>
      <c r="ORF30" s="371"/>
      <c r="ORG30" s="371"/>
      <c r="ORH30" s="371"/>
      <c r="ORI30" s="371"/>
      <c r="ORJ30" s="371"/>
      <c r="ORK30" s="371"/>
      <c r="ORL30" s="371"/>
      <c r="ORM30" s="382"/>
      <c r="ORQ30" s="371"/>
      <c r="ORR30" s="371"/>
      <c r="ORS30" s="371"/>
      <c r="ORT30" s="371"/>
      <c r="ORU30" s="371"/>
      <c r="ORV30" s="371"/>
      <c r="ORW30" s="371"/>
      <c r="ORX30" s="371"/>
      <c r="ORY30" s="371"/>
      <c r="ORZ30" s="371"/>
      <c r="OSA30" s="371"/>
      <c r="OSB30" s="371"/>
      <c r="OSC30" s="371"/>
      <c r="OSD30" s="371"/>
      <c r="OSE30" s="371"/>
      <c r="OSF30" s="371"/>
      <c r="OSG30" s="371"/>
      <c r="OSH30" s="371"/>
      <c r="OSI30" s="371"/>
      <c r="OSJ30" s="371"/>
      <c r="OSK30" s="371"/>
      <c r="OSL30" s="371"/>
      <c r="OSM30" s="371"/>
      <c r="OSN30" s="371"/>
      <c r="OSO30" s="371"/>
      <c r="OSP30" s="371"/>
      <c r="OSQ30" s="382"/>
      <c r="OSU30" s="371"/>
      <c r="OSV30" s="371"/>
      <c r="OSW30" s="371"/>
      <c r="OSX30" s="371"/>
      <c r="OSY30" s="371"/>
      <c r="OSZ30" s="371"/>
      <c r="OTA30" s="371"/>
      <c r="OTB30" s="371"/>
      <c r="OTC30" s="371"/>
      <c r="OTD30" s="371"/>
      <c r="OTE30" s="371"/>
      <c r="OTF30" s="371"/>
      <c r="OTG30" s="371"/>
      <c r="OTH30" s="371"/>
      <c r="OTI30" s="371"/>
      <c r="OTJ30" s="371"/>
      <c r="OTK30" s="371"/>
      <c r="OTL30" s="371"/>
      <c r="OTM30" s="371"/>
      <c r="OTN30" s="371"/>
      <c r="OTO30" s="371"/>
      <c r="OTP30" s="371"/>
      <c r="OTQ30" s="371"/>
      <c r="OTR30" s="371"/>
      <c r="OTS30" s="371"/>
      <c r="OTT30" s="371"/>
      <c r="OTU30" s="382"/>
      <c r="OTY30" s="371"/>
      <c r="OTZ30" s="371"/>
      <c r="OUA30" s="371"/>
      <c r="OUB30" s="371"/>
      <c r="OUC30" s="371"/>
      <c r="OUD30" s="371"/>
      <c r="OUE30" s="371"/>
      <c r="OUF30" s="371"/>
      <c r="OUG30" s="371"/>
      <c r="OUH30" s="371"/>
      <c r="OUI30" s="371"/>
      <c r="OUJ30" s="371"/>
      <c r="OUK30" s="371"/>
      <c r="OUL30" s="371"/>
      <c r="OUM30" s="371"/>
      <c r="OUN30" s="371"/>
      <c r="OUO30" s="371"/>
      <c r="OUP30" s="371"/>
      <c r="OUQ30" s="371"/>
      <c r="OUR30" s="371"/>
      <c r="OUS30" s="371"/>
      <c r="OUT30" s="371"/>
      <c r="OUU30" s="371"/>
      <c r="OUV30" s="371"/>
      <c r="OUW30" s="371"/>
      <c r="OUX30" s="371"/>
      <c r="OUY30" s="382"/>
      <c r="OVC30" s="371"/>
      <c r="OVD30" s="371"/>
      <c r="OVE30" s="371"/>
      <c r="OVF30" s="371"/>
      <c r="OVG30" s="371"/>
      <c r="OVH30" s="371"/>
      <c r="OVI30" s="371"/>
      <c r="OVJ30" s="371"/>
      <c r="OVK30" s="371"/>
      <c r="OVL30" s="371"/>
      <c r="OVM30" s="371"/>
      <c r="OVN30" s="371"/>
      <c r="OVO30" s="371"/>
      <c r="OVP30" s="371"/>
      <c r="OVQ30" s="371"/>
      <c r="OVR30" s="371"/>
      <c r="OVS30" s="371"/>
      <c r="OVT30" s="371"/>
      <c r="OVU30" s="371"/>
      <c r="OVV30" s="371"/>
      <c r="OVW30" s="371"/>
      <c r="OVX30" s="371"/>
      <c r="OVY30" s="371"/>
      <c r="OVZ30" s="371"/>
      <c r="OWA30" s="371"/>
      <c r="OWB30" s="371"/>
      <c r="OWC30" s="382"/>
      <c r="OWG30" s="371"/>
      <c r="OWH30" s="371"/>
      <c r="OWI30" s="371"/>
      <c r="OWJ30" s="371"/>
      <c r="OWK30" s="371"/>
      <c r="OWL30" s="371"/>
      <c r="OWM30" s="371"/>
      <c r="OWN30" s="371"/>
      <c r="OWO30" s="371"/>
      <c r="OWP30" s="371"/>
      <c r="OWQ30" s="371"/>
      <c r="OWR30" s="371"/>
      <c r="OWS30" s="371"/>
      <c r="OWT30" s="371"/>
      <c r="OWU30" s="371"/>
      <c r="OWV30" s="371"/>
      <c r="OWW30" s="371"/>
      <c r="OWX30" s="371"/>
      <c r="OWY30" s="371"/>
      <c r="OWZ30" s="371"/>
      <c r="OXA30" s="371"/>
      <c r="OXB30" s="371"/>
      <c r="OXC30" s="371"/>
      <c r="OXD30" s="371"/>
      <c r="OXE30" s="371"/>
      <c r="OXF30" s="371"/>
      <c r="OXG30" s="382"/>
      <c r="OXK30" s="371"/>
      <c r="OXL30" s="371"/>
      <c r="OXM30" s="371"/>
      <c r="OXN30" s="371"/>
      <c r="OXO30" s="371"/>
      <c r="OXP30" s="371"/>
      <c r="OXQ30" s="371"/>
      <c r="OXR30" s="371"/>
      <c r="OXS30" s="371"/>
      <c r="OXT30" s="371"/>
      <c r="OXU30" s="371"/>
      <c r="OXV30" s="371"/>
      <c r="OXW30" s="371"/>
      <c r="OXX30" s="371"/>
      <c r="OXY30" s="371"/>
      <c r="OXZ30" s="371"/>
      <c r="OYA30" s="371"/>
      <c r="OYB30" s="371"/>
      <c r="OYC30" s="371"/>
      <c r="OYD30" s="371"/>
      <c r="OYE30" s="371"/>
      <c r="OYF30" s="371"/>
      <c r="OYG30" s="371"/>
      <c r="OYH30" s="371"/>
      <c r="OYI30" s="371"/>
      <c r="OYJ30" s="371"/>
      <c r="OYK30" s="382"/>
      <c r="OYO30" s="371"/>
      <c r="OYP30" s="371"/>
      <c r="OYQ30" s="371"/>
      <c r="OYR30" s="371"/>
      <c r="OYS30" s="371"/>
      <c r="OYT30" s="371"/>
      <c r="OYU30" s="371"/>
      <c r="OYV30" s="371"/>
      <c r="OYW30" s="371"/>
      <c r="OYX30" s="371"/>
      <c r="OYY30" s="371"/>
      <c r="OYZ30" s="371"/>
      <c r="OZA30" s="371"/>
      <c r="OZB30" s="371"/>
      <c r="OZC30" s="371"/>
      <c r="OZD30" s="371"/>
      <c r="OZE30" s="371"/>
      <c r="OZF30" s="371"/>
      <c r="OZG30" s="371"/>
      <c r="OZH30" s="371"/>
      <c r="OZI30" s="371"/>
      <c r="OZJ30" s="371"/>
      <c r="OZK30" s="371"/>
      <c r="OZL30" s="371"/>
      <c r="OZM30" s="371"/>
      <c r="OZN30" s="371"/>
      <c r="OZO30" s="382"/>
      <c r="OZS30" s="371"/>
      <c r="OZT30" s="371"/>
      <c r="OZU30" s="371"/>
      <c r="OZV30" s="371"/>
      <c r="OZW30" s="371"/>
      <c r="OZX30" s="371"/>
      <c r="OZY30" s="371"/>
      <c r="OZZ30" s="371"/>
      <c r="PAA30" s="371"/>
      <c r="PAB30" s="371"/>
      <c r="PAC30" s="371"/>
      <c r="PAD30" s="371"/>
      <c r="PAE30" s="371"/>
      <c r="PAF30" s="371"/>
      <c r="PAG30" s="371"/>
      <c r="PAH30" s="371"/>
      <c r="PAI30" s="371"/>
      <c r="PAJ30" s="371"/>
      <c r="PAK30" s="371"/>
      <c r="PAL30" s="371"/>
      <c r="PAM30" s="371"/>
      <c r="PAN30" s="371"/>
      <c r="PAO30" s="371"/>
      <c r="PAP30" s="371"/>
      <c r="PAQ30" s="371"/>
      <c r="PAR30" s="371"/>
      <c r="PAS30" s="382"/>
      <c r="PAW30" s="371"/>
      <c r="PAX30" s="371"/>
      <c r="PAY30" s="371"/>
      <c r="PAZ30" s="371"/>
      <c r="PBA30" s="371"/>
      <c r="PBB30" s="371"/>
      <c r="PBC30" s="371"/>
      <c r="PBD30" s="371"/>
      <c r="PBE30" s="371"/>
      <c r="PBF30" s="371"/>
      <c r="PBG30" s="371"/>
      <c r="PBH30" s="371"/>
      <c r="PBI30" s="371"/>
      <c r="PBJ30" s="371"/>
      <c r="PBK30" s="371"/>
      <c r="PBL30" s="371"/>
      <c r="PBM30" s="371"/>
      <c r="PBN30" s="371"/>
      <c r="PBO30" s="371"/>
      <c r="PBP30" s="371"/>
      <c r="PBQ30" s="371"/>
      <c r="PBR30" s="371"/>
      <c r="PBS30" s="371"/>
      <c r="PBT30" s="371"/>
      <c r="PBU30" s="371"/>
      <c r="PBV30" s="371"/>
      <c r="PBW30" s="382"/>
      <c r="PCA30" s="371"/>
      <c r="PCB30" s="371"/>
      <c r="PCC30" s="371"/>
      <c r="PCD30" s="371"/>
      <c r="PCE30" s="371"/>
      <c r="PCF30" s="371"/>
      <c r="PCG30" s="371"/>
      <c r="PCH30" s="371"/>
      <c r="PCI30" s="371"/>
      <c r="PCJ30" s="371"/>
      <c r="PCK30" s="371"/>
      <c r="PCL30" s="371"/>
      <c r="PCM30" s="371"/>
      <c r="PCN30" s="371"/>
      <c r="PCO30" s="371"/>
      <c r="PCP30" s="371"/>
      <c r="PCQ30" s="371"/>
      <c r="PCR30" s="371"/>
      <c r="PCS30" s="371"/>
      <c r="PCT30" s="371"/>
      <c r="PCU30" s="371"/>
      <c r="PCV30" s="371"/>
      <c r="PCW30" s="371"/>
      <c r="PCX30" s="371"/>
      <c r="PCY30" s="371"/>
      <c r="PCZ30" s="371"/>
      <c r="PDA30" s="382"/>
      <c r="PDE30" s="371"/>
      <c r="PDF30" s="371"/>
      <c r="PDG30" s="371"/>
      <c r="PDH30" s="371"/>
      <c r="PDI30" s="371"/>
      <c r="PDJ30" s="371"/>
      <c r="PDK30" s="371"/>
      <c r="PDL30" s="371"/>
      <c r="PDM30" s="371"/>
      <c r="PDN30" s="371"/>
      <c r="PDO30" s="371"/>
      <c r="PDP30" s="371"/>
      <c r="PDQ30" s="371"/>
      <c r="PDR30" s="371"/>
      <c r="PDS30" s="371"/>
      <c r="PDT30" s="371"/>
      <c r="PDU30" s="371"/>
      <c r="PDV30" s="371"/>
      <c r="PDW30" s="371"/>
      <c r="PDX30" s="371"/>
      <c r="PDY30" s="371"/>
      <c r="PDZ30" s="371"/>
      <c r="PEA30" s="371"/>
      <c r="PEB30" s="371"/>
      <c r="PEC30" s="371"/>
      <c r="PED30" s="371"/>
      <c r="PEE30" s="382"/>
      <c r="PEI30" s="371"/>
      <c r="PEJ30" s="371"/>
      <c r="PEK30" s="371"/>
      <c r="PEL30" s="371"/>
      <c r="PEM30" s="371"/>
      <c r="PEN30" s="371"/>
      <c r="PEO30" s="371"/>
      <c r="PEP30" s="371"/>
      <c r="PEQ30" s="371"/>
      <c r="PER30" s="371"/>
      <c r="PES30" s="371"/>
      <c r="PET30" s="371"/>
      <c r="PEU30" s="371"/>
      <c r="PEV30" s="371"/>
      <c r="PEW30" s="371"/>
      <c r="PEX30" s="371"/>
      <c r="PEY30" s="371"/>
      <c r="PEZ30" s="371"/>
      <c r="PFA30" s="371"/>
      <c r="PFB30" s="371"/>
      <c r="PFC30" s="371"/>
      <c r="PFD30" s="371"/>
      <c r="PFE30" s="371"/>
      <c r="PFF30" s="371"/>
      <c r="PFG30" s="371"/>
      <c r="PFH30" s="371"/>
      <c r="PFI30" s="382"/>
      <c r="PFM30" s="371"/>
      <c r="PFN30" s="371"/>
      <c r="PFO30" s="371"/>
      <c r="PFP30" s="371"/>
      <c r="PFQ30" s="371"/>
      <c r="PFR30" s="371"/>
      <c r="PFS30" s="371"/>
      <c r="PFT30" s="371"/>
      <c r="PFU30" s="371"/>
      <c r="PFV30" s="371"/>
      <c r="PFW30" s="371"/>
      <c r="PFX30" s="371"/>
      <c r="PFY30" s="371"/>
      <c r="PFZ30" s="371"/>
      <c r="PGA30" s="371"/>
      <c r="PGB30" s="371"/>
      <c r="PGC30" s="371"/>
      <c r="PGD30" s="371"/>
      <c r="PGE30" s="371"/>
      <c r="PGF30" s="371"/>
      <c r="PGG30" s="371"/>
      <c r="PGH30" s="371"/>
      <c r="PGI30" s="371"/>
      <c r="PGJ30" s="371"/>
      <c r="PGK30" s="371"/>
      <c r="PGL30" s="371"/>
      <c r="PGM30" s="382"/>
      <c r="PGQ30" s="371"/>
      <c r="PGR30" s="371"/>
      <c r="PGS30" s="371"/>
      <c r="PGT30" s="371"/>
      <c r="PGU30" s="371"/>
      <c r="PGV30" s="371"/>
      <c r="PGW30" s="371"/>
      <c r="PGX30" s="371"/>
      <c r="PGY30" s="371"/>
      <c r="PGZ30" s="371"/>
      <c r="PHA30" s="371"/>
      <c r="PHB30" s="371"/>
      <c r="PHC30" s="371"/>
      <c r="PHD30" s="371"/>
      <c r="PHE30" s="371"/>
      <c r="PHF30" s="371"/>
      <c r="PHG30" s="371"/>
      <c r="PHH30" s="371"/>
      <c r="PHI30" s="371"/>
      <c r="PHJ30" s="371"/>
      <c r="PHK30" s="371"/>
      <c r="PHL30" s="371"/>
      <c r="PHM30" s="371"/>
      <c r="PHN30" s="371"/>
      <c r="PHO30" s="371"/>
      <c r="PHP30" s="371"/>
      <c r="PHQ30" s="382"/>
      <c r="PHU30" s="371"/>
      <c r="PHV30" s="371"/>
      <c r="PHW30" s="371"/>
      <c r="PHX30" s="371"/>
      <c r="PHY30" s="371"/>
      <c r="PHZ30" s="371"/>
      <c r="PIA30" s="371"/>
      <c r="PIB30" s="371"/>
      <c r="PIC30" s="371"/>
      <c r="PID30" s="371"/>
      <c r="PIE30" s="371"/>
      <c r="PIF30" s="371"/>
      <c r="PIG30" s="371"/>
      <c r="PIH30" s="371"/>
      <c r="PII30" s="371"/>
      <c r="PIJ30" s="371"/>
      <c r="PIK30" s="371"/>
      <c r="PIL30" s="371"/>
      <c r="PIM30" s="371"/>
      <c r="PIN30" s="371"/>
      <c r="PIO30" s="371"/>
      <c r="PIP30" s="371"/>
      <c r="PIQ30" s="371"/>
      <c r="PIR30" s="371"/>
      <c r="PIS30" s="371"/>
      <c r="PIT30" s="371"/>
      <c r="PIU30" s="382"/>
      <c r="PIY30" s="371"/>
      <c r="PIZ30" s="371"/>
      <c r="PJA30" s="371"/>
      <c r="PJB30" s="371"/>
      <c r="PJC30" s="371"/>
      <c r="PJD30" s="371"/>
      <c r="PJE30" s="371"/>
      <c r="PJF30" s="371"/>
      <c r="PJG30" s="371"/>
      <c r="PJH30" s="371"/>
      <c r="PJI30" s="371"/>
      <c r="PJJ30" s="371"/>
      <c r="PJK30" s="371"/>
      <c r="PJL30" s="371"/>
      <c r="PJM30" s="371"/>
      <c r="PJN30" s="371"/>
      <c r="PJO30" s="371"/>
      <c r="PJP30" s="371"/>
      <c r="PJQ30" s="371"/>
      <c r="PJR30" s="371"/>
      <c r="PJS30" s="371"/>
      <c r="PJT30" s="371"/>
      <c r="PJU30" s="371"/>
      <c r="PJV30" s="371"/>
      <c r="PJW30" s="371"/>
      <c r="PJX30" s="371"/>
      <c r="PJY30" s="382"/>
      <c r="PKC30" s="371"/>
      <c r="PKD30" s="371"/>
      <c r="PKE30" s="371"/>
      <c r="PKF30" s="371"/>
      <c r="PKG30" s="371"/>
      <c r="PKH30" s="371"/>
      <c r="PKI30" s="371"/>
      <c r="PKJ30" s="371"/>
      <c r="PKK30" s="371"/>
      <c r="PKL30" s="371"/>
      <c r="PKM30" s="371"/>
      <c r="PKN30" s="371"/>
      <c r="PKO30" s="371"/>
      <c r="PKP30" s="371"/>
      <c r="PKQ30" s="371"/>
      <c r="PKR30" s="371"/>
      <c r="PKS30" s="371"/>
      <c r="PKT30" s="371"/>
      <c r="PKU30" s="371"/>
      <c r="PKV30" s="371"/>
      <c r="PKW30" s="371"/>
      <c r="PKX30" s="371"/>
      <c r="PKY30" s="371"/>
      <c r="PKZ30" s="371"/>
      <c r="PLA30" s="371"/>
      <c r="PLB30" s="371"/>
      <c r="PLC30" s="382"/>
      <c r="PLG30" s="371"/>
      <c r="PLH30" s="371"/>
      <c r="PLI30" s="371"/>
      <c r="PLJ30" s="371"/>
      <c r="PLK30" s="371"/>
      <c r="PLL30" s="371"/>
      <c r="PLM30" s="371"/>
      <c r="PLN30" s="371"/>
      <c r="PLO30" s="371"/>
      <c r="PLP30" s="371"/>
      <c r="PLQ30" s="371"/>
      <c r="PLR30" s="371"/>
      <c r="PLS30" s="371"/>
      <c r="PLT30" s="371"/>
      <c r="PLU30" s="371"/>
      <c r="PLV30" s="371"/>
      <c r="PLW30" s="371"/>
      <c r="PLX30" s="371"/>
      <c r="PLY30" s="371"/>
      <c r="PLZ30" s="371"/>
      <c r="PMA30" s="371"/>
      <c r="PMB30" s="371"/>
      <c r="PMC30" s="371"/>
      <c r="PMD30" s="371"/>
      <c r="PME30" s="371"/>
      <c r="PMF30" s="371"/>
      <c r="PMG30" s="382"/>
      <c r="PMK30" s="371"/>
      <c r="PML30" s="371"/>
      <c r="PMM30" s="371"/>
      <c r="PMN30" s="371"/>
      <c r="PMO30" s="371"/>
      <c r="PMP30" s="371"/>
      <c r="PMQ30" s="371"/>
      <c r="PMR30" s="371"/>
      <c r="PMS30" s="371"/>
      <c r="PMT30" s="371"/>
      <c r="PMU30" s="371"/>
      <c r="PMV30" s="371"/>
      <c r="PMW30" s="371"/>
      <c r="PMX30" s="371"/>
      <c r="PMY30" s="371"/>
      <c r="PMZ30" s="371"/>
      <c r="PNA30" s="371"/>
      <c r="PNB30" s="371"/>
      <c r="PNC30" s="371"/>
      <c r="PND30" s="371"/>
      <c r="PNE30" s="371"/>
      <c r="PNF30" s="371"/>
      <c r="PNG30" s="371"/>
      <c r="PNH30" s="371"/>
      <c r="PNI30" s="371"/>
      <c r="PNJ30" s="371"/>
      <c r="PNK30" s="382"/>
      <c r="PNO30" s="371"/>
      <c r="PNP30" s="371"/>
      <c r="PNQ30" s="371"/>
      <c r="PNR30" s="371"/>
      <c r="PNS30" s="371"/>
      <c r="PNT30" s="371"/>
      <c r="PNU30" s="371"/>
      <c r="PNV30" s="371"/>
      <c r="PNW30" s="371"/>
      <c r="PNX30" s="371"/>
      <c r="PNY30" s="371"/>
      <c r="PNZ30" s="371"/>
      <c r="POA30" s="371"/>
      <c r="POB30" s="371"/>
      <c r="POC30" s="371"/>
      <c r="POD30" s="371"/>
      <c r="POE30" s="371"/>
      <c r="POF30" s="371"/>
      <c r="POG30" s="371"/>
      <c r="POH30" s="371"/>
      <c r="POI30" s="371"/>
      <c r="POJ30" s="371"/>
      <c r="POK30" s="371"/>
      <c r="POL30" s="371"/>
      <c r="POM30" s="371"/>
      <c r="PON30" s="371"/>
      <c r="POO30" s="382"/>
      <c r="POS30" s="371"/>
      <c r="POT30" s="371"/>
      <c r="POU30" s="371"/>
      <c r="POV30" s="371"/>
      <c r="POW30" s="371"/>
      <c r="POX30" s="371"/>
      <c r="POY30" s="371"/>
      <c r="POZ30" s="371"/>
      <c r="PPA30" s="371"/>
      <c r="PPB30" s="371"/>
      <c r="PPC30" s="371"/>
      <c r="PPD30" s="371"/>
      <c r="PPE30" s="371"/>
      <c r="PPF30" s="371"/>
      <c r="PPG30" s="371"/>
      <c r="PPH30" s="371"/>
      <c r="PPI30" s="371"/>
      <c r="PPJ30" s="371"/>
      <c r="PPK30" s="371"/>
      <c r="PPL30" s="371"/>
      <c r="PPM30" s="371"/>
      <c r="PPN30" s="371"/>
      <c r="PPO30" s="371"/>
      <c r="PPP30" s="371"/>
      <c r="PPQ30" s="371"/>
      <c r="PPR30" s="371"/>
      <c r="PPS30" s="382"/>
      <c r="PPW30" s="371"/>
      <c r="PPX30" s="371"/>
      <c r="PPY30" s="371"/>
      <c r="PPZ30" s="371"/>
      <c r="PQA30" s="371"/>
      <c r="PQB30" s="371"/>
      <c r="PQC30" s="371"/>
      <c r="PQD30" s="371"/>
      <c r="PQE30" s="371"/>
      <c r="PQF30" s="371"/>
      <c r="PQG30" s="371"/>
      <c r="PQH30" s="371"/>
      <c r="PQI30" s="371"/>
      <c r="PQJ30" s="371"/>
      <c r="PQK30" s="371"/>
      <c r="PQL30" s="371"/>
      <c r="PQM30" s="371"/>
      <c r="PQN30" s="371"/>
      <c r="PQO30" s="371"/>
      <c r="PQP30" s="371"/>
      <c r="PQQ30" s="371"/>
      <c r="PQR30" s="371"/>
      <c r="PQS30" s="371"/>
      <c r="PQT30" s="371"/>
      <c r="PQU30" s="371"/>
      <c r="PQV30" s="371"/>
      <c r="PQW30" s="382"/>
      <c r="PRA30" s="371"/>
      <c r="PRB30" s="371"/>
      <c r="PRC30" s="371"/>
      <c r="PRD30" s="371"/>
      <c r="PRE30" s="371"/>
      <c r="PRF30" s="371"/>
      <c r="PRG30" s="371"/>
      <c r="PRH30" s="371"/>
      <c r="PRI30" s="371"/>
      <c r="PRJ30" s="371"/>
      <c r="PRK30" s="371"/>
      <c r="PRL30" s="371"/>
      <c r="PRM30" s="371"/>
      <c r="PRN30" s="371"/>
      <c r="PRO30" s="371"/>
      <c r="PRP30" s="371"/>
      <c r="PRQ30" s="371"/>
      <c r="PRR30" s="371"/>
      <c r="PRS30" s="371"/>
      <c r="PRT30" s="371"/>
      <c r="PRU30" s="371"/>
      <c r="PRV30" s="371"/>
      <c r="PRW30" s="371"/>
      <c r="PRX30" s="371"/>
      <c r="PRY30" s="371"/>
      <c r="PRZ30" s="371"/>
      <c r="PSA30" s="382"/>
      <c r="PSE30" s="371"/>
      <c r="PSF30" s="371"/>
      <c r="PSG30" s="371"/>
      <c r="PSH30" s="371"/>
      <c r="PSI30" s="371"/>
      <c r="PSJ30" s="371"/>
      <c r="PSK30" s="371"/>
      <c r="PSL30" s="371"/>
      <c r="PSM30" s="371"/>
      <c r="PSN30" s="371"/>
      <c r="PSO30" s="371"/>
      <c r="PSP30" s="371"/>
      <c r="PSQ30" s="371"/>
      <c r="PSR30" s="371"/>
      <c r="PSS30" s="371"/>
      <c r="PST30" s="371"/>
      <c r="PSU30" s="371"/>
      <c r="PSV30" s="371"/>
      <c r="PSW30" s="371"/>
      <c r="PSX30" s="371"/>
      <c r="PSY30" s="371"/>
      <c r="PSZ30" s="371"/>
      <c r="PTA30" s="371"/>
      <c r="PTB30" s="371"/>
      <c r="PTC30" s="371"/>
      <c r="PTD30" s="371"/>
      <c r="PTE30" s="382"/>
      <c r="PTI30" s="371"/>
      <c r="PTJ30" s="371"/>
      <c r="PTK30" s="371"/>
      <c r="PTL30" s="371"/>
      <c r="PTM30" s="371"/>
      <c r="PTN30" s="371"/>
      <c r="PTO30" s="371"/>
      <c r="PTP30" s="371"/>
      <c r="PTQ30" s="371"/>
      <c r="PTR30" s="371"/>
      <c r="PTS30" s="371"/>
      <c r="PTT30" s="371"/>
      <c r="PTU30" s="371"/>
      <c r="PTV30" s="371"/>
      <c r="PTW30" s="371"/>
      <c r="PTX30" s="371"/>
      <c r="PTY30" s="371"/>
      <c r="PTZ30" s="371"/>
      <c r="PUA30" s="371"/>
      <c r="PUB30" s="371"/>
      <c r="PUC30" s="371"/>
      <c r="PUD30" s="371"/>
      <c r="PUE30" s="371"/>
      <c r="PUF30" s="371"/>
      <c r="PUG30" s="371"/>
      <c r="PUH30" s="371"/>
      <c r="PUI30" s="382"/>
      <c r="PUM30" s="371"/>
      <c r="PUN30" s="371"/>
      <c r="PUO30" s="371"/>
      <c r="PUP30" s="371"/>
      <c r="PUQ30" s="371"/>
      <c r="PUR30" s="371"/>
      <c r="PUS30" s="371"/>
      <c r="PUT30" s="371"/>
      <c r="PUU30" s="371"/>
      <c r="PUV30" s="371"/>
      <c r="PUW30" s="371"/>
      <c r="PUX30" s="371"/>
      <c r="PUY30" s="371"/>
      <c r="PUZ30" s="371"/>
      <c r="PVA30" s="371"/>
      <c r="PVB30" s="371"/>
      <c r="PVC30" s="371"/>
      <c r="PVD30" s="371"/>
      <c r="PVE30" s="371"/>
      <c r="PVF30" s="371"/>
      <c r="PVG30" s="371"/>
      <c r="PVH30" s="371"/>
      <c r="PVI30" s="371"/>
      <c r="PVJ30" s="371"/>
      <c r="PVK30" s="371"/>
      <c r="PVL30" s="371"/>
      <c r="PVM30" s="382"/>
      <c r="PVQ30" s="371"/>
      <c r="PVR30" s="371"/>
      <c r="PVS30" s="371"/>
      <c r="PVT30" s="371"/>
      <c r="PVU30" s="371"/>
      <c r="PVV30" s="371"/>
      <c r="PVW30" s="371"/>
      <c r="PVX30" s="371"/>
      <c r="PVY30" s="371"/>
      <c r="PVZ30" s="371"/>
      <c r="PWA30" s="371"/>
      <c r="PWB30" s="371"/>
      <c r="PWC30" s="371"/>
      <c r="PWD30" s="371"/>
      <c r="PWE30" s="371"/>
      <c r="PWF30" s="371"/>
      <c r="PWG30" s="371"/>
      <c r="PWH30" s="371"/>
      <c r="PWI30" s="371"/>
      <c r="PWJ30" s="371"/>
      <c r="PWK30" s="371"/>
      <c r="PWL30" s="371"/>
      <c r="PWM30" s="371"/>
      <c r="PWN30" s="371"/>
      <c r="PWO30" s="371"/>
      <c r="PWP30" s="371"/>
      <c r="PWQ30" s="382"/>
      <c r="PWU30" s="371"/>
      <c r="PWV30" s="371"/>
      <c r="PWW30" s="371"/>
      <c r="PWX30" s="371"/>
      <c r="PWY30" s="371"/>
      <c r="PWZ30" s="371"/>
      <c r="PXA30" s="371"/>
      <c r="PXB30" s="371"/>
      <c r="PXC30" s="371"/>
      <c r="PXD30" s="371"/>
      <c r="PXE30" s="371"/>
      <c r="PXF30" s="371"/>
      <c r="PXG30" s="371"/>
      <c r="PXH30" s="371"/>
      <c r="PXI30" s="371"/>
      <c r="PXJ30" s="371"/>
      <c r="PXK30" s="371"/>
      <c r="PXL30" s="371"/>
      <c r="PXM30" s="371"/>
      <c r="PXN30" s="371"/>
      <c r="PXO30" s="371"/>
      <c r="PXP30" s="371"/>
      <c r="PXQ30" s="371"/>
      <c r="PXR30" s="371"/>
      <c r="PXS30" s="371"/>
      <c r="PXT30" s="371"/>
      <c r="PXU30" s="382"/>
      <c r="PXY30" s="371"/>
      <c r="PXZ30" s="371"/>
      <c r="PYA30" s="371"/>
      <c r="PYB30" s="371"/>
      <c r="PYC30" s="371"/>
      <c r="PYD30" s="371"/>
      <c r="PYE30" s="371"/>
      <c r="PYF30" s="371"/>
      <c r="PYG30" s="371"/>
      <c r="PYH30" s="371"/>
      <c r="PYI30" s="371"/>
      <c r="PYJ30" s="371"/>
      <c r="PYK30" s="371"/>
      <c r="PYL30" s="371"/>
      <c r="PYM30" s="371"/>
      <c r="PYN30" s="371"/>
      <c r="PYO30" s="371"/>
      <c r="PYP30" s="371"/>
      <c r="PYQ30" s="371"/>
      <c r="PYR30" s="371"/>
      <c r="PYS30" s="371"/>
      <c r="PYT30" s="371"/>
      <c r="PYU30" s="371"/>
      <c r="PYV30" s="371"/>
      <c r="PYW30" s="371"/>
      <c r="PYX30" s="371"/>
      <c r="PYY30" s="382"/>
      <c r="PZC30" s="371"/>
      <c r="PZD30" s="371"/>
      <c r="PZE30" s="371"/>
      <c r="PZF30" s="371"/>
      <c r="PZG30" s="371"/>
      <c r="PZH30" s="371"/>
      <c r="PZI30" s="371"/>
      <c r="PZJ30" s="371"/>
      <c r="PZK30" s="371"/>
      <c r="PZL30" s="371"/>
      <c r="PZM30" s="371"/>
      <c r="PZN30" s="371"/>
      <c r="PZO30" s="371"/>
      <c r="PZP30" s="371"/>
      <c r="PZQ30" s="371"/>
      <c r="PZR30" s="371"/>
      <c r="PZS30" s="371"/>
      <c r="PZT30" s="371"/>
      <c r="PZU30" s="371"/>
      <c r="PZV30" s="371"/>
      <c r="PZW30" s="371"/>
      <c r="PZX30" s="371"/>
      <c r="PZY30" s="371"/>
      <c r="PZZ30" s="371"/>
      <c r="QAA30" s="371"/>
      <c r="QAB30" s="371"/>
      <c r="QAC30" s="382"/>
      <c r="QAG30" s="371"/>
      <c r="QAH30" s="371"/>
      <c r="QAI30" s="371"/>
      <c r="QAJ30" s="371"/>
      <c r="QAK30" s="371"/>
      <c r="QAL30" s="371"/>
      <c r="QAM30" s="371"/>
      <c r="QAN30" s="371"/>
      <c r="QAO30" s="371"/>
      <c r="QAP30" s="371"/>
      <c r="QAQ30" s="371"/>
      <c r="QAR30" s="371"/>
      <c r="QAS30" s="371"/>
      <c r="QAT30" s="371"/>
      <c r="QAU30" s="371"/>
      <c r="QAV30" s="371"/>
      <c r="QAW30" s="371"/>
      <c r="QAX30" s="371"/>
      <c r="QAY30" s="371"/>
      <c r="QAZ30" s="371"/>
      <c r="QBA30" s="371"/>
      <c r="QBB30" s="371"/>
      <c r="QBC30" s="371"/>
      <c r="QBD30" s="371"/>
      <c r="QBE30" s="371"/>
      <c r="QBF30" s="371"/>
      <c r="QBG30" s="382"/>
      <c r="QBK30" s="371"/>
      <c r="QBL30" s="371"/>
      <c r="QBM30" s="371"/>
      <c r="QBN30" s="371"/>
      <c r="QBO30" s="371"/>
      <c r="QBP30" s="371"/>
      <c r="QBQ30" s="371"/>
      <c r="QBR30" s="371"/>
      <c r="QBS30" s="371"/>
      <c r="QBT30" s="371"/>
      <c r="QBU30" s="371"/>
      <c r="QBV30" s="371"/>
      <c r="QBW30" s="371"/>
      <c r="QBX30" s="371"/>
      <c r="QBY30" s="371"/>
      <c r="QBZ30" s="371"/>
      <c r="QCA30" s="371"/>
      <c r="QCB30" s="371"/>
      <c r="QCC30" s="371"/>
      <c r="QCD30" s="371"/>
      <c r="QCE30" s="371"/>
      <c r="QCF30" s="371"/>
      <c r="QCG30" s="371"/>
      <c r="QCH30" s="371"/>
      <c r="QCI30" s="371"/>
      <c r="QCJ30" s="371"/>
      <c r="QCK30" s="382"/>
      <c r="QCO30" s="371"/>
      <c r="QCP30" s="371"/>
      <c r="QCQ30" s="371"/>
      <c r="QCR30" s="371"/>
      <c r="QCS30" s="371"/>
      <c r="QCT30" s="371"/>
      <c r="QCU30" s="371"/>
      <c r="QCV30" s="371"/>
      <c r="QCW30" s="371"/>
      <c r="QCX30" s="371"/>
      <c r="QCY30" s="371"/>
      <c r="QCZ30" s="371"/>
      <c r="QDA30" s="371"/>
      <c r="QDB30" s="371"/>
      <c r="QDC30" s="371"/>
      <c r="QDD30" s="371"/>
      <c r="QDE30" s="371"/>
      <c r="QDF30" s="371"/>
      <c r="QDG30" s="371"/>
      <c r="QDH30" s="371"/>
      <c r="QDI30" s="371"/>
      <c r="QDJ30" s="371"/>
      <c r="QDK30" s="371"/>
      <c r="QDL30" s="371"/>
      <c r="QDM30" s="371"/>
      <c r="QDN30" s="371"/>
      <c r="QDO30" s="382"/>
      <c r="QDS30" s="371"/>
      <c r="QDT30" s="371"/>
      <c r="QDU30" s="371"/>
      <c r="QDV30" s="371"/>
      <c r="QDW30" s="371"/>
      <c r="QDX30" s="371"/>
      <c r="QDY30" s="371"/>
      <c r="QDZ30" s="371"/>
      <c r="QEA30" s="371"/>
      <c r="QEB30" s="371"/>
      <c r="QEC30" s="371"/>
      <c r="QED30" s="371"/>
      <c r="QEE30" s="371"/>
      <c r="QEF30" s="371"/>
      <c r="QEG30" s="371"/>
      <c r="QEH30" s="371"/>
      <c r="QEI30" s="371"/>
      <c r="QEJ30" s="371"/>
      <c r="QEK30" s="371"/>
      <c r="QEL30" s="371"/>
      <c r="QEM30" s="371"/>
      <c r="QEN30" s="371"/>
      <c r="QEO30" s="371"/>
      <c r="QEP30" s="371"/>
      <c r="QEQ30" s="371"/>
      <c r="QER30" s="371"/>
      <c r="QES30" s="382"/>
      <c r="QEW30" s="371"/>
      <c r="QEX30" s="371"/>
      <c r="QEY30" s="371"/>
      <c r="QEZ30" s="371"/>
      <c r="QFA30" s="371"/>
      <c r="QFB30" s="371"/>
      <c r="QFC30" s="371"/>
      <c r="QFD30" s="371"/>
      <c r="QFE30" s="371"/>
      <c r="QFF30" s="371"/>
      <c r="QFG30" s="371"/>
      <c r="QFH30" s="371"/>
      <c r="QFI30" s="371"/>
      <c r="QFJ30" s="371"/>
      <c r="QFK30" s="371"/>
      <c r="QFL30" s="371"/>
      <c r="QFM30" s="371"/>
      <c r="QFN30" s="371"/>
      <c r="QFO30" s="371"/>
      <c r="QFP30" s="371"/>
      <c r="QFQ30" s="371"/>
      <c r="QFR30" s="371"/>
      <c r="QFS30" s="371"/>
      <c r="QFT30" s="371"/>
      <c r="QFU30" s="371"/>
      <c r="QFV30" s="371"/>
      <c r="QFW30" s="382"/>
      <c r="QGA30" s="371"/>
      <c r="QGB30" s="371"/>
      <c r="QGC30" s="371"/>
      <c r="QGD30" s="371"/>
      <c r="QGE30" s="371"/>
      <c r="QGF30" s="371"/>
      <c r="QGG30" s="371"/>
      <c r="QGH30" s="371"/>
      <c r="QGI30" s="371"/>
      <c r="QGJ30" s="371"/>
      <c r="QGK30" s="371"/>
      <c r="QGL30" s="371"/>
      <c r="QGM30" s="371"/>
      <c r="QGN30" s="371"/>
      <c r="QGO30" s="371"/>
      <c r="QGP30" s="371"/>
      <c r="QGQ30" s="371"/>
      <c r="QGR30" s="371"/>
      <c r="QGS30" s="371"/>
      <c r="QGT30" s="371"/>
      <c r="QGU30" s="371"/>
      <c r="QGV30" s="371"/>
      <c r="QGW30" s="371"/>
      <c r="QGX30" s="371"/>
      <c r="QGY30" s="371"/>
      <c r="QGZ30" s="371"/>
      <c r="QHA30" s="382"/>
      <c r="QHE30" s="371"/>
      <c r="QHF30" s="371"/>
      <c r="QHG30" s="371"/>
      <c r="QHH30" s="371"/>
      <c r="QHI30" s="371"/>
      <c r="QHJ30" s="371"/>
      <c r="QHK30" s="371"/>
      <c r="QHL30" s="371"/>
      <c r="QHM30" s="371"/>
      <c r="QHN30" s="371"/>
      <c r="QHO30" s="371"/>
      <c r="QHP30" s="371"/>
      <c r="QHQ30" s="371"/>
      <c r="QHR30" s="371"/>
      <c r="QHS30" s="371"/>
      <c r="QHT30" s="371"/>
      <c r="QHU30" s="371"/>
      <c r="QHV30" s="371"/>
      <c r="QHW30" s="371"/>
      <c r="QHX30" s="371"/>
      <c r="QHY30" s="371"/>
      <c r="QHZ30" s="371"/>
      <c r="QIA30" s="371"/>
      <c r="QIB30" s="371"/>
      <c r="QIC30" s="371"/>
      <c r="QID30" s="371"/>
      <c r="QIE30" s="382"/>
      <c r="QII30" s="371"/>
      <c r="QIJ30" s="371"/>
      <c r="QIK30" s="371"/>
      <c r="QIL30" s="371"/>
      <c r="QIM30" s="371"/>
      <c r="QIN30" s="371"/>
      <c r="QIO30" s="371"/>
      <c r="QIP30" s="371"/>
      <c r="QIQ30" s="371"/>
      <c r="QIR30" s="371"/>
      <c r="QIS30" s="371"/>
      <c r="QIT30" s="371"/>
      <c r="QIU30" s="371"/>
      <c r="QIV30" s="371"/>
      <c r="QIW30" s="371"/>
      <c r="QIX30" s="371"/>
      <c r="QIY30" s="371"/>
      <c r="QIZ30" s="371"/>
      <c r="QJA30" s="371"/>
      <c r="QJB30" s="371"/>
      <c r="QJC30" s="371"/>
      <c r="QJD30" s="371"/>
      <c r="QJE30" s="371"/>
      <c r="QJF30" s="371"/>
      <c r="QJG30" s="371"/>
      <c r="QJH30" s="371"/>
      <c r="QJI30" s="382"/>
      <c r="QJM30" s="371"/>
      <c r="QJN30" s="371"/>
      <c r="QJO30" s="371"/>
      <c r="QJP30" s="371"/>
      <c r="QJQ30" s="371"/>
      <c r="QJR30" s="371"/>
      <c r="QJS30" s="371"/>
      <c r="QJT30" s="371"/>
      <c r="QJU30" s="371"/>
      <c r="QJV30" s="371"/>
      <c r="QJW30" s="371"/>
      <c r="QJX30" s="371"/>
      <c r="QJY30" s="371"/>
      <c r="QJZ30" s="371"/>
      <c r="QKA30" s="371"/>
      <c r="QKB30" s="371"/>
      <c r="QKC30" s="371"/>
      <c r="QKD30" s="371"/>
      <c r="QKE30" s="371"/>
      <c r="QKF30" s="371"/>
      <c r="QKG30" s="371"/>
      <c r="QKH30" s="371"/>
      <c r="QKI30" s="371"/>
      <c r="QKJ30" s="371"/>
      <c r="QKK30" s="371"/>
      <c r="QKL30" s="371"/>
      <c r="QKM30" s="382"/>
      <c r="QKQ30" s="371"/>
      <c r="QKR30" s="371"/>
      <c r="QKS30" s="371"/>
      <c r="QKT30" s="371"/>
      <c r="QKU30" s="371"/>
      <c r="QKV30" s="371"/>
      <c r="QKW30" s="371"/>
      <c r="QKX30" s="371"/>
      <c r="QKY30" s="371"/>
      <c r="QKZ30" s="371"/>
      <c r="QLA30" s="371"/>
      <c r="QLB30" s="371"/>
      <c r="QLC30" s="371"/>
      <c r="QLD30" s="371"/>
      <c r="QLE30" s="371"/>
      <c r="QLF30" s="371"/>
      <c r="QLG30" s="371"/>
      <c r="QLH30" s="371"/>
      <c r="QLI30" s="371"/>
      <c r="QLJ30" s="371"/>
      <c r="QLK30" s="371"/>
      <c r="QLL30" s="371"/>
      <c r="QLM30" s="371"/>
      <c r="QLN30" s="371"/>
      <c r="QLO30" s="371"/>
      <c r="QLP30" s="371"/>
      <c r="QLQ30" s="382"/>
      <c r="QLU30" s="371"/>
      <c r="QLV30" s="371"/>
      <c r="QLW30" s="371"/>
      <c r="QLX30" s="371"/>
      <c r="QLY30" s="371"/>
      <c r="QLZ30" s="371"/>
      <c r="QMA30" s="371"/>
      <c r="QMB30" s="371"/>
      <c r="QMC30" s="371"/>
      <c r="QMD30" s="371"/>
      <c r="QME30" s="371"/>
      <c r="QMF30" s="371"/>
      <c r="QMG30" s="371"/>
      <c r="QMH30" s="371"/>
      <c r="QMI30" s="371"/>
      <c r="QMJ30" s="371"/>
      <c r="QMK30" s="371"/>
      <c r="QML30" s="371"/>
      <c r="QMM30" s="371"/>
      <c r="QMN30" s="371"/>
      <c r="QMO30" s="371"/>
      <c r="QMP30" s="371"/>
      <c r="QMQ30" s="371"/>
      <c r="QMR30" s="371"/>
      <c r="QMS30" s="371"/>
      <c r="QMT30" s="371"/>
      <c r="QMU30" s="382"/>
      <c r="QMY30" s="371"/>
      <c r="QMZ30" s="371"/>
      <c r="QNA30" s="371"/>
      <c r="QNB30" s="371"/>
      <c r="QNC30" s="371"/>
      <c r="QND30" s="371"/>
      <c r="QNE30" s="371"/>
      <c r="QNF30" s="371"/>
      <c r="QNG30" s="371"/>
      <c r="QNH30" s="371"/>
      <c r="QNI30" s="371"/>
      <c r="QNJ30" s="371"/>
      <c r="QNK30" s="371"/>
      <c r="QNL30" s="371"/>
      <c r="QNM30" s="371"/>
      <c r="QNN30" s="371"/>
      <c r="QNO30" s="371"/>
      <c r="QNP30" s="371"/>
      <c r="QNQ30" s="371"/>
      <c r="QNR30" s="371"/>
      <c r="QNS30" s="371"/>
      <c r="QNT30" s="371"/>
      <c r="QNU30" s="371"/>
      <c r="QNV30" s="371"/>
      <c r="QNW30" s="371"/>
      <c r="QNX30" s="371"/>
      <c r="QNY30" s="382"/>
      <c r="QOC30" s="371"/>
      <c r="QOD30" s="371"/>
      <c r="QOE30" s="371"/>
      <c r="QOF30" s="371"/>
      <c r="QOG30" s="371"/>
      <c r="QOH30" s="371"/>
      <c r="QOI30" s="371"/>
      <c r="QOJ30" s="371"/>
      <c r="QOK30" s="371"/>
      <c r="QOL30" s="371"/>
      <c r="QOM30" s="371"/>
      <c r="QON30" s="371"/>
      <c r="QOO30" s="371"/>
      <c r="QOP30" s="371"/>
      <c r="QOQ30" s="371"/>
      <c r="QOR30" s="371"/>
      <c r="QOS30" s="371"/>
      <c r="QOT30" s="371"/>
      <c r="QOU30" s="371"/>
      <c r="QOV30" s="371"/>
      <c r="QOW30" s="371"/>
      <c r="QOX30" s="371"/>
      <c r="QOY30" s="371"/>
      <c r="QOZ30" s="371"/>
      <c r="QPA30" s="371"/>
      <c r="QPB30" s="371"/>
      <c r="QPC30" s="382"/>
      <c r="QPG30" s="371"/>
      <c r="QPH30" s="371"/>
      <c r="QPI30" s="371"/>
      <c r="QPJ30" s="371"/>
      <c r="QPK30" s="371"/>
      <c r="QPL30" s="371"/>
      <c r="QPM30" s="371"/>
      <c r="QPN30" s="371"/>
      <c r="QPO30" s="371"/>
      <c r="QPP30" s="371"/>
      <c r="QPQ30" s="371"/>
      <c r="QPR30" s="371"/>
      <c r="QPS30" s="371"/>
      <c r="QPT30" s="371"/>
      <c r="QPU30" s="371"/>
      <c r="QPV30" s="371"/>
      <c r="QPW30" s="371"/>
      <c r="QPX30" s="371"/>
      <c r="QPY30" s="371"/>
      <c r="QPZ30" s="371"/>
      <c r="QQA30" s="371"/>
      <c r="QQB30" s="371"/>
      <c r="QQC30" s="371"/>
      <c r="QQD30" s="371"/>
      <c r="QQE30" s="371"/>
      <c r="QQF30" s="371"/>
      <c r="QQG30" s="382"/>
      <c r="QQK30" s="371"/>
      <c r="QQL30" s="371"/>
      <c r="QQM30" s="371"/>
      <c r="QQN30" s="371"/>
      <c r="QQO30" s="371"/>
      <c r="QQP30" s="371"/>
      <c r="QQQ30" s="371"/>
      <c r="QQR30" s="371"/>
      <c r="QQS30" s="371"/>
      <c r="QQT30" s="371"/>
      <c r="QQU30" s="371"/>
      <c r="QQV30" s="371"/>
      <c r="QQW30" s="371"/>
      <c r="QQX30" s="371"/>
      <c r="QQY30" s="371"/>
      <c r="QQZ30" s="371"/>
      <c r="QRA30" s="371"/>
      <c r="QRB30" s="371"/>
      <c r="QRC30" s="371"/>
      <c r="QRD30" s="371"/>
      <c r="QRE30" s="371"/>
      <c r="QRF30" s="371"/>
      <c r="QRG30" s="371"/>
      <c r="QRH30" s="371"/>
      <c r="QRI30" s="371"/>
      <c r="QRJ30" s="371"/>
      <c r="QRK30" s="382"/>
      <c r="QRO30" s="371"/>
      <c r="QRP30" s="371"/>
      <c r="QRQ30" s="371"/>
      <c r="QRR30" s="371"/>
      <c r="QRS30" s="371"/>
      <c r="QRT30" s="371"/>
      <c r="QRU30" s="371"/>
      <c r="QRV30" s="371"/>
      <c r="QRW30" s="371"/>
      <c r="QRX30" s="371"/>
      <c r="QRY30" s="371"/>
      <c r="QRZ30" s="371"/>
      <c r="QSA30" s="371"/>
      <c r="QSB30" s="371"/>
      <c r="QSC30" s="371"/>
      <c r="QSD30" s="371"/>
      <c r="QSE30" s="371"/>
      <c r="QSF30" s="371"/>
      <c r="QSG30" s="371"/>
      <c r="QSH30" s="371"/>
      <c r="QSI30" s="371"/>
      <c r="QSJ30" s="371"/>
      <c r="QSK30" s="371"/>
      <c r="QSL30" s="371"/>
      <c r="QSM30" s="371"/>
      <c r="QSN30" s="371"/>
      <c r="QSO30" s="382"/>
      <c r="QSS30" s="371"/>
      <c r="QST30" s="371"/>
      <c r="QSU30" s="371"/>
      <c r="QSV30" s="371"/>
      <c r="QSW30" s="371"/>
      <c r="QSX30" s="371"/>
      <c r="QSY30" s="371"/>
      <c r="QSZ30" s="371"/>
      <c r="QTA30" s="371"/>
      <c r="QTB30" s="371"/>
      <c r="QTC30" s="371"/>
      <c r="QTD30" s="371"/>
      <c r="QTE30" s="371"/>
      <c r="QTF30" s="371"/>
      <c r="QTG30" s="371"/>
      <c r="QTH30" s="371"/>
      <c r="QTI30" s="371"/>
      <c r="QTJ30" s="371"/>
      <c r="QTK30" s="371"/>
      <c r="QTL30" s="371"/>
      <c r="QTM30" s="371"/>
      <c r="QTN30" s="371"/>
      <c r="QTO30" s="371"/>
      <c r="QTP30" s="371"/>
      <c r="QTQ30" s="371"/>
      <c r="QTR30" s="371"/>
      <c r="QTS30" s="382"/>
      <c r="QTW30" s="371"/>
      <c r="QTX30" s="371"/>
      <c r="QTY30" s="371"/>
      <c r="QTZ30" s="371"/>
      <c r="QUA30" s="371"/>
      <c r="QUB30" s="371"/>
      <c r="QUC30" s="371"/>
      <c r="QUD30" s="371"/>
      <c r="QUE30" s="371"/>
      <c r="QUF30" s="371"/>
      <c r="QUG30" s="371"/>
      <c r="QUH30" s="371"/>
      <c r="QUI30" s="371"/>
      <c r="QUJ30" s="371"/>
      <c r="QUK30" s="371"/>
      <c r="QUL30" s="371"/>
      <c r="QUM30" s="371"/>
      <c r="QUN30" s="371"/>
      <c r="QUO30" s="371"/>
      <c r="QUP30" s="371"/>
      <c r="QUQ30" s="371"/>
      <c r="QUR30" s="371"/>
      <c r="QUS30" s="371"/>
      <c r="QUT30" s="371"/>
      <c r="QUU30" s="371"/>
      <c r="QUV30" s="371"/>
      <c r="QUW30" s="382"/>
      <c r="QVA30" s="371"/>
      <c r="QVB30" s="371"/>
      <c r="QVC30" s="371"/>
      <c r="QVD30" s="371"/>
      <c r="QVE30" s="371"/>
      <c r="QVF30" s="371"/>
      <c r="QVG30" s="371"/>
      <c r="QVH30" s="371"/>
      <c r="QVI30" s="371"/>
      <c r="QVJ30" s="371"/>
      <c r="QVK30" s="371"/>
      <c r="QVL30" s="371"/>
      <c r="QVM30" s="371"/>
      <c r="QVN30" s="371"/>
      <c r="QVO30" s="371"/>
      <c r="QVP30" s="371"/>
      <c r="QVQ30" s="371"/>
      <c r="QVR30" s="371"/>
      <c r="QVS30" s="371"/>
      <c r="QVT30" s="371"/>
      <c r="QVU30" s="371"/>
      <c r="QVV30" s="371"/>
      <c r="QVW30" s="371"/>
      <c r="QVX30" s="371"/>
      <c r="QVY30" s="371"/>
      <c r="QVZ30" s="371"/>
      <c r="QWA30" s="382"/>
      <c r="QWE30" s="371"/>
      <c r="QWF30" s="371"/>
      <c r="QWG30" s="371"/>
      <c r="QWH30" s="371"/>
      <c r="QWI30" s="371"/>
      <c r="QWJ30" s="371"/>
      <c r="QWK30" s="371"/>
      <c r="QWL30" s="371"/>
      <c r="QWM30" s="371"/>
      <c r="QWN30" s="371"/>
      <c r="QWO30" s="371"/>
      <c r="QWP30" s="371"/>
      <c r="QWQ30" s="371"/>
      <c r="QWR30" s="371"/>
      <c r="QWS30" s="371"/>
      <c r="QWT30" s="371"/>
      <c r="QWU30" s="371"/>
      <c r="QWV30" s="371"/>
      <c r="QWW30" s="371"/>
      <c r="QWX30" s="371"/>
      <c r="QWY30" s="371"/>
      <c r="QWZ30" s="371"/>
      <c r="QXA30" s="371"/>
      <c r="QXB30" s="371"/>
      <c r="QXC30" s="371"/>
      <c r="QXD30" s="371"/>
      <c r="QXE30" s="382"/>
      <c r="QXI30" s="371"/>
      <c r="QXJ30" s="371"/>
      <c r="QXK30" s="371"/>
      <c r="QXL30" s="371"/>
      <c r="QXM30" s="371"/>
      <c r="QXN30" s="371"/>
      <c r="QXO30" s="371"/>
      <c r="QXP30" s="371"/>
      <c r="QXQ30" s="371"/>
      <c r="QXR30" s="371"/>
      <c r="QXS30" s="371"/>
      <c r="QXT30" s="371"/>
      <c r="QXU30" s="371"/>
      <c r="QXV30" s="371"/>
      <c r="QXW30" s="371"/>
      <c r="QXX30" s="371"/>
      <c r="QXY30" s="371"/>
      <c r="QXZ30" s="371"/>
      <c r="QYA30" s="371"/>
      <c r="QYB30" s="371"/>
      <c r="QYC30" s="371"/>
      <c r="QYD30" s="371"/>
      <c r="QYE30" s="371"/>
      <c r="QYF30" s="371"/>
      <c r="QYG30" s="371"/>
      <c r="QYH30" s="371"/>
      <c r="QYI30" s="382"/>
      <c r="QYM30" s="371"/>
      <c r="QYN30" s="371"/>
      <c r="QYO30" s="371"/>
      <c r="QYP30" s="371"/>
      <c r="QYQ30" s="371"/>
      <c r="QYR30" s="371"/>
      <c r="QYS30" s="371"/>
      <c r="QYT30" s="371"/>
      <c r="QYU30" s="371"/>
      <c r="QYV30" s="371"/>
      <c r="QYW30" s="371"/>
      <c r="QYX30" s="371"/>
      <c r="QYY30" s="371"/>
      <c r="QYZ30" s="371"/>
      <c r="QZA30" s="371"/>
      <c r="QZB30" s="371"/>
      <c r="QZC30" s="371"/>
      <c r="QZD30" s="371"/>
      <c r="QZE30" s="371"/>
      <c r="QZF30" s="371"/>
      <c r="QZG30" s="371"/>
      <c r="QZH30" s="371"/>
      <c r="QZI30" s="371"/>
      <c r="QZJ30" s="371"/>
      <c r="QZK30" s="371"/>
      <c r="QZL30" s="371"/>
      <c r="QZM30" s="382"/>
      <c r="QZQ30" s="371"/>
      <c r="QZR30" s="371"/>
      <c r="QZS30" s="371"/>
      <c r="QZT30" s="371"/>
      <c r="QZU30" s="371"/>
      <c r="QZV30" s="371"/>
      <c r="QZW30" s="371"/>
      <c r="QZX30" s="371"/>
      <c r="QZY30" s="371"/>
      <c r="QZZ30" s="371"/>
      <c r="RAA30" s="371"/>
      <c r="RAB30" s="371"/>
      <c r="RAC30" s="371"/>
      <c r="RAD30" s="371"/>
      <c r="RAE30" s="371"/>
      <c r="RAF30" s="371"/>
      <c r="RAG30" s="371"/>
      <c r="RAH30" s="371"/>
      <c r="RAI30" s="371"/>
      <c r="RAJ30" s="371"/>
      <c r="RAK30" s="371"/>
      <c r="RAL30" s="371"/>
      <c r="RAM30" s="371"/>
      <c r="RAN30" s="371"/>
      <c r="RAO30" s="371"/>
      <c r="RAP30" s="371"/>
      <c r="RAQ30" s="382"/>
      <c r="RAU30" s="371"/>
      <c r="RAV30" s="371"/>
      <c r="RAW30" s="371"/>
      <c r="RAX30" s="371"/>
      <c r="RAY30" s="371"/>
      <c r="RAZ30" s="371"/>
      <c r="RBA30" s="371"/>
      <c r="RBB30" s="371"/>
      <c r="RBC30" s="371"/>
      <c r="RBD30" s="371"/>
      <c r="RBE30" s="371"/>
      <c r="RBF30" s="371"/>
      <c r="RBG30" s="371"/>
      <c r="RBH30" s="371"/>
      <c r="RBI30" s="371"/>
      <c r="RBJ30" s="371"/>
      <c r="RBK30" s="371"/>
      <c r="RBL30" s="371"/>
      <c r="RBM30" s="371"/>
      <c r="RBN30" s="371"/>
      <c r="RBO30" s="371"/>
      <c r="RBP30" s="371"/>
      <c r="RBQ30" s="371"/>
      <c r="RBR30" s="371"/>
      <c r="RBS30" s="371"/>
      <c r="RBT30" s="371"/>
      <c r="RBU30" s="382"/>
      <c r="RBY30" s="371"/>
      <c r="RBZ30" s="371"/>
      <c r="RCA30" s="371"/>
      <c r="RCB30" s="371"/>
      <c r="RCC30" s="371"/>
      <c r="RCD30" s="371"/>
      <c r="RCE30" s="371"/>
      <c r="RCF30" s="371"/>
      <c r="RCG30" s="371"/>
      <c r="RCH30" s="371"/>
      <c r="RCI30" s="371"/>
      <c r="RCJ30" s="371"/>
      <c r="RCK30" s="371"/>
      <c r="RCL30" s="371"/>
      <c r="RCM30" s="371"/>
      <c r="RCN30" s="371"/>
      <c r="RCO30" s="371"/>
      <c r="RCP30" s="371"/>
      <c r="RCQ30" s="371"/>
      <c r="RCR30" s="371"/>
      <c r="RCS30" s="371"/>
      <c r="RCT30" s="371"/>
      <c r="RCU30" s="371"/>
      <c r="RCV30" s="371"/>
      <c r="RCW30" s="371"/>
      <c r="RCX30" s="371"/>
      <c r="RCY30" s="382"/>
      <c r="RDC30" s="371"/>
      <c r="RDD30" s="371"/>
      <c r="RDE30" s="371"/>
      <c r="RDF30" s="371"/>
      <c r="RDG30" s="371"/>
      <c r="RDH30" s="371"/>
      <c r="RDI30" s="371"/>
      <c r="RDJ30" s="371"/>
      <c r="RDK30" s="371"/>
      <c r="RDL30" s="371"/>
      <c r="RDM30" s="371"/>
      <c r="RDN30" s="371"/>
      <c r="RDO30" s="371"/>
      <c r="RDP30" s="371"/>
      <c r="RDQ30" s="371"/>
      <c r="RDR30" s="371"/>
      <c r="RDS30" s="371"/>
      <c r="RDT30" s="371"/>
      <c r="RDU30" s="371"/>
      <c r="RDV30" s="371"/>
      <c r="RDW30" s="371"/>
      <c r="RDX30" s="371"/>
      <c r="RDY30" s="371"/>
      <c r="RDZ30" s="371"/>
      <c r="REA30" s="371"/>
      <c r="REB30" s="371"/>
      <c r="REC30" s="382"/>
      <c r="REG30" s="371"/>
      <c r="REH30" s="371"/>
      <c r="REI30" s="371"/>
      <c r="REJ30" s="371"/>
      <c r="REK30" s="371"/>
      <c r="REL30" s="371"/>
      <c r="REM30" s="371"/>
      <c r="REN30" s="371"/>
      <c r="REO30" s="371"/>
      <c r="REP30" s="371"/>
      <c r="REQ30" s="371"/>
      <c r="RER30" s="371"/>
      <c r="RES30" s="371"/>
      <c r="RET30" s="371"/>
      <c r="REU30" s="371"/>
      <c r="REV30" s="371"/>
      <c r="REW30" s="371"/>
      <c r="REX30" s="371"/>
      <c r="REY30" s="371"/>
      <c r="REZ30" s="371"/>
      <c r="RFA30" s="371"/>
      <c r="RFB30" s="371"/>
      <c r="RFC30" s="371"/>
      <c r="RFD30" s="371"/>
      <c r="RFE30" s="371"/>
      <c r="RFF30" s="371"/>
      <c r="RFG30" s="382"/>
      <c r="RFK30" s="371"/>
      <c r="RFL30" s="371"/>
      <c r="RFM30" s="371"/>
      <c r="RFN30" s="371"/>
      <c r="RFO30" s="371"/>
      <c r="RFP30" s="371"/>
      <c r="RFQ30" s="371"/>
      <c r="RFR30" s="371"/>
      <c r="RFS30" s="371"/>
      <c r="RFT30" s="371"/>
      <c r="RFU30" s="371"/>
      <c r="RFV30" s="371"/>
      <c r="RFW30" s="371"/>
      <c r="RFX30" s="371"/>
      <c r="RFY30" s="371"/>
      <c r="RFZ30" s="371"/>
      <c r="RGA30" s="371"/>
      <c r="RGB30" s="371"/>
      <c r="RGC30" s="371"/>
      <c r="RGD30" s="371"/>
      <c r="RGE30" s="371"/>
      <c r="RGF30" s="371"/>
      <c r="RGG30" s="371"/>
      <c r="RGH30" s="371"/>
      <c r="RGI30" s="371"/>
      <c r="RGJ30" s="371"/>
      <c r="RGK30" s="382"/>
      <c r="RGO30" s="371"/>
      <c r="RGP30" s="371"/>
      <c r="RGQ30" s="371"/>
      <c r="RGR30" s="371"/>
      <c r="RGS30" s="371"/>
      <c r="RGT30" s="371"/>
      <c r="RGU30" s="371"/>
      <c r="RGV30" s="371"/>
      <c r="RGW30" s="371"/>
      <c r="RGX30" s="371"/>
      <c r="RGY30" s="371"/>
      <c r="RGZ30" s="371"/>
      <c r="RHA30" s="371"/>
      <c r="RHB30" s="371"/>
      <c r="RHC30" s="371"/>
      <c r="RHD30" s="371"/>
      <c r="RHE30" s="371"/>
      <c r="RHF30" s="371"/>
      <c r="RHG30" s="371"/>
      <c r="RHH30" s="371"/>
      <c r="RHI30" s="371"/>
      <c r="RHJ30" s="371"/>
      <c r="RHK30" s="371"/>
      <c r="RHL30" s="371"/>
      <c r="RHM30" s="371"/>
      <c r="RHN30" s="371"/>
      <c r="RHO30" s="382"/>
      <c r="RHS30" s="371"/>
      <c r="RHT30" s="371"/>
      <c r="RHU30" s="371"/>
      <c r="RHV30" s="371"/>
      <c r="RHW30" s="371"/>
      <c r="RHX30" s="371"/>
      <c r="RHY30" s="371"/>
      <c r="RHZ30" s="371"/>
      <c r="RIA30" s="371"/>
      <c r="RIB30" s="371"/>
      <c r="RIC30" s="371"/>
      <c r="RID30" s="371"/>
      <c r="RIE30" s="371"/>
      <c r="RIF30" s="371"/>
      <c r="RIG30" s="371"/>
      <c r="RIH30" s="371"/>
      <c r="RII30" s="371"/>
      <c r="RIJ30" s="371"/>
      <c r="RIK30" s="371"/>
      <c r="RIL30" s="371"/>
      <c r="RIM30" s="371"/>
      <c r="RIN30" s="371"/>
      <c r="RIO30" s="371"/>
      <c r="RIP30" s="371"/>
      <c r="RIQ30" s="371"/>
      <c r="RIR30" s="371"/>
      <c r="RIS30" s="382"/>
      <c r="RIW30" s="371"/>
      <c r="RIX30" s="371"/>
      <c r="RIY30" s="371"/>
      <c r="RIZ30" s="371"/>
      <c r="RJA30" s="371"/>
      <c r="RJB30" s="371"/>
      <c r="RJC30" s="371"/>
      <c r="RJD30" s="371"/>
      <c r="RJE30" s="371"/>
      <c r="RJF30" s="371"/>
      <c r="RJG30" s="371"/>
      <c r="RJH30" s="371"/>
      <c r="RJI30" s="371"/>
      <c r="RJJ30" s="371"/>
      <c r="RJK30" s="371"/>
      <c r="RJL30" s="371"/>
      <c r="RJM30" s="371"/>
      <c r="RJN30" s="371"/>
      <c r="RJO30" s="371"/>
      <c r="RJP30" s="371"/>
      <c r="RJQ30" s="371"/>
      <c r="RJR30" s="371"/>
      <c r="RJS30" s="371"/>
      <c r="RJT30" s="371"/>
      <c r="RJU30" s="371"/>
      <c r="RJV30" s="371"/>
      <c r="RJW30" s="382"/>
      <c r="RKA30" s="371"/>
      <c r="RKB30" s="371"/>
      <c r="RKC30" s="371"/>
      <c r="RKD30" s="371"/>
      <c r="RKE30" s="371"/>
      <c r="RKF30" s="371"/>
      <c r="RKG30" s="371"/>
      <c r="RKH30" s="371"/>
      <c r="RKI30" s="371"/>
      <c r="RKJ30" s="371"/>
      <c r="RKK30" s="371"/>
      <c r="RKL30" s="371"/>
      <c r="RKM30" s="371"/>
      <c r="RKN30" s="371"/>
      <c r="RKO30" s="371"/>
      <c r="RKP30" s="371"/>
      <c r="RKQ30" s="371"/>
      <c r="RKR30" s="371"/>
      <c r="RKS30" s="371"/>
      <c r="RKT30" s="371"/>
      <c r="RKU30" s="371"/>
      <c r="RKV30" s="371"/>
      <c r="RKW30" s="371"/>
      <c r="RKX30" s="371"/>
      <c r="RKY30" s="371"/>
      <c r="RKZ30" s="371"/>
      <c r="RLA30" s="382"/>
      <c r="RLE30" s="371"/>
      <c r="RLF30" s="371"/>
      <c r="RLG30" s="371"/>
      <c r="RLH30" s="371"/>
      <c r="RLI30" s="371"/>
      <c r="RLJ30" s="371"/>
      <c r="RLK30" s="371"/>
      <c r="RLL30" s="371"/>
      <c r="RLM30" s="371"/>
      <c r="RLN30" s="371"/>
      <c r="RLO30" s="371"/>
      <c r="RLP30" s="371"/>
      <c r="RLQ30" s="371"/>
      <c r="RLR30" s="371"/>
      <c r="RLS30" s="371"/>
      <c r="RLT30" s="371"/>
      <c r="RLU30" s="371"/>
      <c r="RLV30" s="371"/>
      <c r="RLW30" s="371"/>
      <c r="RLX30" s="371"/>
      <c r="RLY30" s="371"/>
      <c r="RLZ30" s="371"/>
      <c r="RMA30" s="371"/>
      <c r="RMB30" s="371"/>
      <c r="RMC30" s="371"/>
      <c r="RMD30" s="371"/>
      <c r="RME30" s="382"/>
      <c r="RMI30" s="371"/>
      <c r="RMJ30" s="371"/>
      <c r="RMK30" s="371"/>
      <c r="RML30" s="371"/>
      <c r="RMM30" s="371"/>
      <c r="RMN30" s="371"/>
      <c r="RMO30" s="371"/>
      <c r="RMP30" s="371"/>
      <c r="RMQ30" s="371"/>
      <c r="RMR30" s="371"/>
      <c r="RMS30" s="371"/>
      <c r="RMT30" s="371"/>
      <c r="RMU30" s="371"/>
      <c r="RMV30" s="371"/>
      <c r="RMW30" s="371"/>
      <c r="RMX30" s="371"/>
      <c r="RMY30" s="371"/>
      <c r="RMZ30" s="371"/>
      <c r="RNA30" s="371"/>
      <c r="RNB30" s="371"/>
      <c r="RNC30" s="371"/>
      <c r="RND30" s="371"/>
      <c r="RNE30" s="371"/>
      <c r="RNF30" s="371"/>
      <c r="RNG30" s="371"/>
      <c r="RNH30" s="371"/>
      <c r="RNI30" s="382"/>
      <c r="RNM30" s="371"/>
      <c r="RNN30" s="371"/>
      <c r="RNO30" s="371"/>
      <c r="RNP30" s="371"/>
      <c r="RNQ30" s="371"/>
      <c r="RNR30" s="371"/>
      <c r="RNS30" s="371"/>
      <c r="RNT30" s="371"/>
      <c r="RNU30" s="371"/>
      <c r="RNV30" s="371"/>
      <c r="RNW30" s="371"/>
      <c r="RNX30" s="371"/>
      <c r="RNY30" s="371"/>
      <c r="RNZ30" s="371"/>
      <c r="ROA30" s="371"/>
      <c r="ROB30" s="371"/>
      <c r="ROC30" s="371"/>
      <c r="ROD30" s="371"/>
      <c r="ROE30" s="371"/>
      <c r="ROF30" s="371"/>
      <c r="ROG30" s="371"/>
      <c r="ROH30" s="371"/>
      <c r="ROI30" s="371"/>
      <c r="ROJ30" s="371"/>
      <c r="ROK30" s="371"/>
      <c r="ROL30" s="371"/>
      <c r="ROM30" s="382"/>
      <c r="ROQ30" s="371"/>
      <c r="ROR30" s="371"/>
      <c r="ROS30" s="371"/>
      <c r="ROT30" s="371"/>
      <c r="ROU30" s="371"/>
      <c r="ROV30" s="371"/>
      <c r="ROW30" s="371"/>
      <c r="ROX30" s="371"/>
      <c r="ROY30" s="371"/>
      <c r="ROZ30" s="371"/>
      <c r="RPA30" s="371"/>
      <c r="RPB30" s="371"/>
      <c r="RPC30" s="371"/>
      <c r="RPD30" s="371"/>
      <c r="RPE30" s="371"/>
      <c r="RPF30" s="371"/>
      <c r="RPG30" s="371"/>
      <c r="RPH30" s="371"/>
      <c r="RPI30" s="371"/>
      <c r="RPJ30" s="371"/>
      <c r="RPK30" s="371"/>
      <c r="RPL30" s="371"/>
      <c r="RPM30" s="371"/>
      <c r="RPN30" s="371"/>
      <c r="RPO30" s="371"/>
      <c r="RPP30" s="371"/>
      <c r="RPQ30" s="382"/>
      <c r="RPU30" s="371"/>
      <c r="RPV30" s="371"/>
      <c r="RPW30" s="371"/>
      <c r="RPX30" s="371"/>
      <c r="RPY30" s="371"/>
      <c r="RPZ30" s="371"/>
      <c r="RQA30" s="371"/>
      <c r="RQB30" s="371"/>
      <c r="RQC30" s="371"/>
      <c r="RQD30" s="371"/>
      <c r="RQE30" s="371"/>
      <c r="RQF30" s="371"/>
      <c r="RQG30" s="371"/>
      <c r="RQH30" s="371"/>
      <c r="RQI30" s="371"/>
      <c r="RQJ30" s="371"/>
      <c r="RQK30" s="371"/>
      <c r="RQL30" s="371"/>
      <c r="RQM30" s="371"/>
      <c r="RQN30" s="371"/>
      <c r="RQO30" s="371"/>
      <c r="RQP30" s="371"/>
      <c r="RQQ30" s="371"/>
      <c r="RQR30" s="371"/>
      <c r="RQS30" s="371"/>
      <c r="RQT30" s="371"/>
      <c r="RQU30" s="382"/>
      <c r="RQY30" s="371"/>
      <c r="RQZ30" s="371"/>
      <c r="RRA30" s="371"/>
      <c r="RRB30" s="371"/>
      <c r="RRC30" s="371"/>
      <c r="RRD30" s="371"/>
      <c r="RRE30" s="371"/>
      <c r="RRF30" s="371"/>
      <c r="RRG30" s="371"/>
      <c r="RRH30" s="371"/>
      <c r="RRI30" s="371"/>
      <c r="RRJ30" s="371"/>
      <c r="RRK30" s="371"/>
      <c r="RRL30" s="371"/>
      <c r="RRM30" s="371"/>
      <c r="RRN30" s="371"/>
      <c r="RRO30" s="371"/>
      <c r="RRP30" s="371"/>
      <c r="RRQ30" s="371"/>
      <c r="RRR30" s="371"/>
      <c r="RRS30" s="371"/>
      <c r="RRT30" s="371"/>
      <c r="RRU30" s="371"/>
      <c r="RRV30" s="371"/>
      <c r="RRW30" s="371"/>
      <c r="RRX30" s="371"/>
      <c r="RRY30" s="382"/>
      <c r="RSC30" s="371"/>
      <c r="RSD30" s="371"/>
      <c r="RSE30" s="371"/>
      <c r="RSF30" s="371"/>
      <c r="RSG30" s="371"/>
      <c r="RSH30" s="371"/>
      <c r="RSI30" s="371"/>
      <c r="RSJ30" s="371"/>
      <c r="RSK30" s="371"/>
      <c r="RSL30" s="371"/>
      <c r="RSM30" s="371"/>
      <c r="RSN30" s="371"/>
      <c r="RSO30" s="371"/>
      <c r="RSP30" s="371"/>
      <c r="RSQ30" s="371"/>
      <c r="RSR30" s="371"/>
      <c r="RSS30" s="371"/>
      <c r="RST30" s="371"/>
      <c r="RSU30" s="371"/>
      <c r="RSV30" s="371"/>
      <c r="RSW30" s="371"/>
      <c r="RSX30" s="371"/>
      <c r="RSY30" s="371"/>
      <c r="RSZ30" s="371"/>
      <c r="RTA30" s="371"/>
      <c r="RTB30" s="371"/>
      <c r="RTC30" s="382"/>
      <c r="RTG30" s="371"/>
      <c r="RTH30" s="371"/>
      <c r="RTI30" s="371"/>
      <c r="RTJ30" s="371"/>
      <c r="RTK30" s="371"/>
      <c r="RTL30" s="371"/>
      <c r="RTM30" s="371"/>
      <c r="RTN30" s="371"/>
      <c r="RTO30" s="371"/>
      <c r="RTP30" s="371"/>
      <c r="RTQ30" s="371"/>
      <c r="RTR30" s="371"/>
      <c r="RTS30" s="371"/>
      <c r="RTT30" s="371"/>
      <c r="RTU30" s="371"/>
      <c r="RTV30" s="371"/>
      <c r="RTW30" s="371"/>
      <c r="RTX30" s="371"/>
      <c r="RTY30" s="371"/>
      <c r="RTZ30" s="371"/>
      <c r="RUA30" s="371"/>
      <c r="RUB30" s="371"/>
      <c r="RUC30" s="371"/>
      <c r="RUD30" s="371"/>
      <c r="RUE30" s="371"/>
      <c r="RUF30" s="371"/>
      <c r="RUG30" s="382"/>
      <c r="RUK30" s="371"/>
      <c r="RUL30" s="371"/>
      <c r="RUM30" s="371"/>
      <c r="RUN30" s="371"/>
      <c r="RUO30" s="371"/>
      <c r="RUP30" s="371"/>
      <c r="RUQ30" s="371"/>
      <c r="RUR30" s="371"/>
      <c r="RUS30" s="371"/>
      <c r="RUT30" s="371"/>
      <c r="RUU30" s="371"/>
      <c r="RUV30" s="371"/>
      <c r="RUW30" s="371"/>
      <c r="RUX30" s="371"/>
      <c r="RUY30" s="371"/>
      <c r="RUZ30" s="371"/>
      <c r="RVA30" s="371"/>
      <c r="RVB30" s="371"/>
      <c r="RVC30" s="371"/>
      <c r="RVD30" s="371"/>
      <c r="RVE30" s="371"/>
      <c r="RVF30" s="371"/>
      <c r="RVG30" s="371"/>
      <c r="RVH30" s="371"/>
      <c r="RVI30" s="371"/>
      <c r="RVJ30" s="371"/>
      <c r="RVK30" s="382"/>
      <c r="RVO30" s="371"/>
      <c r="RVP30" s="371"/>
      <c r="RVQ30" s="371"/>
      <c r="RVR30" s="371"/>
      <c r="RVS30" s="371"/>
      <c r="RVT30" s="371"/>
      <c r="RVU30" s="371"/>
      <c r="RVV30" s="371"/>
      <c r="RVW30" s="371"/>
      <c r="RVX30" s="371"/>
      <c r="RVY30" s="371"/>
      <c r="RVZ30" s="371"/>
      <c r="RWA30" s="371"/>
      <c r="RWB30" s="371"/>
      <c r="RWC30" s="371"/>
      <c r="RWD30" s="371"/>
      <c r="RWE30" s="371"/>
      <c r="RWF30" s="371"/>
      <c r="RWG30" s="371"/>
      <c r="RWH30" s="371"/>
      <c r="RWI30" s="371"/>
      <c r="RWJ30" s="371"/>
      <c r="RWK30" s="371"/>
      <c r="RWL30" s="371"/>
      <c r="RWM30" s="371"/>
      <c r="RWN30" s="371"/>
      <c r="RWO30" s="382"/>
      <c r="RWS30" s="371"/>
      <c r="RWT30" s="371"/>
      <c r="RWU30" s="371"/>
      <c r="RWV30" s="371"/>
      <c r="RWW30" s="371"/>
      <c r="RWX30" s="371"/>
      <c r="RWY30" s="371"/>
      <c r="RWZ30" s="371"/>
      <c r="RXA30" s="371"/>
      <c r="RXB30" s="371"/>
      <c r="RXC30" s="371"/>
      <c r="RXD30" s="371"/>
      <c r="RXE30" s="371"/>
      <c r="RXF30" s="371"/>
      <c r="RXG30" s="371"/>
      <c r="RXH30" s="371"/>
      <c r="RXI30" s="371"/>
      <c r="RXJ30" s="371"/>
      <c r="RXK30" s="371"/>
      <c r="RXL30" s="371"/>
      <c r="RXM30" s="371"/>
      <c r="RXN30" s="371"/>
      <c r="RXO30" s="371"/>
      <c r="RXP30" s="371"/>
      <c r="RXQ30" s="371"/>
      <c r="RXR30" s="371"/>
      <c r="RXS30" s="382"/>
      <c r="RXW30" s="371"/>
      <c r="RXX30" s="371"/>
      <c r="RXY30" s="371"/>
      <c r="RXZ30" s="371"/>
      <c r="RYA30" s="371"/>
      <c r="RYB30" s="371"/>
      <c r="RYC30" s="371"/>
      <c r="RYD30" s="371"/>
      <c r="RYE30" s="371"/>
      <c r="RYF30" s="371"/>
      <c r="RYG30" s="371"/>
      <c r="RYH30" s="371"/>
      <c r="RYI30" s="371"/>
      <c r="RYJ30" s="371"/>
      <c r="RYK30" s="371"/>
      <c r="RYL30" s="371"/>
      <c r="RYM30" s="371"/>
      <c r="RYN30" s="371"/>
      <c r="RYO30" s="371"/>
      <c r="RYP30" s="371"/>
      <c r="RYQ30" s="371"/>
      <c r="RYR30" s="371"/>
      <c r="RYS30" s="371"/>
      <c r="RYT30" s="371"/>
      <c r="RYU30" s="371"/>
      <c r="RYV30" s="371"/>
      <c r="RYW30" s="382"/>
      <c r="RZA30" s="371"/>
      <c r="RZB30" s="371"/>
      <c r="RZC30" s="371"/>
      <c r="RZD30" s="371"/>
      <c r="RZE30" s="371"/>
      <c r="RZF30" s="371"/>
      <c r="RZG30" s="371"/>
      <c r="RZH30" s="371"/>
      <c r="RZI30" s="371"/>
      <c r="RZJ30" s="371"/>
      <c r="RZK30" s="371"/>
      <c r="RZL30" s="371"/>
      <c r="RZM30" s="371"/>
      <c r="RZN30" s="371"/>
      <c r="RZO30" s="371"/>
      <c r="RZP30" s="371"/>
      <c r="RZQ30" s="371"/>
      <c r="RZR30" s="371"/>
      <c r="RZS30" s="371"/>
      <c r="RZT30" s="371"/>
      <c r="RZU30" s="371"/>
      <c r="RZV30" s="371"/>
      <c r="RZW30" s="371"/>
      <c r="RZX30" s="371"/>
      <c r="RZY30" s="371"/>
      <c r="RZZ30" s="371"/>
      <c r="SAA30" s="382"/>
      <c r="SAE30" s="371"/>
      <c r="SAF30" s="371"/>
      <c r="SAG30" s="371"/>
      <c r="SAH30" s="371"/>
      <c r="SAI30" s="371"/>
      <c r="SAJ30" s="371"/>
      <c r="SAK30" s="371"/>
      <c r="SAL30" s="371"/>
      <c r="SAM30" s="371"/>
      <c r="SAN30" s="371"/>
      <c r="SAO30" s="371"/>
      <c r="SAP30" s="371"/>
      <c r="SAQ30" s="371"/>
      <c r="SAR30" s="371"/>
      <c r="SAS30" s="371"/>
      <c r="SAT30" s="371"/>
      <c r="SAU30" s="371"/>
      <c r="SAV30" s="371"/>
      <c r="SAW30" s="371"/>
      <c r="SAX30" s="371"/>
      <c r="SAY30" s="371"/>
      <c r="SAZ30" s="371"/>
      <c r="SBA30" s="371"/>
      <c r="SBB30" s="371"/>
      <c r="SBC30" s="371"/>
      <c r="SBD30" s="371"/>
      <c r="SBE30" s="382"/>
      <c r="SBI30" s="371"/>
      <c r="SBJ30" s="371"/>
      <c r="SBK30" s="371"/>
      <c r="SBL30" s="371"/>
      <c r="SBM30" s="371"/>
      <c r="SBN30" s="371"/>
      <c r="SBO30" s="371"/>
      <c r="SBP30" s="371"/>
      <c r="SBQ30" s="371"/>
      <c r="SBR30" s="371"/>
      <c r="SBS30" s="371"/>
      <c r="SBT30" s="371"/>
      <c r="SBU30" s="371"/>
      <c r="SBV30" s="371"/>
      <c r="SBW30" s="371"/>
      <c r="SBX30" s="371"/>
      <c r="SBY30" s="371"/>
      <c r="SBZ30" s="371"/>
      <c r="SCA30" s="371"/>
      <c r="SCB30" s="371"/>
      <c r="SCC30" s="371"/>
      <c r="SCD30" s="371"/>
      <c r="SCE30" s="371"/>
      <c r="SCF30" s="371"/>
      <c r="SCG30" s="371"/>
      <c r="SCH30" s="371"/>
      <c r="SCI30" s="382"/>
      <c r="SCM30" s="371"/>
      <c r="SCN30" s="371"/>
      <c r="SCO30" s="371"/>
      <c r="SCP30" s="371"/>
      <c r="SCQ30" s="371"/>
      <c r="SCR30" s="371"/>
      <c r="SCS30" s="371"/>
      <c r="SCT30" s="371"/>
      <c r="SCU30" s="371"/>
      <c r="SCV30" s="371"/>
      <c r="SCW30" s="371"/>
      <c r="SCX30" s="371"/>
      <c r="SCY30" s="371"/>
      <c r="SCZ30" s="371"/>
      <c r="SDA30" s="371"/>
      <c r="SDB30" s="371"/>
      <c r="SDC30" s="371"/>
      <c r="SDD30" s="371"/>
      <c r="SDE30" s="371"/>
      <c r="SDF30" s="371"/>
      <c r="SDG30" s="371"/>
      <c r="SDH30" s="371"/>
      <c r="SDI30" s="371"/>
      <c r="SDJ30" s="371"/>
      <c r="SDK30" s="371"/>
      <c r="SDL30" s="371"/>
      <c r="SDM30" s="382"/>
      <c r="SDQ30" s="371"/>
      <c r="SDR30" s="371"/>
      <c r="SDS30" s="371"/>
      <c r="SDT30" s="371"/>
      <c r="SDU30" s="371"/>
      <c r="SDV30" s="371"/>
      <c r="SDW30" s="371"/>
      <c r="SDX30" s="371"/>
      <c r="SDY30" s="371"/>
      <c r="SDZ30" s="371"/>
      <c r="SEA30" s="371"/>
      <c r="SEB30" s="371"/>
      <c r="SEC30" s="371"/>
      <c r="SED30" s="371"/>
      <c r="SEE30" s="371"/>
      <c r="SEF30" s="371"/>
      <c r="SEG30" s="371"/>
      <c r="SEH30" s="371"/>
      <c r="SEI30" s="371"/>
      <c r="SEJ30" s="371"/>
      <c r="SEK30" s="371"/>
      <c r="SEL30" s="371"/>
      <c r="SEM30" s="371"/>
      <c r="SEN30" s="371"/>
      <c r="SEO30" s="371"/>
      <c r="SEP30" s="371"/>
      <c r="SEQ30" s="382"/>
      <c r="SEU30" s="371"/>
      <c r="SEV30" s="371"/>
      <c r="SEW30" s="371"/>
      <c r="SEX30" s="371"/>
      <c r="SEY30" s="371"/>
      <c r="SEZ30" s="371"/>
      <c r="SFA30" s="371"/>
      <c r="SFB30" s="371"/>
      <c r="SFC30" s="371"/>
      <c r="SFD30" s="371"/>
      <c r="SFE30" s="371"/>
      <c r="SFF30" s="371"/>
      <c r="SFG30" s="371"/>
      <c r="SFH30" s="371"/>
      <c r="SFI30" s="371"/>
      <c r="SFJ30" s="371"/>
      <c r="SFK30" s="371"/>
      <c r="SFL30" s="371"/>
      <c r="SFM30" s="371"/>
      <c r="SFN30" s="371"/>
      <c r="SFO30" s="371"/>
      <c r="SFP30" s="371"/>
      <c r="SFQ30" s="371"/>
      <c r="SFR30" s="371"/>
      <c r="SFS30" s="371"/>
      <c r="SFT30" s="371"/>
      <c r="SFU30" s="382"/>
      <c r="SFY30" s="371"/>
      <c r="SFZ30" s="371"/>
      <c r="SGA30" s="371"/>
      <c r="SGB30" s="371"/>
      <c r="SGC30" s="371"/>
      <c r="SGD30" s="371"/>
      <c r="SGE30" s="371"/>
      <c r="SGF30" s="371"/>
      <c r="SGG30" s="371"/>
      <c r="SGH30" s="371"/>
      <c r="SGI30" s="371"/>
      <c r="SGJ30" s="371"/>
      <c r="SGK30" s="371"/>
      <c r="SGL30" s="371"/>
      <c r="SGM30" s="371"/>
      <c r="SGN30" s="371"/>
      <c r="SGO30" s="371"/>
      <c r="SGP30" s="371"/>
      <c r="SGQ30" s="371"/>
      <c r="SGR30" s="371"/>
      <c r="SGS30" s="371"/>
      <c r="SGT30" s="371"/>
      <c r="SGU30" s="371"/>
      <c r="SGV30" s="371"/>
      <c r="SGW30" s="371"/>
      <c r="SGX30" s="371"/>
      <c r="SGY30" s="382"/>
      <c r="SHC30" s="371"/>
      <c r="SHD30" s="371"/>
      <c r="SHE30" s="371"/>
      <c r="SHF30" s="371"/>
      <c r="SHG30" s="371"/>
      <c r="SHH30" s="371"/>
      <c r="SHI30" s="371"/>
      <c r="SHJ30" s="371"/>
      <c r="SHK30" s="371"/>
      <c r="SHL30" s="371"/>
      <c r="SHM30" s="371"/>
      <c r="SHN30" s="371"/>
      <c r="SHO30" s="371"/>
      <c r="SHP30" s="371"/>
      <c r="SHQ30" s="371"/>
      <c r="SHR30" s="371"/>
      <c r="SHS30" s="371"/>
      <c r="SHT30" s="371"/>
      <c r="SHU30" s="371"/>
      <c r="SHV30" s="371"/>
      <c r="SHW30" s="371"/>
      <c r="SHX30" s="371"/>
      <c r="SHY30" s="371"/>
      <c r="SHZ30" s="371"/>
      <c r="SIA30" s="371"/>
      <c r="SIB30" s="371"/>
      <c r="SIC30" s="382"/>
      <c r="SIG30" s="371"/>
      <c r="SIH30" s="371"/>
      <c r="SII30" s="371"/>
      <c r="SIJ30" s="371"/>
      <c r="SIK30" s="371"/>
      <c r="SIL30" s="371"/>
      <c r="SIM30" s="371"/>
      <c r="SIN30" s="371"/>
      <c r="SIO30" s="371"/>
      <c r="SIP30" s="371"/>
      <c r="SIQ30" s="371"/>
      <c r="SIR30" s="371"/>
      <c r="SIS30" s="371"/>
      <c r="SIT30" s="371"/>
      <c r="SIU30" s="371"/>
      <c r="SIV30" s="371"/>
      <c r="SIW30" s="371"/>
      <c r="SIX30" s="371"/>
      <c r="SIY30" s="371"/>
      <c r="SIZ30" s="371"/>
      <c r="SJA30" s="371"/>
      <c r="SJB30" s="371"/>
      <c r="SJC30" s="371"/>
      <c r="SJD30" s="371"/>
      <c r="SJE30" s="371"/>
      <c r="SJF30" s="371"/>
      <c r="SJG30" s="382"/>
      <c r="SJK30" s="371"/>
      <c r="SJL30" s="371"/>
      <c r="SJM30" s="371"/>
      <c r="SJN30" s="371"/>
      <c r="SJO30" s="371"/>
      <c r="SJP30" s="371"/>
      <c r="SJQ30" s="371"/>
      <c r="SJR30" s="371"/>
      <c r="SJS30" s="371"/>
      <c r="SJT30" s="371"/>
      <c r="SJU30" s="371"/>
      <c r="SJV30" s="371"/>
      <c r="SJW30" s="371"/>
      <c r="SJX30" s="371"/>
      <c r="SJY30" s="371"/>
      <c r="SJZ30" s="371"/>
      <c r="SKA30" s="371"/>
      <c r="SKB30" s="371"/>
      <c r="SKC30" s="371"/>
      <c r="SKD30" s="371"/>
      <c r="SKE30" s="371"/>
      <c r="SKF30" s="371"/>
      <c r="SKG30" s="371"/>
      <c r="SKH30" s="371"/>
      <c r="SKI30" s="371"/>
      <c r="SKJ30" s="371"/>
      <c r="SKK30" s="382"/>
      <c r="SKO30" s="371"/>
      <c r="SKP30" s="371"/>
      <c r="SKQ30" s="371"/>
      <c r="SKR30" s="371"/>
      <c r="SKS30" s="371"/>
      <c r="SKT30" s="371"/>
      <c r="SKU30" s="371"/>
      <c r="SKV30" s="371"/>
      <c r="SKW30" s="371"/>
      <c r="SKX30" s="371"/>
      <c r="SKY30" s="371"/>
      <c r="SKZ30" s="371"/>
      <c r="SLA30" s="371"/>
      <c r="SLB30" s="371"/>
      <c r="SLC30" s="371"/>
      <c r="SLD30" s="371"/>
      <c r="SLE30" s="371"/>
      <c r="SLF30" s="371"/>
      <c r="SLG30" s="371"/>
      <c r="SLH30" s="371"/>
      <c r="SLI30" s="371"/>
      <c r="SLJ30" s="371"/>
      <c r="SLK30" s="371"/>
      <c r="SLL30" s="371"/>
      <c r="SLM30" s="371"/>
      <c r="SLN30" s="371"/>
      <c r="SLO30" s="382"/>
      <c r="SLS30" s="371"/>
      <c r="SLT30" s="371"/>
      <c r="SLU30" s="371"/>
      <c r="SLV30" s="371"/>
      <c r="SLW30" s="371"/>
      <c r="SLX30" s="371"/>
      <c r="SLY30" s="371"/>
      <c r="SLZ30" s="371"/>
      <c r="SMA30" s="371"/>
      <c r="SMB30" s="371"/>
      <c r="SMC30" s="371"/>
      <c r="SMD30" s="371"/>
      <c r="SME30" s="371"/>
      <c r="SMF30" s="371"/>
      <c r="SMG30" s="371"/>
      <c r="SMH30" s="371"/>
      <c r="SMI30" s="371"/>
      <c r="SMJ30" s="371"/>
      <c r="SMK30" s="371"/>
      <c r="SML30" s="371"/>
      <c r="SMM30" s="371"/>
      <c r="SMN30" s="371"/>
      <c r="SMO30" s="371"/>
      <c r="SMP30" s="371"/>
      <c r="SMQ30" s="371"/>
      <c r="SMR30" s="371"/>
      <c r="SMS30" s="382"/>
      <c r="SMW30" s="371"/>
      <c r="SMX30" s="371"/>
      <c r="SMY30" s="371"/>
      <c r="SMZ30" s="371"/>
      <c r="SNA30" s="371"/>
      <c r="SNB30" s="371"/>
      <c r="SNC30" s="371"/>
      <c r="SND30" s="371"/>
      <c r="SNE30" s="371"/>
      <c r="SNF30" s="371"/>
      <c r="SNG30" s="371"/>
      <c r="SNH30" s="371"/>
      <c r="SNI30" s="371"/>
      <c r="SNJ30" s="371"/>
      <c r="SNK30" s="371"/>
      <c r="SNL30" s="371"/>
      <c r="SNM30" s="371"/>
      <c r="SNN30" s="371"/>
      <c r="SNO30" s="371"/>
      <c r="SNP30" s="371"/>
      <c r="SNQ30" s="371"/>
      <c r="SNR30" s="371"/>
      <c r="SNS30" s="371"/>
      <c r="SNT30" s="371"/>
      <c r="SNU30" s="371"/>
      <c r="SNV30" s="371"/>
      <c r="SNW30" s="382"/>
      <c r="SOA30" s="371"/>
      <c r="SOB30" s="371"/>
      <c r="SOC30" s="371"/>
      <c r="SOD30" s="371"/>
      <c r="SOE30" s="371"/>
      <c r="SOF30" s="371"/>
      <c r="SOG30" s="371"/>
      <c r="SOH30" s="371"/>
      <c r="SOI30" s="371"/>
      <c r="SOJ30" s="371"/>
      <c r="SOK30" s="371"/>
      <c r="SOL30" s="371"/>
      <c r="SOM30" s="371"/>
      <c r="SON30" s="371"/>
      <c r="SOO30" s="371"/>
      <c r="SOP30" s="371"/>
      <c r="SOQ30" s="371"/>
      <c r="SOR30" s="371"/>
      <c r="SOS30" s="371"/>
      <c r="SOT30" s="371"/>
      <c r="SOU30" s="371"/>
      <c r="SOV30" s="371"/>
      <c r="SOW30" s="371"/>
      <c r="SOX30" s="371"/>
      <c r="SOY30" s="371"/>
      <c r="SOZ30" s="371"/>
      <c r="SPA30" s="382"/>
      <c r="SPE30" s="371"/>
      <c r="SPF30" s="371"/>
      <c r="SPG30" s="371"/>
      <c r="SPH30" s="371"/>
      <c r="SPI30" s="371"/>
      <c r="SPJ30" s="371"/>
      <c r="SPK30" s="371"/>
      <c r="SPL30" s="371"/>
      <c r="SPM30" s="371"/>
      <c r="SPN30" s="371"/>
      <c r="SPO30" s="371"/>
      <c r="SPP30" s="371"/>
      <c r="SPQ30" s="371"/>
      <c r="SPR30" s="371"/>
      <c r="SPS30" s="371"/>
      <c r="SPT30" s="371"/>
      <c r="SPU30" s="371"/>
      <c r="SPV30" s="371"/>
      <c r="SPW30" s="371"/>
      <c r="SPX30" s="371"/>
      <c r="SPY30" s="371"/>
      <c r="SPZ30" s="371"/>
      <c r="SQA30" s="371"/>
      <c r="SQB30" s="371"/>
      <c r="SQC30" s="371"/>
      <c r="SQD30" s="371"/>
      <c r="SQE30" s="382"/>
      <c r="SQI30" s="371"/>
      <c r="SQJ30" s="371"/>
      <c r="SQK30" s="371"/>
      <c r="SQL30" s="371"/>
      <c r="SQM30" s="371"/>
      <c r="SQN30" s="371"/>
      <c r="SQO30" s="371"/>
      <c r="SQP30" s="371"/>
      <c r="SQQ30" s="371"/>
      <c r="SQR30" s="371"/>
      <c r="SQS30" s="371"/>
      <c r="SQT30" s="371"/>
      <c r="SQU30" s="371"/>
      <c r="SQV30" s="371"/>
      <c r="SQW30" s="371"/>
      <c r="SQX30" s="371"/>
      <c r="SQY30" s="371"/>
      <c r="SQZ30" s="371"/>
      <c r="SRA30" s="371"/>
      <c r="SRB30" s="371"/>
      <c r="SRC30" s="371"/>
      <c r="SRD30" s="371"/>
      <c r="SRE30" s="371"/>
      <c r="SRF30" s="371"/>
      <c r="SRG30" s="371"/>
      <c r="SRH30" s="371"/>
      <c r="SRI30" s="382"/>
      <c r="SRM30" s="371"/>
      <c r="SRN30" s="371"/>
      <c r="SRO30" s="371"/>
      <c r="SRP30" s="371"/>
      <c r="SRQ30" s="371"/>
      <c r="SRR30" s="371"/>
      <c r="SRS30" s="371"/>
      <c r="SRT30" s="371"/>
      <c r="SRU30" s="371"/>
      <c r="SRV30" s="371"/>
      <c r="SRW30" s="371"/>
      <c r="SRX30" s="371"/>
      <c r="SRY30" s="371"/>
      <c r="SRZ30" s="371"/>
      <c r="SSA30" s="371"/>
      <c r="SSB30" s="371"/>
      <c r="SSC30" s="371"/>
      <c r="SSD30" s="371"/>
      <c r="SSE30" s="371"/>
      <c r="SSF30" s="371"/>
      <c r="SSG30" s="371"/>
      <c r="SSH30" s="371"/>
      <c r="SSI30" s="371"/>
      <c r="SSJ30" s="371"/>
      <c r="SSK30" s="371"/>
      <c r="SSL30" s="371"/>
      <c r="SSM30" s="382"/>
      <c r="SSQ30" s="371"/>
      <c r="SSR30" s="371"/>
      <c r="SSS30" s="371"/>
      <c r="SST30" s="371"/>
      <c r="SSU30" s="371"/>
      <c r="SSV30" s="371"/>
      <c r="SSW30" s="371"/>
      <c r="SSX30" s="371"/>
      <c r="SSY30" s="371"/>
      <c r="SSZ30" s="371"/>
      <c r="STA30" s="371"/>
      <c r="STB30" s="371"/>
      <c r="STC30" s="371"/>
      <c r="STD30" s="371"/>
      <c r="STE30" s="371"/>
      <c r="STF30" s="371"/>
      <c r="STG30" s="371"/>
      <c r="STH30" s="371"/>
      <c r="STI30" s="371"/>
      <c r="STJ30" s="371"/>
      <c r="STK30" s="371"/>
      <c r="STL30" s="371"/>
      <c r="STM30" s="371"/>
      <c r="STN30" s="371"/>
      <c r="STO30" s="371"/>
      <c r="STP30" s="371"/>
      <c r="STQ30" s="382"/>
      <c r="STU30" s="371"/>
      <c r="STV30" s="371"/>
      <c r="STW30" s="371"/>
      <c r="STX30" s="371"/>
      <c r="STY30" s="371"/>
      <c r="STZ30" s="371"/>
      <c r="SUA30" s="371"/>
      <c r="SUB30" s="371"/>
      <c r="SUC30" s="371"/>
      <c r="SUD30" s="371"/>
      <c r="SUE30" s="371"/>
      <c r="SUF30" s="371"/>
      <c r="SUG30" s="371"/>
      <c r="SUH30" s="371"/>
      <c r="SUI30" s="371"/>
      <c r="SUJ30" s="371"/>
      <c r="SUK30" s="371"/>
      <c r="SUL30" s="371"/>
      <c r="SUM30" s="371"/>
      <c r="SUN30" s="371"/>
      <c r="SUO30" s="371"/>
      <c r="SUP30" s="371"/>
      <c r="SUQ30" s="371"/>
      <c r="SUR30" s="371"/>
      <c r="SUS30" s="371"/>
      <c r="SUT30" s="371"/>
      <c r="SUU30" s="382"/>
      <c r="SUY30" s="371"/>
      <c r="SUZ30" s="371"/>
      <c r="SVA30" s="371"/>
      <c r="SVB30" s="371"/>
      <c r="SVC30" s="371"/>
      <c r="SVD30" s="371"/>
      <c r="SVE30" s="371"/>
      <c r="SVF30" s="371"/>
      <c r="SVG30" s="371"/>
      <c r="SVH30" s="371"/>
      <c r="SVI30" s="371"/>
      <c r="SVJ30" s="371"/>
      <c r="SVK30" s="371"/>
      <c r="SVL30" s="371"/>
      <c r="SVM30" s="371"/>
      <c r="SVN30" s="371"/>
      <c r="SVO30" s="371"/>
      <c r="SVP30" s="371"/>
      <c r="SVQ30" s="371"/>
      <c r="SVR30" s="371"/>
      <c r="SVS30" s="371"/>
      <c r="SVT30" s="371"/>
      <c r="SVU30" s="371"/>
      <c r="SVV30" s="371"/>
      <c r="SVW30" s="371"/>
      <c r="SVX30" s="371"/>
      <c r="SVY30" s="382"/>
      <c r="SWC30" s="371"/>
      <c r="SWD30" s="371"/>
      <c r="SWE30" s="371"/>
      <c r="SWF30" s="371"/>
      <c r="SWG30" s="371"/>
      <c r="SWH30" s="371"/>
      <c r="SWI30" s="371"/>
      <c r="SWJ30" s="371"/>
      <c r="SWK30" s="371"/>
      <c r="SWL30" s="371"/>
      <c r="SWM30" s="371"/>
      <c r="SWN30" s="371"/>
      <c r="SWO30" s="371"/>
      <c r="SWP30" s="371"/>
      <c r="SWQ30" s="371"/>
      <c r="SWR30" s="371"/>
      <c r="SWS30" s="371"/>
      <c r="SWT30" s="371"/>
      <c r="SWU30" s="371"/>
      <c r="SWV30" s="371"/>
      <c r="SWW30" s="371"/>
      <c r="SWX30" s="371"/>
      <c r="SWY30" s="371"/>
      <c r="SWZ30" s="371"/>
      <c r="SXA30" s="371"/>
      <c r="SXB30" s="371"/>
      <c r="SXC30" s="382"/>
      <c r="SXG30" s="371"/>
      <c r="SXH30" s="371"/>
      <c r="SXI30" s="371"/>
      <c r="SXJ30" s="371"/>
      <c r="SXK30" s="371"/>
      <c r="SXL30" s="371"/>
      <c r="SXM30" s="371"/>
      <c r="SXN30" s="371"/>
      <c r="SXO30" s="371"/>
      <c r="SXP30" s="371"/>
      <c r="SXQ30" s="371"/>
      <c r="SXR30" s="371"/>
      <c r="SXS30" s="371"/>
      <c r="SXT30" s="371"/>
      <c r="SXU30" s="371"/>
      <c r="SXV30" s="371"/>
      <c r="SXW30" s="371"/>
      <c r="SXX30" s="371"/>
      <c r="SXY30" s="371"/>
      <c r="SXZ30" s="371"/>
      <c r="SYA30" s="371"/>
      <c r="SYB30" s="371"/>
      <c r="SYC30" s="371"/>
      <c r="SYD30" s="371"/>
      <c r="SYE30" s="371"/>
      <c r="SYF30" s="371"/>
      <c r="SYG30" s="382"/>
      <c r="SYK30" s="371"/>
      <c r="SYL30" s="371"/>
      <c r="SYM30" s="371"/>
      <c r="SYN30" s="371"/>
      <c r="SYO30" s="371"/>
      <c r="SYP30" s="371"/>
      <c r="SYQ30" s="371"/>
      <c r="SYR30" s="371"/>
      <c r="SYS30" s="371"/>
      <c r="SYT30" s="371"/>
      <c r="SYU30" s="371"/>
      <c r="SYV30" s="371"/>
      <c r="SYW30" s="371"/>
      <c r="SYX30" s="371"/>
      <c r="SYY30" s="371"/>
      <c r="SYZ30" s="371"/>
      <c r="SZA30" s="371"/>
      <c r="SZB30" s="371"/>
      <c r="SZC30" s="371"/>
      <c r="SZD30" s="371"/>
      <c r="SZE30" s="371"/>
      <c r="SZF30" s="371"/>
      <c r="SZG30" s="371"/>
      <c r="SZH30" s="371"/>
      <c r="SZI30" s="371"/>
      <c r="SZJ30" s="371"/>
      <c r="SZK30" s="382"/>
      <c r="SZO30" s="371"/>
      <c r="SZP30" s="371"/>
      <c r="SZQ30" s="371"/>
      <c r="SZR30" s="371"/>
      <c r="SZS30" s="371"/>
      <c r="SZT30" s="371"/>
      <c r="SZU30" s="371"/>
      <c r="SZV30" s="371"/>
      <c r="SZW30" s="371"/>
      <c r="SZX30" s="371"/>
      <c r="SZY30" s="371"/>
      <c r="SZZ30" s="371"/>
      <c r="TAA30" s="371"/>
      <c r="TAB30" s="371"/>
      <c r="TAC30" s="371"/>
      <c r="TAD30" s="371"/>
      <c r="TAE30" s="371"/>
      <c r="TAF30" s="371"/>
      <c r="TAG30" s="371"/>
      <c r="TAH30" s="371"/>
      <c r="TAI30" s="371"/>
      <c r="TAJ30" s="371"/>
      <c r="TAK30" s="371"/>
      <c r="TAL30" s="371"/>
      <c r="TAM30" s="371"/>
      <c r="TAN30" s="371"/>
      <c r="TAO30" s="382"/>
      <c r="TAS30" s="371"/>
      <c r="TAT30" s="371"/>
      <c r="TAU30" s="371"/>
      <c r="TAV30" s="371"/>
      <c r="TAW30" s="371"/>
      <c r="TAX30" s="371"/>
      <c r="TAY30" s="371"/>
      <c r="TAZ30" s="371"/>
      <c r="TBA30" s="371"/>
      <c r="TBB30" s="371"/>
      <c r="TBC30" s="371"/>
      <c r="TBD30" s="371"/>
      <c r="TBE30" s="371"/>
      <c r="TBF30" s="371"/>
      <c r="TBG30" s="371"/>
      <c r="TBH30" s="371"/>
      <c r="TBI30" s="371"/>
      <c r="TBJ30" s="371"/>
      <c r="TBK30" s="371"/>
      <c r="TBL30" s="371"/>
      <c r="TBM30" s="371"/>
      <c r="TBN30" s="371"/>
      <c r="TBO30" s="371"/>
      <c r="TBP30" s="371"/>
      <c r="TBQ30" s="371"/>
      <c r="TBR30" s="371"/>
      <c r="TBS30" s="382"/>
      <c r="TBW30" s="371"/>
      <c r="TBX30" s="371"/>
      <c r="TBY30" s="371"/>
      <c r="TBZ30" s="371"/>
      <c r="TCA30" s="371"/>
      <c r="TCB30" s="371"/>
      <c r="TCC30" s="371"/>
      <c r="TCD30" s="371"/>
      <c r="TCE30" s="371"/>
      <c r="TCF30" s="371"/>
      <c r="TCG30" s="371"/>
      <c r="TCH30" s="371"/>
      <c r="TCI30" s="371"/>
      <c r="TCJ30" s="371"/>
      <c r="TCK30" s="371"/>
      <c r="TCL30" s="371"/>
      <c r="TCM30" s="371"/>
      <c r="TCN30" s="371"/>
      <c r="TCO30" s="371"/>
      <c r="TCP30" s="371"/>
      <c r="TCQ30" s="371"/>
      <c r="TCR30" s="371"/>
      <c r="TCS30" s="371"/>
      <c r="TCT30" s="371"/>
      <c r="TCU30" s="371"/>
      <c r="TCV30" s="371"/>
      <c r="TCW30" s="382"/>
      <c r="TDA30" s="371"/>
      <c r="TDB30" s="371"/>
      <c r="TDC30" s="371"/>
      <c r="TDD30" s="371"/>
      <c r="TDE30" s="371"/>
      <c r="TDF30" s="371"/>
      <c r="TDG30" s="371"/>
      <c r="TDH30" s="371"/>
      <c r="TDI30" s="371"/>
      <c r="TDJ30" s="371"/>
      <c r="TDK30" s="371"/>
      <c r="TDL30" s="371"/>
      <c r="TDM30" s="371"/>
      <c r="TDN30" s="371"/>
      <c r="TDO30" s="371"/>
      <c r="TDP30" s="371"/>
      <c r="TDQ30" s="371"/>
      <c r="TDR30" s="371"/>
      <c r="TDS30" s="371"/>
      <c r="TDT30" s="371"/>
      <c r="TDU30" s="371"/>
      <c r="TDV30" s="371"/>
      <c r="TDW30" s="371"/>
      <c r="TDX30" s="371"/>
      <c r="TDY30" s="371"/>
      <c r="TDZ30" s="371"/>
      <c r="TEA30" s="382"/>
      <c r="TEE30" s="371"/>
      <c r="TEF30" s="371"/>
      <c r="TEG30" s="371"/>
      <c r="TEH30" s="371"/>
      <c r="TEI30" s="371"/>
      <c r="TEJ30" s="371"/>
      <c r="TEK30" s="371"/>
      <c r="TEL30" s="371"/>
      <c r="TEM30" s="371"/>
      <c r="TEN30" s="371"/>
      <c r="TEO30" s="371"/>
      <c r="TEP30" s="371"/>
      <c r="TEQ30" s="371"/>
      <c r="TER30" s="371"/>
      <c r="TES30" s="371"/>
      <c r="TET30" s="371"/>
      <c r="TEU30" s="371"/>
      <c r="TEV30" s="371"/>
      <c r="TEW30" s="371"/>
      <c r="TEX30" s="371"/>
      <c r="TEY30" s="371"/>
      <c r="TEZ30" s="371"/>
      <c r="TFA30" s="371"/>
      <c r="TFB30" s="371"/>
      <c r="TFC30" s="371"/>
      <c r="TFD30" s="371"/>
      <c r="TFE30" s="382"/>
      <c r="TFI30" s="371"/>
      <c r="TFJ30" s="371"/>
      <c r="TFK30" s="371"/>
      <c r="TFL30" s="371"/>
      <c r="TFM30" s="371"/>
      <c r="TFN30" s="371"/>
      <c r="TFO30" s="371"/>
      <c r="TFP30" s="371"/>
      <c r="TFQ30" s="371"/>
      <c r="TFR30" s="371"/>
      <c r="TFS30" s="371"/>
      <c r="TFT30" s="371"/>
      <c r="TFU30" s="371"/>
      <c r="TFV30" s="371"/>
      <c r="TFW30" s="371"/>
      <c r="TFX30" s="371"/>
      <c r="TFY30" s="371"/>
      <c r="TFZ30" s="371"/>
      <c r="TGA30" s="371"/>
      <c r="TGB30" s="371"/>
      <c r="TGC30" s="371"/>
      <c r="TGD30" s="371"/>
      <c r="TGE30" s="371"/>
      <c r="TGF30" s="371"/>
      <c r="TGG30" s="371"/>
      <c r="TGH30" s="371"/>
      <c r="TGI30" s="382"/>
      <c r="TGM30" s="371"/>
      <c r="TGN30" s="371"/>
      <c r="TGO30" s="371"/>
      <c r="TGP30" s="371"/>
      <c r="TGQ30" s="371"/>
      <c r="TGR30" s="371"/>
      <c r="TGS30" s="371"/>
      <c r="TGT30" s="371"/>
      <c r="TGU30" s="371"/>
      <c r="TGV30" s="371"/>
      <c r="TGW30" s="371"/>
      <c r="TGX30" s="371"/>
      <c r="TGY30" s="371"/>
      <c r="TGZ30" s="371"/>
      <c r="THA30" s="371"/>
      <c r="THB30" s="371"/>
      <c r="THC30" s="371"/>
      <c r="THD30" s="371"/>
      <c r="THE30" s="371"/>
      <c r="THF30" s="371"/>
      <c r="THG30" s="371"/>
      <c r="THH30" s="371"/>
      <c r="THI30" s="371"/>
      <c r="THJ30" s="371"/>
      <c r="THK30" s="371"/>
      <c r="THL30" s="371"/>
      <c r="THM30" s="382"/>
      <c r="THQ30" s="371"/>
      <c r="THR30" s="371"/>
      <c r="THS30" s="371"/>
      <c r="THT30" s="371"/>
      <c r="THU30" s="371"/>
      <c r="THV30" s="371"/>
      <c r="THW30" s="371"/>
      <c r="THX30" s="371"/>
      <c r="THY30" s="371"/>
      <c r="THZ30" s="371"/>
      <c r="TIA30" s="371"/>
      <c r="TIB30" s="371"/>
      <c r="TIC30" s="371"/>
      <c r="TID30" s="371"/>
      <c r="TIE30" s="371"/>
      <c r="TIF30" s="371"/>
      <c r="TIG30" s="371"/>
      <c r="TIH30" s="371"/>
      <c r="TII30" s="371"/>
      <c r="TIJ30" s="371"/>
      <c r="TIK30" s="371"/>
      <c r="TIL30" s="371"/>
      <c r="TIM30" s="371"/>
      <c r="TIN30" s="371"/>
      <c r="TIO30" s="371"/>
      <c r="TIP30" s="371"/>
      <c r="TIQ30" s="382"/>
      <c r="TIU30" s="371"/>
      <c r="TIV30" s="371"/>
      <c r="TIW30" s="371"/>
      <c r="TIX30" s="371"/>
      <c r="TIY30" s="371"/>
      <c r="TIZ30" s="371"/>
      <c r="TJA30" s="371"/>
      <c r="TJB30" s="371"/>
      <c r="TJC30" s="371"/>
      <c r="TJD30" s="371"/>
      <c r="TJE30" s="371"/>
      <c r="TJF30" s="371"/>
      <c r="TJG30" s="371"/>
      <c r="TJH30" s="371"/>
      <c r="TJI30" s="371"/>
      <c r="TJJ30" s="371"/>
      <c r="TJK30" s="371"/>
      <c r="TJL30" s="371"/>
      <c r="TJM30" s="371"/>
      <c r="TJN30" s="371"/>
      <c r="TJO30" s="371"/>
      <c r="TJP30" s="371"/>
      <c r="TJQ30" s="371"/>
      <c r="TJR30" s="371"/>
      <c r="TJS30" s="371"/>
      <c r="TJT30" s="371"/>
      <c r="TJU30" s="382"/>
      <c r="TJY30" s="371"/>
      <c r="TJZ30" s="371"/>
      <c r="TKA30" s="371"/>
      <c r="TKB30" s="371"/>
      <c r="TKC30" s="371"/>
      <c r="TKD30" s="371"/>
      <c r="TKE30" s="371"/>
      <c r="TKF30" s="371"/>
      <c r="TKG30" s="371"/>
      <c r="TKH30" s="371"/>
      <c r="TKI30" s="371"/>
      <c r="TKJ30" s="371"/>
      <c r="TKK30" s="371"/>
      <c r="TKL30" s="371"/>
      <c r="TKM30" s="371"/>
      <c r="TKN30" s="371"/>
      <c r="TKO30" s="371"/>
      <c r="TKP30" s="371"/>
      <c r="TKQ30" s="371"/>
      <c r="TKR30" s="371"/>
      <c r="TKS30" s="371"/>
      <c r="TKT30" s="371"/>
      <c r="TKU30" s="371"/>
      <c r="TKV30" s="371"/>
      <c r="TKW30" s="371"/>
      <c r="TKX30" s="371"/>
      <c r="TKY30" s="382"/>
      <c r="TLC30" s="371"/>
      <c r="TLD30" s="371"/>
      <c r="TLE30" s="371"/>
      <c r="TLF30" s="371"/>
      <c r="TLG30" s="371"/>
      <c r="TLH30" s="371"/>
      <c r="TLI30" s="371"/>
      <c r="TLJ30" s="371"/>
      <c r="TLK30" s="371"/>
      <c r="TLL30" s="371"/>
      <c r="TLM30" s="371"/>
      <c r="TLN30" s="371"/>
      <c r="TLO30" s="371"/>
      <c r="TLP30" s="371"/>
      <c r="TLQ30" s="371"/>
      <c r="TLR30" s="371"/>
      <c r="TLS30" s="371"/>
      <c r="TLT30" s="371"/>
      <c r="TLU30" s="371"/>
      <c r="TLV30" s="371"/>
      <c r="TLW30" s="371"/>
      <c r="TLX30" s="371"/>
      <c r="TLY30" s="371"/>
      <c r="TLZ30" s="371"/>
      <c r="TMA30" s="371"/>
      <c r="TMB30" s="371"/>
      <c r="TMC30" s="382"/>
      <c r="TMG30" s="371"/>
      <c r="TMH30" s="371"/>
      <c r="TMI30" s="371"/>
      <c r="TMJ30" s="371"/>
      <c r="TMK30" s="371"/>
      <c r="TML30" s="371"/>
      <c r="TMM30" s="371"/>
      <c r="TMN30" s="371"/>
      <c r="TMO30" s="371"/>
      <c r="TMP30" s="371"/>
      <c r="TMQ30" s="371"/>
      <c r="TMR30" s="371"/>
      <c r="TMS30" s="371"/>
      <c r="TMT30" s="371"/>
      <c r="TMU30" s="371"/>
      <c r="TMV30" s="371"/>
      <c r="TMW30" s="371"/>
      <c r="TMX30" s="371"/>
      <c r="TMY30" s="371"/>
      <c r="TMZ30" s="371"/>
      <c r="TNA30" s="371"/>
      <c r="TNB30" s="371"/>
      <c r="TNC30" s="371"/>
      <c r="TND30" s="371"/>
      <c r="TNE30" s="371"/>
      <c r="TNF30" s="371"/>
      <c r="TNG30" s="382"/>
      <c r="TNK30" s="371"/>
      <c r="TNL30" s="371"/>
      <c r="TNM30" s="371"/>
      <c r="TNN30" s="371"/>
      <c r="TNO30" s="371"/>
      <c r="TNP30" s="371"/>
      <c r="TNQ30" s="371"/>
      <c r="TNR30" s="371"/>
      <c r="TNS30" s="371"/>
      <c r="TNT30" s="371"/>
      <c r="TNU30" s="371"/>
      <c r="TNV30" s="371"/>
      <c r="TNW30" s="371"/>
      <c r="TNX30" s="371"/>
      <c r="TNY30" s="371"/>
      <c r="TNZ30" s="371"/>
      <c r="TOA30" s="371"/>
      <c r="TOB30" s="371"/>
      <c r="TOC30" s="371"/>
      <c r="TOD30" s="371"/>
      <c r="TOE30" s="371"/>
      <c r="TOF30" s="371"/>
      <c r="TOG30" s="371"/>
      <c r="TOH30" s="371"/>
      <c r="TOI30" s="371"/>
      <c r="TOJ30" s="371"/>
      <c r="TOK30" s="382"/>
      <c r="TOO30" s="371"/>
      <c r="TOP30" s="371"/>
      <c r="TOQ30" s="371"/>
      <c r="TOR30" s="371"/>
      <c r="TOS30" s="371"/>
      <c r="TOT30" s="371"/>
      <c r="TOU30" s="371"/>
      <c r="TOV30" s="371"/>
      <c r="TOW30" s="371"/>
      <c r="TOX30" s="371"/>
      <c r="TOY30" s="371"/>
      <c r="TOZ30" s="371"/>
      <c r="TPA30" s="371"/>
      <c r="TPB30" s="371"/>
      <c r="TPC30" s="371"/>
      <c r="TPD30" s="371"/>
      <c r="TPE30" s="371"/>
      <c r="TPF30" s="371"/>
      <c r="TPG30" s="371"/>
      <c r="TPH30" s="371"/>
      <c r="TPI30" s="371"/>
      <c r="TPJ30" s="371"/>
      <c r="TPK30" s="371"/>
      <c r="TPL30" s="371"/>
      <c r="TPM30" s="371"/>
      <c r="TPN30" s="371"/>
      <c r="TPO30" s="382"/>
      <c r="TPS30" s="371"/>
      <c r="TPT30" s="371"/>
      <c r="TPU30" s="371"/>
      <c r="TPV30" s="371"/>
      <c r="TPW30" s="371"/>
      <c r="TPX30" s="371"/>
      <c r="TPY30" s="371"/>
      <c r="TPZ30" s="371"/>
      <c r="TQA30" s="371"/>
      <c r="TQB30" s="371"/>
      <c r="TQC30" s="371"/>
      <c r="TQD30" s="371"/>
      <c r="TQE30" s="371"/>
      <c r="TQF30" s="371"/>
      <c r="TQG30" s="371"/>
      <c r="TQH30" s="371"/>
      <c r="TQI30" s="371"/>
      <c r="TQJ30" s="371"/>
      <c r="TQK30" s="371"/>
      <c r="TQL30" s="371"/>
      <c r="TQM30" s="371"/>
      <c r="TQN30" s="371"/>
      <c r="TQO30" s="371"/>
      <c r="TQP30" s="371"/>
      <c r="TQQ30" s="371"/>
      <c r="TQR30" s="371"/>
      <c r="TQS30" s="382"/>
      <c r="TQW30" s="371"/>
      <c r="TQX30" s="371"/>
      <c r="TQY30" s="371"/>
      <c r="TQZ30" s="371"/>
      <c r="TRA30" s="371"/>
      <c r="TRB30" s="371"/>
      <c r="TRC30" s="371"/>
      <c r="TRD30" s="371"/>
      <c r="TRE30" s="371"/>
      <c r="TRF30" s="371"/>
      <c r="TRG30" s="371"/>
      <c r="TRH30" s="371"/>
      <c r="TRI30" s="371"/>
      <c r="TRJ30" s="371"/>
      <c r="TRK30" s="371"/>
      <c r="TRL30" s="371"/>
      <c r="TRM30" s="371"/>
      <c r="TRN30" s="371"/>
      <c r="TRO30" s="371"/>
      <c r="TRP30" s="371"/>
      <c r="TRQ30" s="371"/>
      <c r="TRR30" s="371"/>
      <c r="TRS30" s="371"/>
      <c r="TRT30" s="371"/>
      <c r="TRU30" s="371"/>
      <c r="TRV30" s="371"/>
      <c r="TRW30" s="382"/>
      <c r="TSA30" s="371"/>
      <c r="TSB30" s="371"/>
      <c r="TSC30" s="371"/>
      <c r="TSD30" s="371"/>
      <c r="TSE30" s="371"/>
      <c r="TSF30" s="371"/>
      <c r="TSG30" s="371"/>
      <c r="TSH30" s="371"/>
      <c r="TSI30" s="371"/>
      <c r="TSJ30" s="371"/>
      <c r="TSK30" s="371"/>
      <c r="TSL30" s="371"/>
      <c r="TSM30" s="371"/>
      <c r="TSN30" s="371"/>
      <c r="TSO30" s="371"/>
      <c r="TSP30" s="371"/>
      <c r="TSQ30" s="371"/>
      <c r="TSR30" s="371"/>
      <c r="TSS30" s="371"/>
      <c r="TST30" s="371"/>
      <c r="TSU30" s="371"/>
      <c r="TSV30" s="371"/>
      <c r="TSW30" s="371"/>
      <c r="TSX30" s="371"/>
      <c r="TSY30" s="371"/>
      <c r="TSZ30" s="371"/>
      <c r="TTA30" s="382"/>
      <c r="TTE30" s="371"/>
      <c r="TTF30" s="371"/>
      <c r="TTG30" s="371"/>
      <c r="TTH30" s="371"/>
      <c r="TTI30" s="371"/>
      <c r="TTJ30" s="371"/>
      <c r="TTK30" s="371"/>
      <c r="TTL30" s="371"/>
      <c r="TTM30" s="371"/>
      <c r="TTN30" s="371"/>
      <c r="TTO30" s="371"/>
      <c r="TTP30" s="371"/>
      <c r="TTQ30" s="371"/>
      <c r="TTR30" s="371"/>
      <c r="TTS30" s="371"/>
      <c r="TTT30" s="371"/>
      <c r="TTU30" s="371"/>
      <c r="TTV30" s="371"/>
      <c r="TTW30" s="371"/>
      <c r="TTX30" s="371"/>
      <c r="TTY30" s="371"/>
      <c r="TTZ30" s="371"/>
      <c r="TUA30" s="371"/>
      <c r="TUB30" s="371"/>
      <c r="TUC30" s="371"/>
      <c r="TUD30" s="371"/>
      <c r="TUE30" s="382"/>
      <c r="TUI30" s="371"/>
      <c r="TUJ30" s="371"/>
      <c r="TUK30" s="371"/>
      <c r="TUL30" s="371"/>
      <c r="TUM30" s="371"/>
      <c r="TUN30" s="371"/>
      <c r="TUO30" s="371"/>
      <c r="TUP30" s="371"/>
      <c r="TUQ30" s="371"/>
      <c r="TUR30" s="371"/>
      <c r="TUS30" s="371"/>
      <c r="TUT30" s="371"/>
      <c r="TUU30" s="371"/>
      <c r="TUV30" s="371"/>
      <c r="TUW30" s="371"/>
      <c r="TUX30" s="371"/>
      <c r="TUY30" s="371"/>
      <c r="TUZ30" s="371"/>
      <c r="TVA30" s="371"/>
      <c r="TVB30" s="371"/>
      <c r="TVC30" s="371"/>
      <c r="TVD30" s="371"/>
      <c r="TVE30" s="371"/>
      <c r="TVF30" s="371"/>
      <c r="TVG30" s="371"/>
      <c r="TVH30" s="371"/>
      <c r="TVI30" s="382"/>
      <c r="TVM30" s="371"/>
      <c r="TVN30" s="371"/>
      <c r="TVO30" s="371"/>
      <c r="TVP30" s="371"/>
      <c r="TVQ30" s="371"/>
      <c r="TVR30" s="371"/>
      <c r="TVS30" s="371"/>
      <c r="TVT30" s="371"/>
      <c r="TVU30" s="371"/>
      <c r="TVV30" s="371"/>
      <c r="TVW30" s="371"/>
      <c r="TVX30" s="371"/>
      <c r="TVY30" s="371"/>
      <c r="TVZ30" s="371"/>
      <c r="TWA30" s="371"/>
      <c r="TWB30" s="371"/>
      <c r="TWC30" s="371"/>
      <c r="TWD30" s="371"/>
      <c r="TWE30" s="371"/>
      <c r="TWF30" s="371"/>
      <c r="TWG30" s="371"/>
      <c r="TWH30" s="371"/>
      <c r="TWI30" s="371"/>
      <c r="TWJ30" s="371"/>
      <c r="TWK30" s="371"/>
      <c r="TWL30" s="371"/>
      <c r="TWM30" s="382"/>
      <c r="TWQ30" s="371"/>
      <c r="TWR30" s="371"/>
      <c r="TWS30" s="371"/>
      <c r="TWT30" s="371"/>
      <c r="TWU30" s="371"/>
      <c r="TWV30" s="371"/>
      <c r="TWW30" s="371"/>
      <c r="TWX30" s="371"/>
      <c r="TWY30" s="371"/>
      <c r="TWZ30" s="371"/>
      <c r="TXA30" s="371"/>
      <c r="TXB30" s="371"/>
      <c r="TXC30" s="371"/>
      <c r="TXD30" s="371"/>
      <c r="TXE30" s="371"/>
      <c r="TXF30" s="371"/>
      <c r="TXG30" s="371"/>
      <c r="TXH30" s="371"/>
      <c r="TXI30" s="371"/>
      <c r="TXJ30" s="371"/>
      <c r="TXK30" s="371"/>
      <c r="TXL30" s="371"/>
      <c r="TXM30" s="371"/>
      <c r="TXN30" s="371"/>
      <c r="TXO30" s="371"/>
      <c r="TXP30" s="371"/>
      <c r="TXQ30" s="382"/>
      <c r="TXU30" s="371"/>
      <c r="TXV30" s="371"/>
      <c r="TXW30" s="371"/>
      <c r="TXX30" s="371"/>
      <c r="TXY30" s="371"/>
      <c r="TXZ30" s="371"/>
      <c r="TYA30" s="371"/>
      <c r="TYB30" s="371"/>
      <c r="TYC30" s="371"/>
      <c r="TYD30" s="371"/>
      <c r="TYE30" s="371"/>
      <c r="TYF30" s="371"/>
      <c r="TYG30" s="371"/>
      <c r="TYH30" s="371"/>
      <c r="TYI30" s="371"/>
      <c r="TYJ30" s="371"/>
      <c r="TYK30" s="371"/>
      <c r="TYL30" s="371"/>
      <c r="TYM30" s="371"/>
      <c r="TYN30" s="371"/>
      <c r="TYO30" s="371"/>
      <c r="TYP30" s="371"/>
      <c r="TYQ30" s="371"/>
      <c r="TYR30" s="371"/>
      <c r="TYS30" s="371"/>
      <c r="TYT30" s="371"/>
      <c r="TYU30" s="382"/>
      <c r="TYY30" s="371"/>
      <c r="TYZ30" s="371"/>
      <c r="TZA30" s="371"/>
      <c r="TZB30" s="371"/>
      <c r="TZC30" s="371"/>
      <c r="TZD30" s="371"/>
      <c r="TZE30" s="371"/>
      <c r="TZF30" s="371"/>
      <c r="TZG30" s="371"/>
      <c r="TZH30" s="371"/>
      <c r="TZI30" s="371"/>
      <c r="TZJ30" s="371"/>
      <c r="TZK30" s="371"/>
      <c r="TZL30" s="371"/>
      <c r="TZM30" s="371"/>
      <c r="TZN30" s="371"/>
      <c r="TZO30" s="371"/>
      <c r="TZP30" s="371"/>
      <c r="TZQ30" s="371"/>
      <c r="TZR30" s="371"/>
      <c r="TZS30" s="371"/>
      <c r="TZT30" s="371"/>
      <c r="TZU30" s="371"/>
      <c r="TZV30" s="371"/>
      <c r="TZW30" s="371"/>
      <c r="TZX30" s="371"/>
      <c r="TZY30" s="382"/>
      <c r="UAC30" s="371"/>
      <c r="UAD30" s="371"/>
      <c r="UAE30" s="371"/>
      <c r="UAF30" s="371"/>
      <c r="UAG30" s="371"/>
      <c r="UAH30" s="371"/>
      <c r="UAI30" s="371"/>
      <c r="UAJ30" s="371"/>
      <c r="UAK30" s="371"/>
      <c r="UAL30" s="371"/>
      <c r="UAM30" s="371"/>
      <c r="UAN30" s="371"/>
      <c r="UAO30" s="371"/>
      <c r="UAP30" s="371"/>
      <c r="UAQ30" s="371"/>
      <c r="UAR30" s="371"/>
      <c r="UAS30" s="371"/>
      <c r="UAT30" s="371"/>
      <c r="UAU30" s="371"/>
      <c r="UAV30" s="371"/>
      <c r="UAW30" s="371"/>
      <c r="UAX30" s="371"/>
      <c r="UAY30" s="371"/>
      <c r="UAZ30" s="371"/>
      <c r="UBA30" s="371"/>
      <c r="UBB30" s="371"/>
      <c r="UBC30" s="382"/>
      <c r="UBG30" s="371"/>
      <c r="UBH30" s="371"/>
      <c r="UBI30" s="371"/>
      <c r="UBJ30" s="371"/>
      <c r="UBK30" s="371"/>
      <c r="UBL30" s="371"/>
      <c r="UBM30" s="371"/>
      <c r="UBN30" s="371"/>
      <c r="UBO30" s="371"/>
      <c r="UBP30" s="371"/>
      <c r="UBQ30" s="371"/>
      <c r="UBR30" s="371"/>
      <c r="UBS30" s="371"/>
      <c r="UBT30" s="371"/>
      <c r="UBU30" s="371"/>
      <c r="UBV30" s="371"/>
      <c r="UBW30" s="371"/>
      <c r="UBX30" s="371"/>
      <c r="UBY30" s="371"/>
      <c r="UBZ30" s="371"/>
      <c r="UCA30" s="371"/>
      <c r="UCB30" s="371"/>
      <c r="UCC30" s="371"/>
      <c r="UCD30" s="371"/>
      <c r="UCE30" s="371"/>
      <c r="UCF30" s="371"/>
      <c r="UCG30" s="382"/>
      <c r="UCK30" s="371"/>
      <c r="UCL30" s="371"/>
      <c r="UCM30" s="371"/>
      <c r="UCN30" s="371"/>
      <c r="UCO30" s="371"/>
      <c r="UCP30" s="371"/>
      <c r="UCQ30" s="371"/>
      <c r="UCR30" s="371"/>
      <c r="UCS30" s="371"/>
      <c r="UCT30" s="371"/>
      <c r="UCU30" s="371"/>
      <c r="UCV30" s="371"/>
      <c r="UCW30" s="371"/>
      <c r="UCX30" s="371"/>
      <c r="UCY30" s="371"/>
      <c r="UCZ30" s="371"/>
      <c r="UDA30" s="371"/>
      <c r="UDB30" s="371"/>
      <c r="UDC30" s="371"/>
      <c r="UDD30" s="371"/>
      <c r="UDE30" s="371"/>
      <c r="UDF30" s="371"/>
      <c r="UDG30" s="371"/>
      <c r="UDH30" s="371"/>
      <c r="UDI30" s="371"/>
      <c r="UDJ30" s="371"/>
      <c r="UDK30" s="382"/>
      <c r="UDO30" s="371"/>
      <c r="UDP30" s="371"/>
      <c r="UDQ30" s="371"/>
      <c r="UDR30" s="371"/>
      <c r="UDS30" s="371"/>
      <c r="UDT30" s="371"/>
      <c r="UDU30" s="371"/>
      <c r="UDV30" s="371"/>
      <c r="UDW30" s="371"/>
      <c r="UDX30" s="371"/>
      <c r="UDY30" s="371"/>
      <c r="UDZ30" s="371"/>
      <c r="UEA30" s="371"/>
      <c r="UEB30" s="371"/>
      <c r="UEC30" s="371"/>
      <c r="UED30" s="371"/>
      <c r="UEE30" s="371"/>
      <c r="UEF30" s="371"/>
      <c r="UEG30" s="371"/>
      <c r="UEH30" s="371"/>
      <c r="UEI30" s="371"/>
      <c r="UEJ30" s="371"/>
      <c r="UEK30" s="371"/>
      <c r="UEL30" s="371"/>
      <c r="UEM30" s="371"/>
      <c r="UEN30" s="371"/>
      <c r="UEO30" s="382"/>
      <c r="UES30" s="371"/>
      <c r="UET30" s="371"/>
      <c r="UEU30" s="371"/>
      <c r="UEV30" s="371"/>
      <c r="UEW30" s="371"/>
      <c r="UEX30" s="371"/>
      <c r="UEY30" s="371"/>
      <c r="UEZ30" s="371"/>
      <c r="UFA30" s="371"/>
      <c r="UFB30" s="371"/>
      <c r="UFC30" s="371"/>
      <c r="UFD30" s="371"/>
      <c r="UFE30" s="371"/>
      <c r="UFF30" s="371"/>
      <c r="UFG30" s="371"/>
      <c r="UFH30" s="371"/>
      <c r="UFI30" s="371"/>
      <c r="UFJ30" s="371"/>
      <c r="UFK30" s="371"/>
      <c r="UFL30" s="371"/>
      <c r="UFM30" s="371"/>
      <c r="UFN30" s="371"/>
      <c r="UFO30" s="371"/>
      <c r="UFP30" s="371"/>
      <c r="UFQ30" s="371"/>
      <c r="UFR30" s="371"/>
      <c r="UFS30" s="382"/>
      <c r="UFW30" s="371"/>
      <c r="UFX30" s="371"/>
      <c r="UFY30" s="371"/>
      <c r="UFZ30" s="371"/>
      <c r="UGA30" s="371"/>
      <c r="UGB30" s="371"/>
      <c r="UGC30" s="371"/>
      <c r="UGD30" s="371"/>
      <c r="UGE30" s="371"/>
      <c r="UGF30" s="371"/>
      <c r="UGG30" s="371"/>
      <c r="UGH30" s="371"/>
      <c r="UGI30" s="371"/>
      <c r="UGJ30" s="371"/>
      <c r="UGK30" s="371"/>
      <c r="UGL30" s="371"/>
      <c r="UGM30" s="371"/>
      <c r="UGN30" s="371"/>
      <c r="UGO30" s="371"/>
      <c r="UGP30" s="371"/>
      <c r="UGQ30" s="371"/>
      <c r="UGR30" s="371"/>
      <c r="UGS30" s="371"/>
      <c r="UGT30" s="371"/>
      <c r="UGU30" s="371"/>
      <c r="UGV30" s="371"/>
      <c r="UGW30" s="382"/>
      <c r="UHA30" s="371"/>
      <c r="UHB30" s="371"/>
      <c r="UHC30" s="371"/>
      <c r="UHD30" s="371"/>
      <c r="UHE30" s="371"/>
      <c r="UHF30" s="371"/>
      <c r="UHG30" s="371"/>
      <c r="UHH30" s="371"/>
      <c r="UHI30" s="371"/>
      <c r="UHJ30" s="371"/>
      <c r="UHK30" s="371"/>
      <c r="UHL30" s="371"/>
      <c r="UHM30" s="371"/>
      <c r="UHN30" s="371"/>
      <c r="UHO30" s="371"/>
      <c r="UHP30" s="371"/>
      <c r="UHQ30" s="371"/>
      <c r="UHR30" s="371"/>
      <c r="UHS30" s="371"/>
      <c r="UHT30" s="371"/>
      <c r="UHU30" s="371"/>
      <c r="UHV30" s="371"/>
      <c r="UHW30" s="371"/>
      <c r="UHX30" s="371"/>
      <c r="UHY30" s="371"/>
      <c r="UHZ30" s="371"/>
      <c r="UIA30" s="382"/>
      <c r="UIE30" s="371"/>
      <c r="UIF30" s="371"/>
      <c r="UIG30" s="371"/>
      <c r="UIH30" s="371"/>
      <c r="UII30" s="371"/>
      <c r="UIJ30" s="371"/>
      <c r="UIK30" s="371"/>
      <c r="UIL30" s="371"/>
      <c r="UIM30" s="371"/>
      <c r="UIN30" s="371"/>
      <c r="UIO30" s="371"/>
      <c r="UIP30" s="371"/>
      <c r="UIQ30" s="371"/>
      <c r="UIR30" s="371"/>
      <c r="UIS30" s="371"/>
      <c r="UIT30" s="371"/>
      <c r="UIU30" s="371"/>
      <c r="UIV30" s="371"/>
      <c r="UIW30" s="371"/>
      <c r="UIX30" s="371"/>
      <c r="UIY30" s="371"/>
      <c r="UIZ30" s="371"/>
      <c r="UJA30" s="371"/>
      <c r="UJB30" s="371"/>
      <c r="UJC30" s="371"/>
      <c r="UJD30" s="371"/>
      <c r="UJE30" s="382"/>
      <c r="UJI30" s="371"/>
      <c r="UJJ30" s="371"/>
      <c r="UJK30" s="371"/>
      <c r="UJL30" s="371"/>
      <c r="UJM30" s="371"/>
      <c r="UJN30" s="371"/>
      <c r="UJO30" s="371"/>
      <c r="UJP30" s="371"/>
      <c r="UJQ30" s="371"/>
      <c r="UJR30" s="371"/>
      <c r="UJS30" s="371"/>
      <c r="UJT30" s="371"/>
      <c r="UJU30" s="371"/>
      <c r="UJV30" s="371"/>
      <c r="UJW30" s="371"/>
      <c r="UJX30" s="371"/>
      <c r="UJY30" s="371"/>
      <c r="UJZ30" s="371"/>
      <c r="UKA30" s="371"/>
      <c r="UKB30" s="371"/>
      <c r="UKC30" s="371"/>
      <c r="UKD30" s="371"/>
      <c r="UKE30" s="371"/>
      <c r="UKF30" s="371"/>
      <c r="UKG30" s="371"/>
      <c r="UKH30" s="371"/>
      <c r="UKI30" s="382"/>
      <c r="UKM30" s="371"/>
      <c r="UKN30" s="371"/>
      <c r="UKO30" s="371"/>
      <c r="UKP30" s="371"/>
      <c r="UKQ30" s="371"/>
      <c r="UKR30" s="371"/>
      <c r="UKS30" s="371"/>
      <c r="UKT30" s="371"/>
      <c r="UKU30" s="371"/>
      <c r="UKV30" s="371"/>
      <c r="UKW30" s="371"/>
      <c r="UKX30" s="371"/>
      <c r="UKY30" s="371"/>
      <c r="UKZ30" s="371"/>
      <c r="ULA30" s="371"/>
      <c r="ULB30" s="371"/>
      <c r="ULC30" s="371"/>
      <c r="ULD30" s="371"/>
      <c r="ULE30" s="371"/>
      <c r="ULF30" s="371"/>
      <c r="ULG30" s="371"/>
      <c r="ULH30" s="371"/>
      <c r="ULI30" s="371"/>
      <c r="ULJ30" s="371"/>
      <c r="ULK30" s="371"/>
      <c r="ULL30" s="371"/>
      <c r="ULM30" s="382"/>
      <c r="ULQ30" s="371"/>
      <c r="ULR30" s="371"/>
      <c r="ULS30" s="371"/>
      <c r="ULT30" s="371"/>
      <c r="ULU30" s="371"/>
      <c r="ULV30" s="371"/>
      <c r="ULW30" s="371"/>
      <c r="ULX30" s="371"/>
      <c r="ULY30" s="371"/>
      <c r="ULZ30" s="371"/>
      <c r="UMA30" s="371"/>
      <c r="UMB30" s="371"/>
      <c r="UMC30" s="371"/>
      <c r="UMD30" s="371"/>
      <c r="UME30" s="371"/>
      <c r="UMF30" s="371"/>
      <c r="UMG30" s="371"/>
      <c r="UMH30" s="371"/>
      <c r="UMI30" s="371"/>
      <c r="UMJ30" s="371"/>
      <c r="UMK30" s="371"/>
      <c r="UML30" s="371"/>
      <c r="UMM30" s="371"/>
      <c r="UMN30" s="371"/>
      <c r="UMO30" s="371"/>
      <c r="UMP30" s="371"/>
      <c r="UMQ30" s="382"/>
      <c r="UMU30" s="371"/>
      <c r="UMV30" s="371"/>
      <c r="UMW30" s="371"/>
      <c r="UMX30" s="371"/>
      <c r="UMY30" s="371"/>
      <c r="UMZ30" s="371"/>
      <c r="UNA30" s="371"/>
      <c r="UNB30" s="371"/>
      <c r="UNC30" s="371"/>
      <c r="UND30" s="371"/>
      <c r="UNE30" s="371"/>
      <c r="UNF30" s="371"/>
      <c r="UNG30" s="371"/>
      <c r="UNH30" s="371"/>
      <c r="UNI30" s="371"/>
      <c r="UNJ30" s="371"/>
      <c r="UNK30" s="371"/>
      <c r="UNL30" s="371"/>
      <c r="UNM30" s="371"/>
      <c r="UNN30" s="371"/>
      <c r="UNO30" s="371"/>
      <c r="UNP30" s="371"/>
      <c r="UNQ30" s="371"/>
      <c r="UNR30" s="371"/>
      <c r="UNS30" s="371"/>
      <c r="UNT30" s="371"/>
      <c r="UNU30" s="382"/>
      <c r="UNY30" s="371"/>
      <c r="UNZ30" s="371"/>
      <c r="UOA30" s="371"/>
      <c r="UOB30" s="371"/>
      <c r="UOC30" s="371"/>
      <c r="UOD30" s="371"/>
      <c r="UOE30" s="371"/>
      <c r="UOF30" s="371"/>
      <c r="UOG30" s="371"/>
      <c r="UOH30" s="371"/>
      <c r="UOI30" s="371"/>
      <c r="UOJ30" s="371"/>
      <c r="UOK30" s="371"/>
      <c r="UOL30" s="371"/>
      <c r="UOM30" s="371"/>
      <c r="UON30" s="371"/>
      <c r="UOO30" s="371"/>
      <c r="UOP30" s="371"/>
      <c r="UOQ30" s="371"/>
      <c r="UOR30" s="371"/>
      <c r="UOS30" s="371"/>
      <c r="UOT30" s="371"/>
      <c r="UOU30" s="371"/>
      <c r="UOV30" s="371"/>
      <c r="UOW30" s="371"/>
      <c r="UOX30" s="371"/>
      <c r="UOY30" s="382"/>
      <c r="UPC30" s="371"/>
      <c r="UPD30" s="371"/>
      <c r="UPE30" s="371"/>
      <c r="UPF30" s="371"/>
      <c r="UPG30" s="371"/>
      <c r="UPH30" s="371"/>
      <c r="UPI30" s="371"/>
      <c r="UPJ30" s="371"/>
      <c r="UPK30" s="371"/>
      <c r="UPL30" s="371"/>
      <c r="UPM30" s="371"/>
      <c r="UPN30" s="371"/>
      <c r="UPO30" s="371"/>
      <c r="UPP30" s="371"/>
      <c r="UPQ30" s="371"/>
      <c r="UPR30" s="371"/>
      <c r="UPS30" s="371"/>
      <c r="UPT30" s="371"/>
      <c r="UPU30" s="371"/>
      <c r="UPV30" s="371"/>
      <c r="UPW30" s="371"/>
      <c r="UPX30" s="371"/>
      <c r="UPY30" s="371"/>
      <c r="UPZ30" s="371"/>
      <c r="UQA30" s="371"/>
      <c r="UQB30" s="371"/>
      <c r="UQC30" s="382"/>
      <c r="UQG30" s="371"/>
      <c r="UQH30" s="371"/>
      <c r="UQI30" s="371"/>
      <c r="UQJ30" s="371"/>
      <c r="UQK30" s="371"/>
      <c r="UQL30" s="371"/>
      <c r="UQM30" s="371"/>
      <c r="UQN30" s="371"/>
      <c r="UQO30" s="371"/>
      <c r="UQP30" s="371"/>
      <c r="UQQ30" s="371"/>
      <c r="UQR30" s="371"/>
      <c r="UQS30" s="371"/>
      <c r="UQT30" s="371"/>
      <c r="UQU30" s="371"/>
      <c r="UQV30" s="371"/>
      <c r="UQW30" s="371"/>
      <c r="UQX30" s="371"/>
      <c r="UQY30" s="371"/>
      <c r="UQZ30" s="371"/>
      <c r="URA30" s="371"/>
      <c r="URB30" s="371"/>
      <c r="URC30" s="371"/>
      <c r="URD30" s="371"/>
      <c r="URE30" s="371"/>
      <c r="URF30" s="371"/>
      <c r="URG30" s="382"/>
      <c r="URK30" s="371"/>
      <c r="URL30" s="371"/>
      <c r="URM30" s="371"/>
      <c r="URN30" s="371"/>
      <c r="URO30" s="371"/>
      <c r="URP30" s="371"/>
      <c r="URQ30" s="371"/>
      <c r="URR30" s="371"/>
      <c r="URS30" s="371"/>
      <c r="URT30" s="371"/>
      <c r="URU30" s="371"/>
      <c r="URV30" s="371"/>
      <c r="URW30" s="371"/>
      <c r="URX30" s="371"/>
      <c r="URY30" s="371"/>
      <c r="URZ30" s="371"/>
      <c r="USA30" s="371"/>
      <c r="USB30" s="371"/>
      <c r="USC30" s="371"/>
      <c r="USD30" s="371"/>
      <c r="USE30" s="371"/>
      <c r="USF30" s="371"/>
      <c r="USG30" s="371"/>
      <c r="USH30" s="371"/>
      <c r="USI30" s="371"/>
      <c r="USJ30" s="371"/>
      <c r="USK30" s="382"/>
      <c r="USO30" s="371"/>
      <c r="USP30" s="371"/>
      <c r="USQ30" s="371"/>
      <c r="USR30" s="371"/>
      <c r="USS30" s="371"/>
      <c r="UST30" s="371"/>
      <c r="USU30" s="371"/>
      <c r="USV30" s="371"/>
      <c r="USW30" s="371"/>
      <c r="USX30" s="371"/>
      <c r="USY30" s="371"/>
      <c r="USZ30" s="371"/>
      <c r="UTA30" s="371"/>
      <c r="UTB30" s="371"/>
      <c r="UTC30" s="371"/>
      <c r="UTD30" s="371"/>
      <c r="UTE30" s="371"/>
      <c r="UTF30" s="371"/>
      <c r="UTG30" s="371"/>
      <c r="UTH30" s="371"/>
      <c r="UTI30" s="371"/>
      <c r="UTJ30" s="371"/>
      <c r="UTK30" s="371"/>
      <c r="UTL30" s="371"/>
      <c r="UTM30" s="371"/>
      <c r="UTN30" s="371"/>
      <c r="UTO30" s="382"/>
      <c r="UTS30" s="371"/>
      <c r="UTT30" s="371"/>
      <c r="UTU30" s="371"/>
      <c r="UTV30" s="371"/>
      <c r="UTW30" s="371"/>
      <c r="UTX30" s="371"/>
      <c r="UTY30" s="371"/>
      <c r="UTZ30" s="371"/>
      <c r="UUA30" s="371"/>
      <c r="UUB30" s="371"/>
      <c r="UUC30" s="371"/>
      <c r="UUD30" s="371"/>
      <c r="UUE30" s="371"/>
      <c r="UUF30" s="371"/>
      <c r="UUG30" s="371"/>
      <c r="UUH30" s="371"/>
      <c r="UUI30" s="371"/>
      <c r="UUJ30" s="371"/>
      <c r="UUK30" s="371"/>
      <c r="UUL30" s="371"/>
      <c r="UUM30" s="371"/>
      <c r="UUN30" s="371"/>
      <c r="UUO30" s="371"/>
      <c r="UUP30" s="371"/>
      <c r="UUQ30" s="371"/>
      <c r="UUR30" s="371"/>
      <c r="UUS30" s="382"/>
      <c r="UUW30" s="371"/>
      <c r="UUX30" s="371"/>
      <c r="UUY30" s="371"/>
      <c r="UUZ30" s="371"/>
      <c r="UVA30" s="371"/>
      <c r="UVB30" s="371"/>
      <c r="UVC30" s="371"/>
      <c r="UVD30" s="371"/>
      <c r="UVE30" s="371"/>
      <c r="UVF30" s="371"/>
      <c r="UVG30" s="371"/>
      <c r="UVH30" s="371"/>
      <c r="UVI30" s="371"/>
      <c r="UVJ30" s="371"/>
      <c r="UVK30" s="371"/>
      <c r="UVL30" s="371"/>
      <c r="UVM30" s="371"/>
      <c r="UVN30" s="371"/>
      <c r="UVO30" s="371"/>
      <c r="UVP30" s="371"/>
      <c r="UVQ30" s="371"/>
      <c r="UVR30" s="371"/>
      <c r="UVS30" s="371"/>
      <c r="UVT30" s="371"/>
      <c r="UVU30" s="371"/>
      <c r="UVV30" s="371"/>
      <c r="UVW30" s="382"/>
      <c r="UWA30" s="371"/>
      <c r="UWB30" s="371"/>
      <c r="UWC30" s="371"/>
      <c r="UWD30" s="371"/>
      <c r="UWE30" s="371"/>
      <c r="UWF30" s="371"/>
      <c r="UWG30" s="371"/>
      <c r="UWH30" s="371"/>
      <c r="UWI30" s="371"/>
      <c r="UWJ30" s="371"/>
      <c r="UWK30" s="371"/>
      <c r="UWL30" s="371"/>
      <c r="UWM30" s="371"/>
      <c r="UWN30" s="371"/>
      <c r="UWO30" s="371"/>
      <c r="UWP30" s="371"/>
      <c r="UWQ30" s="371"/>
      <c r="UWR30" s="371"/>
      <c r="UWS30" s="371"/>
      <c r="UWT30" s="371"/>
      <c r="UWU30" s="371"/>
      <c r="UWV30" s="371"/>
      <c r="UWW30" s="371"/>
      <c r="UWX30" s="371"/>
      <c r="UWY30" s="371"/>
      <c r="UWZ30" s="371"/>
      <c r="UXA30" s="382"/>
      <c r="UXE30" s="371"/>
      <c r="UXF30" s="371"/>
      <c r="UXG30" s="371"/>
      <c r="UXH30" s="371"/>
      <c r="UXI30" s="371"/>
      <c r="UXJ30" s="371"/>
      <c r="UXK30" s="371"/>
      <c r="UXL30" s="371"/>
      <c r="UXM30" s="371"/>
      <c r="UXN30" s="371"/>
      <c r="UXO30" s="371"/>
      <c r="UXP30" s="371"/>
      <c r="UXQ30" s="371"/>
      <c r="UXR30" s="371"/>
      <c r="UXS30" s="371"/>
      <c r="UXT30" s="371"/>
      <c r="UXU30" s="371"/>
      <c r="UXV30" s="371"/>
      <c r="UXW30" s="371"/>
      <c r="UXX30" s="371"/>
      <c r="UXY30" s="371"/>
      <c r="UXZ30" s="371"/>
      <c r="UYA30" s="371"/>
      <c r="UYB30" s="371"/>
      <c r="UYC30" s="371"/>
      <c r="UYD30" s="371"/>
      <c r="UYE30" s="382"/>
      <c r="UYI30" s="371"/>
      <c r="UYJ30" s="371"/>
      <c r="UYK30" s="371"/>
      <c r="UYL30" s="371"/>
      <c r="UYM30" s="371"/>
      <c r="UYN30" s="371"/>
      <c r="UYO30" s="371"/>
      <c r="UYP30" s="371"/>
      <c r="UYQ30" s="371"/>
      <c r="UYR30" s="371"/>
      <c r="UYS30" s="371"/>
      <c r="UYT30" s="371"/>
      <c r="UYU30" s="371"/>
      <c r="UYV30" s="371"/>
      <c r="UYW30" s="371"/>
      <c r="UYX30" s="371"/>
      <c r="UYY30" s="371"/>
      <c r="UYZ30" s="371"/>
      <c r="UZA30" s="371"/>
      <c r="UZB30" s="371"/>
      <c r="UZC30" s="371"/>
      <c r="UZD30" s="371"/>
      <c r="UZE30" s="371"/>
      <c r="UZF30" s="371"/>
      <c r="UZG30" s="371"/>
      <c r="UZH30" s="371"/>
      <c r="UZI30" s="382"/>
      <c r="UZM30" s="371"/>
      <c r="UZN30" s="371"/>
      <c r="UZO30" s="371"/>
      <c r="UZP30" s="371"/>
      <c r="UZQ30" s="371"/>
      <c r="UZR30" s="371"/>
      <c r="UZS30" s="371"/>
      <c r="UZT30" s="371"/>
      <c r="UZU30" s="371"/>
      <c r="UZV30" s="371"/>
      <c r="UZW30" s="371"/>
      <c r="UZX30" s="371"/>
      <c r="UZY30" s="371"/>
      <c r="UZZ30" s="371"/>
      <c r="VAA30" s="371"/>
      <c r="VAB30" s="371"/>
      <c r="VAC30" s="371"/>
      <c r="VAD30" s="371"/>
      <c r="VAE30" s="371"/>
      <c r="VAF30" s="371"/>
      <c r="VAG30" s="371"/>
      <c r="VAH30" s="371"/>
      <c r="VAI30" s="371"/>
      <c r="VAJ30" s="371"/>
      <c r="VAK30" s="371"/>
      <c r="VAL30" s="371"/>
      <c r="VAM30" s="382"/>
      <c r="VAQ30" s="371"/>
      <c r="VAR30" s="371"/>
      <c r="VAS30" s="371"/>
      <c r="VAT30" s="371"/>
      <c r="VAU30" s="371"/>
      <c r="VAV30" s="371"/>
      <c r="VAW30" s="371"/>
      <c r="VAX30" s="371"/>
      <c r="VAY30" s="371"/>
      <c r="VAZ30" s="371"/>
      <c r="VBA30" s="371"/>
      <c r="VBB30" s="371"/>
      <c r="VBC30" s="371"/>
      <c r="VBD30" s="371"/>
      <c r="VBE30" s="371"/>
      <c r="VBF30" s="371"/>
      <c r="VBG30" s="371"/>
      <c r="VBH30" s="371"/>
      <c r="VBI30" s="371"/>
      <c r="VBJ30" s="371"/>
      <c r="VBK30" s="371"/>
      <c r="VBL30" s="371"/>
      <c r="VBM30" s="371"/>
      <c r="VBN30" s="371"/>
      <c r="VBO30" s="371"/>
      <c r="VBP30" s="371"/>
      <c r="VBQ30" s="382"/>
      <c r="VBU30" s="371"/>
      <c r="VBV30" s="371"/>
      <c r="VBW30" s="371"/>
      <c r="VBX30" s="371"/>
      <c r="VBY30" s="371"/>
      <c r="VBZ30" s="371"/>
      <c r="VCA30" s="371"/>
      <c r="VCB30" s="371"/>
      <c r="VCC30" s="371"/>
      <c r="VCD30" s="371"/>
      <c r="VCE30" s="371"/>
      <c r="VCF30" s="371"/>
      <c r="VCG30" s="371"/>
      <c r="VCH30" s="371"/>
      <c r="VCI30" s="371"/>
      <c r="VCJ30" s="371"/>
      <c r="VCK30" s="371"/>
      <c r="VCL30" s="371"/>
      <c r="VCM30" s="371"/>
      <c r="VCN30" s="371"/>
      <c r="VCO30" s="371"/>
      <c r="VCP30" s="371"/>
      <c r="VCQ30" s="371"/>
      <c r="VCR30" s="371"/>
      <c r="VCS30" s="371"/>
      <c r="VCT30" s="371"/>
      <c r="VCU30" s="382"/>
      <c r="VCY30" s="371"/>
      <c r="VCZ30" s="371"/>
      <c r="VDA30" s="371"/>
      <c r="VDB30" s="371"/>
      <c r="VDC30" s="371"/>
      <c r="VDD30" s="371"/>
      <c r="VDE30" s="371"/>
      <c r="VDF30" s="371"/>
      <c r="VDG30" s="371"/>
      <c r="VDH30" s="371"/>
      <c r="VDI30" s="371"/>
      <c r="VDJ30" s="371"/>
      <c r="VDK30" s="371"/>
      <c r="VDL30" s="371"/>
      <c r="VDM30" s="371"/>
      <c r="VDN30" s="371"/>
      <c r="VDO30" s="371"/>
      <c r="VDP30" s="371"/>
      <c r="VDQ30" s="371"/>
      <c r="VDR30" s="371"/>
      <c r="VDS30" s="371"/>
      <c r="VDT30" s="371"/>
      <c r="VDU30" s="371"/>
      <c r="VDV30" s="371"/>
      <c r="VDW30" s="371"/>
      <c r="VDX30" s="371"/>
      <c r="VDY30" s="382"/>
      <c r="VEC30" s="371"/>
      <c r="VED30" s="371"/>
      <c r="VEE30" s="371"/>
      <c r="VEF30" s="371"/>
      <c r="VEG30" s="371"/>
      <c r="VEH30" s="371"/>
      <c r="VEI30" s="371"/>
      <c r="VEJ30" s="371"/>
      <c r="VEK30" s="371"/>
      <c r="VEL30" s="371"/>
      <c r="VEM30" s="371"/>
      <c r="VEN30" s="371"/>
      <c r="VEO30" s="371"/>
      <c r="VEP30" s="371"/>
      <c r="VEQ30" s="371"/>
      <c r="VER30" s="371"/>
      <c r="VES30" s="371"/>
      <c r="VET30" s="371"/>
      <c r="VEU30" s="371"/>
      <c r="VEV30" s="371"/>
      <c r="VEW30" s="371"/>
      <c r="VEX30" s="371"/>
      <c r="VEY30" s="371"/>
      <c r="VEZ30" s="371"/>
      <c r="VFA30" s="371"/>
      <c r="VFB30" s="371"/>
      <c r="VFC30" s="382"/>
      <c r="VFG30" s="371"/>
      <c r="VFH30" s="371"/>
      <c r="VFI30" s="371"/>
      <c r="VFJ30" s="371"/>
      <c r="VFK30" s="371"/>
      <c r="VFL30" s="371"/>
      <c r="VFM30" s="371"/>
      <c r="VFN30" s="371"/>
      <c r="VFO30" s="371"/>
      <c r="VFP30" s="371"/>
      <c r="VFQ30" s="371"/>
      <c r="VFR30" s="371"/>
      <c r="VFS30" s="371"/>
      <c r="VFT30" s="371"/>
      <c r="VFU30" s="371"/>
      <c r="VFV30" s="371"/>
      <c r="VFW30" s="371"/>
      <c r="VFX30" s="371"/>
      <c r="VFY30" s="371"/>
      <c r="VFZ30" s="371"/>
      <c r="VGA30" s="371"/>
      <c r="VGB30" s="371"/>
      <c r="VGC30" s="371"/>
      <c r="VGD30" s="371"/>
      <c r="VGE30" s="371"/>
      <c r="VGF30" s="371"/>
      <c r="VGG30" s="382"/>
      <c r="VGK30" s="371"/>
      <c r="VGL30" s="371"/>
      <c r="VGM30" s="371"/>
      <c r="VGN30" s="371"/>
      <c r="VGO30" s="371"/>
      <c r="VGP30" s="371"/>
      <c r="VGQ30" s="371"/>
      <c r="VGR30" s="371"/>
      <c r="VGS30" s="371"/>
      <c r="VGT30" s="371"/>
      <c r="VGU30" s="371"/>
      <c r="VGV30" s="371"/>
      <c r="VGW30" s="371"/>
      <c r="VGX30" s="371"/>
      <c r="VGY30" s="371"/>
      <c r="VGZ30" s="371"/>
      <c r="VHA30" s="371"/>
      <c r="VHB30" s="371"/>
      <c r="VHC30" s="371"/>
      <c r="VHD30" s="371"/>
      <c r="VHE30" s="371"/>
      <c r="VHF30" s="371"/>
      <c r="VHG30" s="371"/>
      <c r="VHH30" s="371"/>
      <c r="VHI30" s="371"/>
      <c r="VHJ30" s="371"/>
      <c r="VHK30" s="382"/>
      <c r="VHO30" s="371"/>
      <c r="VHP30" s="371"/>
      <c r="VHQ30" s="371"/>
      <c r="VHR30" s="371"/>
      <c r="VHS30" s="371"/>
      <c r="VHT30" s="371"/>
      <c r="VHU30" s="371"/>
      <c r="VHV30" s="371"/>
      <c r="VHW30" s="371"/>
      <c r="VHX30" s="371"/>
      <c r="VHY30" s="371"/>
      <c r="VHZ30" s="371"/>
      <c r="VIA30" s="371"/>
      <c r="VIB30" s="371"/>
      <c r="VIC30" s="371"/>
      <c r="VID30" s="371"/>
      <c r="VIE30" s="371"/>
      <c r="VIF30" s="371"/>
      <c r="VIG30" s="371"/>
      <c r="VIH30" s="371"/>
      <c r="VII30" s="371"/>
      <c r="VIJ30" s="371"/>
      <c r="VIK30" s="371"/>
      <c r="VIL30" s="371"/>
      <c r="VIM30" s="371"/>
      <c r="VIN30" s="371"/>
      <c r="VIO30" s="382"/>
      <c r="VIS30" s="371"/>
      <c r="VIT30" s="371"/>
      <c r="VIU30" s="371"/>
      <c r="VIV30" s="371"/>
      <c r="VIW30" s="371"/>
      <c r="VIX30" s="371"/>
      <c r="VIY30" s="371"/>
      <c r="VIZ30" s="371"/>
      <c r="VJA30" s="371"/>
      <c r="VJB30" s="371"/>
      <c r="VJC30" s="371"/>
      <c r="VJD30" s="371"/>
      <c r="VJE30" s="371"/>
      <c r="VJF30" s="371"/>
      <c r="VJG30" s="371"/>
      <c r="VJH30" s="371"/>
      <c r="VJI30" s="371"/>
      <c r="VJJ30" s="371"/>
      <c r="VJK30" s="371"/>
      <c r="VJL30" s="371"/>
      <c r="VJM30" s="371"/>
      <c r="VJN30" s="371"/>
      <c r="VJO30" s="371"/>
      <c r="VJP30" s="371"/>
      <c r="VJQ30" s="371"/>
      <c r="VJR30" s="371"/>
      <c r="VJS30" s="382"/>
      <c r="VJW30" s="371"/>
      <c r="VJX30" s="371"/>
      <c r="VJY30" s="371"/>
      <c r="VJZ30" s="371"/>
      <c r="VKA30" s="371"/>
      <c r="VKB30" s="371"/>
      <c r="VKC30" s="371"/>
      <c r="VKD30" s="371"/>
      <c r="VKE30" s="371"/>
      <c r="VKF30" s="371"/>
      <c r="VKG30" s="371"/>
      <c r="VKH30" s="371"/>
      <c r="VKI30" s="371"/>
      <c r="VKJ30" s="371"/>
      <c r="VKK30" s="371"/>
      <c r="VKL30" s="371"/>
      <c r="VKM30" s="371"/>
      <c r="VKN30" s="371"/>
      <c r="VKO30" s="371"/>
      <c r="VKP30" s="371"/>
      <c r="VKQ30" s="371"/>
      <c r="VKR30" s="371"/>
      <c r="VKS30" s="371"/>
      <c r="VKT30" s="371"/>
      <c r="VKU30" s="371"/>
      <c r="VKV30" s="371"/>
      <c r="VKW30" s="382"/>
      <c r="VLA30" s="371"/>
      <c r="VLB30" s="371"/>
      <c r="VLC30" s="371"/>
      <c r="VLD30" s="371"/>
      <c r="VLE30" s="371"/>
      <c r="VLF30" s="371"/>
      <c r="VLG30" s="371"/>
      <c r="VLH30" s="371"/>
      <c r="VLI30" s="371"/>
      <c r="VLJ30" s="371"/>
      <c r="VLK30" s="371"/>
      <c r="VLL30" s="371"/>
      <c r="VLM30" s="371"/>
      <c r="VLN30" s="371"/>
      <c r="VLO30" s="371"/>
      <c r="VLP30" s="371"/>
      <c r="VLQ30" s="371"/>
      <c r="VLR30" s="371"/>
      <c r="VLS30" s="371"/>
      <c r="VLT30" s="371"/>
      <c r="VLU30" s="371"/>
      <c r="VLV30" s="371"/>
      <c r="VLW30" s="371"/>
      <c r="VLX30" s="371"/>
      <c r="VLY30" s="371"/>
      <c r="VLZ30" s="371"/>
      <c r="VMA30" s="382"/>
      <c r="VME30" s="371"/>
      <c r="VMF30" s="371"/>
      <c r="VMG30" s="371"/>
      <c r="VMH30" s="371"/>
      <c r="VMI30" s="371"/>
      <c r="VMJ30" s="371"/>
      <c r="VMK30" s="371"/>
      <c r="VML30" s="371"/>
      <c r="VMM30" s="371"/>
      <c r="VMN30" s="371"/>
      <c r="VMO30" s="371"/>
      <c r="VMP30" s="371"/>
      <c r="VMQ30" s="371"/>
      <c r="VMR30" s="371"/>
      <c r="VMS30" s="371"/>
      <c r="VMT30" s="371"/>
      <c r="VMU30" s="371"/>
      <c r="VMV30" s="371"/>
      <c r="VMW30" s="371"/>
      <c r="VMX30" s="371"/>
      <c r="VMY30" s="371"/>
      <c r="VMZ30" s="371"/>
      <c r="VNA30" s="371"/>
      <c r="VNB30" s="371"/>
      <c r="VNC30" s="371"/>
      <c r="VND30" s="371"/>
      <c r="VNE30" s="382"/>
      <c r="VNI30" s="371"/>
      <c r="VNJ30" s="371"/>
      <c r="VNK30" s="371"/>
      <c r="VNL30" s="371"/>
      <c r="VNM30" s="371"/>
      <c r="VNN30" s="371"/>
      <c r="VNO30" s="371"/>
      <c r="VNP30" s="371"/>
      <c r="VNQ30" s="371"/>
      <c r="VNR30" s="371"/>
      <c r="VNS30" s="371"/>
      <c r="VNT30" s="371"/>
      <c r="VNU30" s="371"/>
      <c r="VNV30" s="371"/>
      <c r="VNW30" s="371"/>
      <c r="VNX30" s="371"/>
      <c r="VNY30" s="371"/>
      <c r="VNZ30" s="371"/>
      <c r="VOA30" s="371"/>
      <c r="VOB30" s="371"/>
      <c r="VOC30" s="371"/>
      <c r="VOD30" s="371"/>
      <c r="VOE30" s="371"/>
      <c r="VOF30" s="371"/>
      <c r="VOG30" s="371"/>
      <c r="VOH30" s="371"/>
      <c r="VOI30" s="382"/>
      <c r="VOM30" s="371"/>
      <c r="VON30" s="371"/>
      <c r="VOO30" s="371"/>
      <c r="VOP30" s="371"/>
      <c r="VOQ30" s="371"/>
      <c r="VOR30" s="371"/>
      <c r="VOS30" s="371"/>
      <c r="VOT30" s="371"/>
      <c r="VOU30" s="371"/>
      <c r="VOV30" s="371"/>
      <c r="VOW30" s="371"/>
      <c r="VOX30" s="371"/>
      <c r="VOY30" s="371"/>
      <c r="VOZ30" s="371"/>
      <c r="VPA30" s="371"/>
      <c r="VPB30" s="371"/>
      <c r="VPC30" s="371"/>
      <c r="VPD30" s="371"/>
      <c r="VPE30" s="371"/>
      <c r="VPF30" s="371"/>
      <c r="VPG30" s="371"/>
      <c r="VPH30" s="371"/>
      <c r="VPI30" s="371"/>
      <c r="VPJ30" s="371"/>
      <c r="VPK30" s="371"/>
      <c r="VPL30" s="371"/>
      <c r="VPM30" s="382"/>
      <c r="VPQ30" s="371"/>
      <c r="VPR30" s="371"/>
      <c r="VPS30" s="371"/>
      <c r="VPT30" s="371"/>
      <c r="VPU30" s="371"/>
      <c r="VPV30" s="371"/>
      <c r="VPW30" s="371"/>
      <c r="VPX30" s="371"/>
      <c r="VPY30" s="371"/>
      <c r="VPZ30" s="371"/>
      <c r="VQA30" s="371"/>
      <c r="VQB30" s="371"/>
      <c r="VQC30" s="371"/>
      <c r="VQD30" s="371"/>
      <c r="VQE30" s="371"/>
      <c r="VQF30" s="371"/>
      <c r="VQG30" s="371"/>
      <c r="VQH30" s="371"/>
      <c r="VQI30" s="371"/>
      <c r="VQJ30" s="371"/>
      <c r="VQK30" s="371"/>
      <c r="VQL30" s="371"/>
      <c r="VQM30" s="371"/>
      <c r="VQN30" s="371"/>
      <c r="VQO30" s="371"/>
      <c r="VQP30" s="371"/>
      <c r="VQQ30" s="382"/>
      <c r="VQU30" s="371"/>
      <c r="VQV30" s="371"/>
      <c r="VQW30" s="371"/>
      <c r="VQX30" s="371"/>
      <c r="VQY30" s="371"/>
      <c r="VQZ30" s="371"/>
      <c r="VRA30" s="371"/>
      <c r="VRB30" s="371"/>
      <c r="VRC30" s="371"/>
      <c r="VRD30" s="371"/>
      <c r="VRE30" s="371"/>
      <c r="VRF30" s="371"/>
      <c r="VRG30" s="371"/>
      <c r="VRH30" s="371"/>
      <c r="VRI30" s="371"/>
      <c r="VRJ30" s="371"/>
      <c r="VRK30" s="371"/>
      <c r="VRL30" s="371"/>
      <c r="VRM30" s="371"/>
      <c r="VRN30" s="371"/>
      <c r="VRO30" s="371"/>
      <c r="VRP30" s="371"/>
      <c r="VRQ30" s="371"/>
      <c r="VRR30" s="371"/>
      <c r="VRS30" s="371"/>
      <c r="VRT30" s="371"/>
      <c r="VRU30" s="382"/>
      <c r="VRY30" s="371"/>
      <c r="VRZ30" s="371"/>
      <c r="VSA30" s="371"/>
      <c r="VSB30" s="371"/>
      <c r="VSC30" s="371"/>
      <c r="VSD30" s="371"/>
      <c r="VSE30" s="371"/>
      <c r="VSF30" s="371"/>
      <c r="VSG30" s="371"/>
      <c r="VSH30" s="371"/>
      <c r="VSI30" s="371"/>
      <c r="VSJ30" s="371"/>
      <c r="VSK30" s="371"/>
      <c r="VSL30" s="371"/>
      <c r="VSM30" s="371"/>
      <c r="VSN30" s="371"/>
      <c r="VSO30" s="371"/>
      <c r="VSP30" s="371"/>
      <c r="VSQ30" s="371"/>
      <c r="VSR30" s="371"/>
      <c r="VSS30" s="371"/>
      <c r="VST30" s="371"/>
      <c r="VSU30" s="371"/>
      <c r="VSV30" s="371"/>
      <c r="VSW30" s="371"/>
      <c r="VSX30" s="371"/>
      <c r="VSY30" s="382"/>
      <c r="VTC30" s="371"/>
      <c r="VTD30" s="371"/>
      <c r="VTE30" s="371"/>
      <c r="VTF30" s="371"/>
      <c r="VTG30" s="371"/>
      <c r="VTH30" s="371"/>
      <c r="VTI30" s="371"/>
      <c r="VTJ30" s="371"/>
      <c r="VTK30" s="371"/>
      <c r="VTL30" s="371"/>
      <c r="VTM30" s="371"/>
      <c r="VTN30" s="371"/>
      <c r="VTO30" s="371"/>
      <c r="VTP30" s="371"/>
      <c r="VTQ30" s="371"/>
      <c r="VTR30" s="371"/>
      <c r="VTS30" s="371"/>
      <c r="VTT30" s="371"/>
      <c r="VTU30" s="371"/>
      <c r="VTV30" s="371"/>
      <c r="VTW30" s="371"/>
      <c r="VTX30" s="371"/>
      <c r="VTY30" s="371"/>
      <c r="VTZ30" s="371"/>
      <c r="VUA30" s="371"/>
      <c r="VUB30" s="371"/>
      <c r="VUC30" s="382"/>
      <c r="VUG30" s="371"/>
      <c r="VUH30" s="371"/>
      <c r="VUI30" s="371"/>
      <c r="VUJ30" s="371"/>
      <c r="VUK30" s="371"/>
      <c r="VUL30" s="371"/>
      <c r="VUM30" s="371"/>
      <c r="VUN30" s="371"/>
      <c r="VUO30" s="371"/>
      <c r="VUP30" s="371"/>
      <c r="VUQ30" s="371"/>
      <c r="VUR30" s="371"/>
      <c r="VUS30" s="371"/>
      <c r="VUT30" s="371"/>
      <c r="VUU30" s="371"/>
      <c r="VUV30" s="371"/>
      <c r="VUW30" s="371"/>
      <c r="VUX30" s="371"/>
      <c r="VUY30" s="371"/>
      <c r="VUZ30" s="371"/>
      <c r="VVA30" s="371"/>
      <c r="VVB30" s="371"/>
      <c r="VVC30" s="371"/>
      <c r="VVD30" s="371"/>
      <c r="VVE30" s="371"/>
      <c r="VVF30" s="371"/>
      <c r="VVG30" s="382"/>
      <c r="VVK30" s="371"/>
      <c r="VVL30" s="371"/>
      <c r="VVM30" s="371"/>
      <c r="VVN30" s="371"/>
      <c r="VVO30" s="371"/>
      <c r="VVP30" s="371"/>
      <c r="VVQ30" s="371"/>
      <c r="VVR30" s="371"/>
      <c r="VVS30" s="371"/>
      <c r="VVT30" s="371"/>
      <c r="VVU30" s="371"/>
      <c r="VVV30" s="371"/>
      <c r="VVW30" s="371"/>
      <c r="VVX30" s="371"/>
      <c r="VVY30" s="371"/>
      <c r="VVZ30" s="371"/>
      <c r="VWA30" s="371"/>
      <c r="VWB30" s="371"/>
      <c r="VWC30" s="371"/>
      <c r="VWD30" s="371"/>
      <c r="VWE30" s="371"/>
      <c r="VWF30" s="371"/>
      <c r="VWG30" s="371"/>
      <c r="VWH30" s="371"/>
      <c r="VWI30" s="371"/>
      <c r="VWJ30" s="371"/>
      <c r="VWK30" s="382"/>
      <c r="VWO30" s="371"/>
      <c r="VWP30" s="371"/>
      <c r="VWQ30" s="371"/>
      <c r="VWR30" s="371"/>
      <c r="VWS30" s="371"/>
      <c r="VWT30" s="371"/>
      <c r="VWU30" s="371"/>
      <c r="VWV30" s="371"/>
      <c r="VWW30" s="371"/>
      <c r="VWX30" s="371"/>
      <c r="VWY30" s="371"/>
      <c r="VWZ30" s="371"/>
      <c r="VXA30" s="371"/>
      <c r="VXB30" s="371"/>
      <c r="VXC30" s="371"/>
      <c r="VXD30" s="371"/>
      <c r="VXE30" s="371"/>
      <c r="VXF30" s="371"/>
      <c r="VXG30" s="371"/>
      <c r="VXH30" s="371"/>
      <c r="VXI30" s="371"/>
      <c r="VXJ30" s="371"/>
      <c r="VXK30" s="371"/>
      <c r="VXL30" s="371"/>
      <c r="VXM30" s="371"/>
      <c r="VXN30" s="371"/>
      <c r="VXO30" s="382"/>
      <c r="VXS30" s="371"/>
      <c r="VXT30" s="371"/>
      <c r="VXU30" s="371"/>
      <c r="VXV30" s="371"/>
      <c r="VXW30" s="371"/>
      <c r="VXX30" s="371"/>
      <c r="VXY30" s="371"/>
      <c r="VXZ30" s="371"/>
      <c r="VYA30" s="371"/>
      <c r="VYB30" s="371"/>
      <c r="VYC30" s="371"/>
      <c r="VYD30" s="371"/>
      <c r="VYE30" s="371"/>
      <c r="VYF30" s="371"/>
      <c r="VYG30" s="371"/>
      <c r="VYH30" s="371"/>
      <c r="VYI30" s="371"/>
      <c r="VYJ30" s="371"/>
      <c r="VYK30" s="371"/>
      <c r="VYL30" s="371"/>
      <c r="VYM30" s="371"/>
      <c r="VYN30" s="371"/>
      <c r="VYO30" s="371"/>
      <c r="VYP30" s="371"/>
      <c r="VYQ30" s="371"/>
      <c r="VYR30" s="371"/>
      <c r="VYS30" s="382"/>
      <c r="VYW30" s="371"/>
      <c r="VYX30" s="371"/>
      <c r="VYY30" s="371"/>
      <c r="VYZ30" s="371"/>
      <c r="VZA30" s="371"/>
      <c r="VZB30" s="371"/>
      <c r="VZC30" s="371"/>
      <c r="VZD30" s="371"/>
      <c r="VZE30" s="371"/>
      <c r="VZF30" s="371"/>
      <c r="VZG30" s="371"/>
      <c r="VZH30" s="371"/>
      <c r="VZI30" s="371"/>
      <c r="VZJ30" s="371"/>
      <c r="VZK30" s="371"/>
      <c r="VZL30" s="371"/>
      <c r="VZM30" s="371"/>
      <c r="VZN30" s="371"/>
      <c r="VZO30" s="371"/>
      <c r="VZP30" s="371"/>
      <c r="VZQ30" s="371"/>
      <c r="VZR30" s="371"/>
      <c r="VZS30" s="371"/>
      <c r="VZT30" s="371"/>
      <c r="VZU30" s="371"/>
      <c r="VZV30" s="371"/>
      <c r="VZW30" s="382"/>
      <c r="WAA30" s="371"/>
      <c r="WAB30" s="371"/>
      <c r="WAC30" s="371"/>
      <c r="WAD30" s="371"/>
      <c r="WAE30" s="371"/>
      <c r="WAF30" s="371"/>
      <c r="WAG30" s="371"/>
      <c r="WAH30" s="371"/>
      <c r="WAI30" s="371"/>
      <c r="WAJ30" s="371"/>
      <c r="WAK30" s="371"/>
      <c r="WAL30" s="371"/>
      <c r="WAM30" s="371"/>
      <c r="WAN30" s="371"/>
      <c r="WAO30" s="371"/>
      <c r="WAP30" s="371"/>
      <c r="WAQ30" s="371"/>
      <c r="WAR30" s="371"/>
      <c r="WAS30" s="371"/>
      <c r="WAT30" s="371"/>
      <c r="WAU30" s="371"/>
      <c r="WAV30" s="371"/>
      <c r="WAW30" s="371"/>
      <c r="WAX30" s="371"/>
      <c r="WAY30" s="371"/>
      <c r="WAZ30" s="371"/>
      <c r="WBA30" s="382"/>
      <c r="WBE30" s="371"/>
      <c r="WBF30" s="371"/>
      <c r="WBG30" s="371"/>
      <c r="WBH30" s="371"/>
      <c r="WBI30" s="371"/>
      <c r="WBJ30" s="371"/>
      <c r="WBK30" s="371"/>
      <c r="WBL30" s="371"/>
      <c r="WBM30" s="371"/>
      <c r="WBN30" s="371"/>
      <c r="WBO30" s="371"/>
      <c r="WBP30" s="371"/>
      <c r="WBQ30" s="371"/>
      <c r="WBR30" s="371"/>
      <c r="WBS30" s="371"/>
      <c r="WBT30" s="371"/>
      <c r="WBU30" s="371"/>
      <c r="WBV30" s="371"/>
      <c r="WBW30" s="371"/>
      <c r="WBX30" s="371"/>
      <c r="WBY30" s="371"/>
      <c r="WBZ30" s="371"/>
      <c r="WCA30" s="371"/>
      <c r="WCB30" s="371"/>
      <c r="WCC30" s="371"/>
      <c r="WCD30" s="371"/>
      <c r="WCE30" s="382"/>
      <c r="WCI30" s="371"/>
      <c r="WCJ30" s="371"/>
      <c r="WCK30" s="371"/>
      <c r="WCL30" s="371"/>
      <c r="WCM30" s="371"/>
      <c r="WCN30" s="371"/>
      <c r="WCO30" s="371"/>
      <c r="WCP30" s="371"/>
      <c r="WCQ30" s="371"/>
      <c r="WCR30" s="371"/>
      <c r="WCS30" s="371"/>
      <c r="WCT30" s="371"/>
      <c r="WCU30" s="371"/>
      <c r="WCV30" s="371"/>
      <c r="WCW30" s="371"/>
      <c r="WCX30" s="371"/>
      <c r="WCY30" s="371"/>
      <c r="WCZ30" s="371"/>
      <c r="WDA30" s="371"/>
      <c r="WDB30" s="371"/>
      <c r="WDC30" s="371"/>
      <c r="WDD30" s="371"/>
      <c r="WDE30" s="371"/>
      <c r="WDF30" s="371"/>
      <c r="WDG30" s="371"/>
      <c r="WDH30" s="371"/>
      <c r="WDI30" s="382"/>
      <c r="WDM30" s="371"/>
      <c r="WDN30" s="371"/>
      <c r="WDO30" s="371"/>
      <c r="WDP30" s="371"/>
      <c r="WDQ30" s="371"/>
      <c r="WDR30" s="371"/>
      <c r="WDS30" s="371"/>
      <c r="WDT30" s="371"/>
      <c r="WDU30" s="371"/>
      <c r="WDV30" s="371"/>
      <c r="WDW30" s="371"/>
      <c r="WDX30" s="371"/>
      <c r="WDY30" s="371"/>
      <c r="WDZ30" s="371"/>
      <c r="WEA30" s="371"/>
      <c r="WEB30" s="371"/>
      <c r="WEC30" s="371"/>
      <c r="WED30" s="371"/>
      <c r="WEE30" s="371"/>
      <c r="WEF30" s="371"/>
      <c r="WEG30" s="371"/>
      <c r="WEH30" s="371"/>
      <c r="WEI30" s="371"/>
      <c r="WEJ30" s="371"/>
      <c r="WEK30" s="371"/>
      <c r="WEL30" s="371"/>
      <c r="WEM30" s="382"/>
      <c r="WEQ30" s="371"/>
      <c r="WER30" s="371"/>
      <c r="WES30" s="371"/>
      <c r="WET30" s="371"/>
      <c r="WEU30" s="371"/>
      <c r="WEV30" s="371"/>
      <c r="WEW30" s="371"/>
      <c r="WEX30" s="371"/>
      <c r="WEY30" s="371"/>
      <c r="WEZ30" s="371"/>
      <c r="WFA30" s="371"/>
      <c r="WFB30" s="371"/>
      <c r="WFC30" s="371"/>
      <c r="WFD30" s="371"/>
      <c r="WFE30" s="371"/>
      <c r="WFF30" s="371"/>
      <c r="WFG30" s="371"/>
      <c r="WFH30" s="371"/>
      <c r="WFI30" s="371"/>
      <c r="WFJ30" s="371"/>
      <c r="WFK30" s="371"/>
      <c r="WFL30" s="371"/>
      <c r="WFM30" s="371"/>
      <c r="WFN30" s="371"/>
      <c r="WFO30" s="371"/>
      <c r="WFP30" s="371"/>
      <c r="WFQ30" s="382"/>
      <c r="WFU30" s="371"/>
      <c r="WFV30" s="371"/>
      <c r="WFW30" s="371"/>
      <c r="WFX30" s="371"/>
      <c r="WFY30" s="371"/>
      <c r="WFZ30" s="371"/>
      <c r="WGA30" s="371"/>
      <c r="WGB30" s="371"/>
      <c r="WGC30" s="371"/>
      <c r="WGD30" s="371"/>
      <c r="WGE30" s="371"/>
      <c r="WGF30" s="371"/>
      <c r="WGG30" s="371"/>
      <c r="WGH30" s="371"/>
      <c r="WGI30" s="371"/>
      <c r="WGJ30" s="371"/>
      <c r="WGK30" s="371"/>
      <c r="WGL30" s="371"/>
      <c r="WGM30" s="371"/>
      <c r="WGN30" s="371"/>
      <c r="WGO30" s="371"/>
      <c r="WGP30" s="371"/>
      <c r="WGQ30" s="371"/>
      <c r="WGR30" s="371"/>
      <c r="WGS30" s="371"/>
      <c r="WGT30" s="371"/>
      <c r="WGU30" s="382"/>
      <c r="WGY30" s="371"/>
      <c r="WGZ30" s="371"/>
      <c r="WHA30" s="371"/>
      <c r="WHB30" s="371"/>
      <c r="WHC30" s="371"/>
      <c r="WHD30" s="371"/>
      <c r="WHE30" s="371"/>
      <c r="WHF30" s="371"/>
      <c r="WHG30" s="371"/>
      <c r="WHH30" s="371"/>
      <c r="WHI30" s="371"/>
      <c r="WHJ30" s="371"/>
      <c r="WHK30" s="371"/>
      <c r="WHL30" s="371"/>
      <c r="WHM30" s="371"/>
      <c r="WHN30" s="371"/>
      <c r="WHO30" s="371"/>
      <c r="WHP30" s="371"/>
      <c r="WHQ30" s="371"/>
      <c r="WHR30" s="371"/>
      <c r="WHS30" s="371"/>
      <c r="WHT30" s="371"/>
      <c r="WHU30" s="371"/>
      <c r="WHV30" s="371"/>
      <c r="WHW30" s="371"/>
      <c r="WHX30" s="371"/>
      <c r="WHY30" s="382"/>
      <c r="WIC30" s="371"/>
      <c r="WID30" s="371"/>
      <c r="WIE30" s="371"/>
      <c r="WIF30" s="371"/>
      <c r="WIG30" s="371"/>
      <c r="WIH30" s="371"/>
      <c r="WII30" s="371"/>
      <c r="WIJ30" s="371"/>
      <c r="WIK30" s="371"/>
      <c r="WIL30" s="371"/>
      <c r="WIM30" s="371"/>
      <c r="WIN30" s="371"/>
      <c r="WIO30" s="371"/>
      <c r="WIP30" s="371"/>
      <c r="WIQ30" s="371"/>
      <c r="WIR30" s="371"/>
      <c r="WIS30" s="371"/>
      <c r="WIT30" s="371"/>
      <c r="WIU30" s="371"/>
      <c r="WIV30" s="371"/>
      <c r="WIW30" s="371"/>
      <c r="WIX30" s="371"/>
      <c r="WIY30" s="371"/>
      <c r="WIZ30" s="371"/>
      <c r="WJA30" s="371"/>
      <c r="WJB30" s="371"/>
      <c r="WJC30" s="382"/>
      <c r="WJG30" s="371"/>
      <c r="WJH30" s="371"/>
      <c r="WJI30" s="371"/>
      <c r="WJJ30" s="371"/>
      <c r="WJK30" s="371"/>
      <c r="WJL30" s="371"/>
      <c r="WJM30" s="371"/>
      <c r="WJN30" s="371"/>
      <c r="WJO30" s="371"/>
      <c r="WJP30" s="371"/>
      <c r="WJQ30" s="371"/>
      <c r="WJR30" s="371"/>
      <c r="WJS30" s="371"/>
      <c r="WJT30" s="371"/>
      <c r="WJU30" s="371"/>
      <c r="WJV30" s="371"/>
      <c r="WJW30" s="371"/>
      <c r="WJX30" s="371"/>
      <c r="WJY30" s="371"/>
      <c r="WJZ30" s="371"/>
      <c r="WKA30" s="371"/>
      <c r="WKB30" s="371"/>
      <c r="WKC30" s="371"/>
      <c r="WKD30" s="371"/>
      <c r="WKE30" s="371"/>
      <c r="WKF30" s="371"/>
      <c r="WKG30" s="382"/>
      <c r="WKK30" s="371"/>
      <c r="WKL30" s="371"/>
      <c r="WKM30" s="371"/>
      <c r="WKN30" s="371"/>
      <c r="WKO30" s="371"/>
      <c r="WKP30" s="371"/>
      <c r="WKQ30" s="371"/>
      <c r="WKR30" s="371"/>
      <c r="WKS30" s="371"/>
      <c r="WKT30" s="371"/>
      <c r="WKU30" s="371"/>
      <c r="WKV30" s="371"/>
      <c r="WKW30" s="371"/>
      <c r="WKX30" s="371"/>
      <c r="WKY30" s="371"/>
      <c r="WKZ30" s="371"/>
      <c r="WLA30" s="371"/>
      <c r="WLB30" s="371"/>
      <c r="WLC30" s="371"/>
      <c r="WLD30" s="371"/>
      <c r="WLE30" s="371"/>
      <c r="WLF30" s="371"/>
      <c r="WLG30" s="371"/>
      <c r="WLH30" s="371"/>
      <c r="WLI30" s="371"/>
      <c r="WLJ30" s="371"/>
      <c r="WLK30" s="382"/>
      <c r="WLO30" s="371"/>
      <c r="WLP30" s="371"/>
      <c r="WLQ30" s="371"/>
      <c r="WLR30" s="371"/>
      <c r="WLS30" s="371"/>
      <c r="WLT30" s="371"/>
      <c r="WLU30" s="371"/>
      <c r="WLV30" s="371"/>
      <c r="WLW30" s="371"/>
      <c r="WLX30" s="371"/>
      <c r="WLY30" s="371"/>
      <c r="WLZ30" s="371"/>
      <c r="WMA30" s="371"/>
      <c r="WMB30" s="371"/>
      <c r="WMC30" s="371"/>
      <c r="WMD30" s="371"/>
      <c r="WME30" s="371"/>
      <c r="WMF30" s="371"/>
      <c r="WMG30" s="371"/>
      <c r="WMH30" s="371"/>
      <c r="WMI30" s="371"/>
      <c r="WMJ30" s="371"/>
      <c r="WMK30" s="371"/>
      <c r="WML30" s="371"/>
      <c r="WMM30" s="371"/>
      <c r="WMN30" s="371"/>
      <c r="WMO30" s="382"/>
      <c r="WMS30" s="371"/>
      <c r="WMT30" s="371"/>
      <c r="WMU30" s="371"/>
      <c r="WMV30" s="371"/>
      <c r="WMW30" s="371"/>
      <c r="WMX30" s="371"/>
      <c r="WMY30" s="371"/>
      <c r="WMZ30" s="371"/>
      <c r="WNA30" s="371"/>
      <c r="WNB30" s="371"/>
      <c r="WNC30" s="371"/>
      <c r="WND30" s="371"/>
      <c r="WNE30" s="371"/>
      <c r="WNF30" s="371"/>
      <c r="WNG30" s="371"/>
      <c r="WNH30" s="371"/>
      <c r="WNI30" s="371"/>
      <c r="WNJ30" s="371"/>
      <c r="WNK30" s="371"/>
      <c r="WNL30" s="371"/>
      <c r="WNM30" s="371"/>
      <c r="WNN30" s="371"/>
      <c r="WNO30" s="371"/>
      <c r="WNP30" s="371"/>
      <c r="WNQ30" s="371"/>
      <c r="WNR30" s="371"/>
      <c r="WNS30" s="382"/>
      <c r="WNW30" s="371"/>
      <c r="WNX30" s="371"/>
      <c r="WNY30" s="371"/>
      <c r="WNZ30" s="371"/>
      <c r="WOA30" s="371"/>
      <c r="WOB30" s="371"/>
      <c r="WOC30" s="371"/>
      <c r="WOD30" s="371"/>
      <c r="WOE30" s="371"/>
      <c r="WOF30" s="371"/>
      <c r="WOG30" s="371"/>
      <c r="WOH30" s="371"/>
      <c r="WOI30" s="371"/>
      <c r="WOJ30" s="371"/>
      <c r="WOK30" s="371"/>
      <c r="WOL30" s="371"/>
      <c r="WOM30" s="371"/>
      <c r="WON30" s="371"/>
      <c r="WOO30" s="371"/>
      <c r="WOP30" s="371"/>
      <c r="WOQ30" s="371"/>
      <c r="WOR30" s="371"/>
      <c r="WOS30" s="371"/>
      <c r="WOT30" s="371"/>
      <c r="WOU30" s="371"/>
      <c r="WOV30" s="371"/>
      <c r="WOW30" s="382"/>
      <c r="WPA30" s="371"/>
      <c r="WPB30" s="371"/>
      <c r="WPC30" s="371"/>
      <c r="WPD30" s="371"/>
      <c r="WPE30" s="371"/>
      <c r="WPF30" s="371"/>
      <c r="WPG30" s="371"/>
      <c r="WPH30" s="371"/>
      <c r="WPI30" s="371"/>
      <c r="WPJ30" s="371"/>
      <c r="WPK30" s="371"/>
      <c r="WPL30" s="371"/>
      <c r="WPM30" s="371"/>
      <c r="WPN30" s="371"/>
      <c r="WPO30" s="371"/>
      <c r="WPP30" s="371"/>
      <c r="WPQ30" s="371"/>
      <c r="WPR30" s="371"/>
      <c r="WPS30" s="371"/>
      <c r="WPT30" s="371"/>
      <c r="WPU30" s="371"/>
      <c r="WPV30" s="371"/>
      <c r="WPW30" s="371"/>
      <c r="WPX30" s="371"/>
      <c r="WPY30" s="371"/>
      <c r="WPZ30" s="371"/>
      <c r="WQA30" s="382"/>
      <c r="WQE30" s="371"/>
      <c r="WQF30" s="371"/>
      <c r="WQG30" s="371"/>
      <c r="WQH30" s="371"/>
      <c r="WQI30" s="371"/>
      <c r="WQJ30" s="371"/>
      <c r="WQK30" s="371"/>
      <c r="WQL30" s="371"/>
      <c r="WQM30" s="371"/>
      <c r="WQN30" s="371"/>
      <c r="WQO30" s="371"/>
      <c r="WQP30" s="371"/>
      <c r="WQQ30" s="371"/>
      <c r="WQR30" s="371"/>
      <c r="WQS30" s="371"/>
      <c r="WQT30" s="371"/>
      <c r="WQU30" s="371"/>
      <c r="WQV30" s="371"/>
      <c r="WQW30" s="371"/>
      <c r="WQX30" s="371"/>
      <c r="WQY30" s="371"/>
      <c r="WQZ30" s="371"/>
      <c r="WRA30" s="371"/>
      <c r="WRB30" s="371"/>
      <c r="WRC30" s="371"/>
      <c r="WRD30" s="371"/>
      <c r="WRE30" s="382"/>
      <c r="WRI30" s="371"/>
      <c r="WRJ30" s="371"/>
      <c r="WRK30" s="371"/>
      <c r="WRL30" s="371"/>
      <c r="WRM30" s="371"/>
      <c r="WRN30" s="371"/>
      <c r="WRO30" s="371"/>
      <c r="WRP30" s="371"/>
      <c r="WRQ30" s="371"/>
      <c r="WRR30" s="371"/>
      <c r="WRS30" s="371"/>
      <c r="WRT30" s="371"/>
      <c r="WRU30" s="371"/>
      <c r="WRV30" s="371"/>
      <c r="WRW30" s="371"/>
      <c r="WRX30" s="371"/>
      <c r="WRY30" s="371"/>
      <c r="WRZ30" s="371"/>
      <c r="WSA30" s="371"/>
      <c r="WSB30" s="371"/>
      <c r="WSC30" s="371"/>
      <c r="WSD30" s="371"/>
      <c r="WSE30" s="371"/>
      <c r="WSF30" s="371"/>
      <c r="WSG30" s="371"/>
      <c r="WSH30" s="371"/>
      <c r="WSI30" s="382"/>
      <c r="WSM30" s="371"/>
      <c r="WSN30" s="371"/>
      <c r="WSO30" s="371"/>
      <c r="WSP30" s="371"/>
      <c r="WSQ30" s="371"/>
      <c r="WSR30" s="371"/>
      <c r="WSS30" s="371"/>
      <c r="WST30" s="371"/>
      <c r="WSU30" s="371"/>
      <c r="WSV30" s="371"/>
      <c r="WSW30" s="371"/>
      <c r="WSX30" s="371"/>
      <c r="WSY30" s="371"/>
      <c r="WSZ30" s="371"/>
      <c r="WTA30" s="371"/>
      <c r="WTB30" s="371"/>
      <c r="WTC30" s="371"/>
      <c r="WTD30" s="371"/>
      <c r="WTE30" s="371"/>
      <c r="WTF30" s="371"/>
      <c r="WTG30" s="371"/>
      <c r="WTH30" s="371"/>
      <c r="WTI30" s="371"/>
      <c r="WTJ30" s="371"/>
      <c r="WTK30" s="371"/>
      <c r="WTL30" s="371"/>
      <c r="WTM30" s="382"/>
      <c r="WTQ30" s="371"/>
      <c r="WTR30" s="371"/>
      <c r="WTS30" s="371"/>
      <c r="WTT30" s="371"/>
      <c r="WTU30" s="371"/>
      <c r="WTV30" s="371"/>
      <c r="WTW30" s="371"/>
      <c r="WTX30" s="371"/>
      <c r="WTY30" s="371"/>
      <c r="WTZ30" s="371"/>
      <c r="WUA30" s="371"/>
      <c r="WUB30" s="371"/>
      <c r="WUC30" s="371"/>
      <c r="WUD30" s="371"/>
      <c r="WUE30" s="371"/>
      <c r="WUF30" s="371"/>
      <c r="WUG30" s="371"/>
      <c r="WUH30" s="371"/>
      <c r="WUI30" s="371"/>
      <c r="WUJ30" s="371"/>
      <c r="WUK30" s="371"/>
      <c r="WUL30" s="371"/>
      <c r="WUM30" s="371"/>
      <c r="WUN30" s="371"/>
      <c r="WUO30" s="371"/>
      <c r="WUP30" s="371"/>
      <c r="WUQ30" s="382"/>
      <c r="WUU30" s="371"/>
      <c r="WUV30" s="371"/>
      <c r="WUW30" s="371"/>
      <c r="WUX30" s="371"/>
      <c r="WUY30" s="371"/>
      <c r="WUZ30" s="371"/>
      <c r="WVA30" s="371"/>
      <c r="WVB30" s="371"/>
      <c r="WVC30" s="371"/>
      <c r="WVD30" s="371"/>
      <c r="WVE30" s="371"/>
      <c r="WVF30" s="371"/>
      <c r="WVG30" s="371"/>
      <c r="WVH30" s="371"/>
      <c r="WVI30" s="371"/>
      <c r="WVJ30" s="371"/>
      <c r="WVK30" s="371"/>
      <c r="WVL30" s="371"/>
      <c r="WVM30" s="371"/>
      <c r="WVN30" s="371"/>
      <c r="WVO30" s="371"/>
      <c r="WVP30" s="371"/>
      <c r="WVQ30" s="371"/>
      <c r="WVR30" s="371"/>
      <c r="WVS30" s="371"/>
      <c r="WVT30" s="371"/>
      <c r="WVU30" s="382"/>
      <c r="WVY30" s="371"/>
      <c r="WVZ30" s="371"/>
      <c r="WWA30" s="371"/>
      <c r="WWB30" s="371"/>
      <c r="WWC30" s="371"/>
      <c r="WWD30" s="371"/>
      <c r="WWE30" s="371"/>
      <c r="WWF30" s="371"/>
      <c r="WWG30" s="371"/>
      <c r="WWH30" s="371"/>
      <c r="WWI30" s="371"/>
      <c r="WWJ30" s="371"/>
      <c r="WWK30" s="371"/>
      <c r="WWL30" s="371"/>
      <c r="WWM30" s="371"/>
      <c r="WWN30" s="371"/>
      <c r="WWO30" s="371"/>
      <c r="WWP30" s="371"/>
      <c r="WWQ30" s="371"/>
      <c r="WWR30" s="371"/>
      <c r="WWS30" s="371"/>
      <c r="WWT30" s="371"/>
      <c r="WWU30" s="371"/>
      <c r="WWV30" s="371"/>
      <c r="WWW30" s="371"/>
      <c r="WWX30" s="371"/>
      <c r="WWY30" s="382"/>
      <c r="WXC30" s="371"/>
      <c r="WXD30" s="371"/>
      <c r="WXE30" s="371"/>
      <c r="WXF30" s="371"/>
      <c r="WXG30" s="371"/>
      <c r="WXH30" s="371"/>
      <c r="WXI30" s="371"/>
      <c r="WXJ30" s="371"/>
      <c r="WXK30" s="371"/>
      <c r="WXL30" s="371"/>
      <c r="WXM30" s="371"/>
      <c r="WXN30" s="371"/>
      <c r="WXO30" s="371"/>
      <c r="WXP30" s="371"/>
      <c r="WXQ30" s="371"/>
      <c r="WXR30" s="371"/>
      <c r="WXS30" s="371"/>
      <c r="WXT30" s="371"/>
      <c r="WXU30" s="371"/>
      <c r="WXV30" s="371"/>
      <c r="WXW30" s="371"/>
      <c r="WXX30" s="371"/>
      <c r="WXY30" s="371"/>
      <c r="WXZ30" s="371"/>
      <c r="WYA30" s="371"/>
      <c r="WYB30" s="371"/>
      <c r="WYC30" s="382"/>
      <c r="WYG30" s="371"/>
      <c r="WYH30" s="371"/>
      <c r="WYI30" s="371"/>
      <c r="WYJ30" s="371"/>
      <c r="WYK30" s="371"/>
      <c r="WYL30" s="371"/>
      <c r="WYM30" s="371"/>
      <c r="WYN30" s="371"/>
      <c r="WYO30" s="371"/>
      <c r="WYP30" s="371"/>
      <c r="WYQ30" s="371"/>
      <c r="WYR30" s="371"/>
      <c r="WYS30" s="371"/>
      <c r="WYT30" s="371"/>
      <c r="WYU30" s="371"/>
      <c r="WYV30" s="371"/>
      <c r="WYW30" s="371"/>
      <c r="WYX30" s="371"/>
      <c r="WYY30" s="371"/>
      <c r="WYZ30" s="371"/>
      <c r="WZA30" s="371"/>
      <c r="WZB30" s="371"/>
      <c r="WZC30" s="371"/>
      <c r="WZD30" s="371"/>
      <c r="WZE30" s="371"/>
      <c r="WZF30" s="371"/>
      <c r="WZG30" s="382"/>
      <c r="WZK30" s="371"/>
      <c r="WZL30" s="371"/>
      <c r="WZM30" s="371"/>
      <c r="WZN30" s="371"/>
      <c r="WZO30" s="371"/>
      <c r="WZP30" s="371"/>
      <c r="WZQ30" s="371"/>
      <c r="WZR30" s="371"/>
      <c r="WZS30" s="371"/>
      <c r="WZT30" s="371"/>
      <c r="WZU30" s="371"/>
      <c r="WZV30" s="371"/>
      <c r="WZW30" s="371"/>
      <c r="WZX30" s="371"/>
      <c r="WZY30" s="371"/>
      <c r="WZZ30" s="371"/>
      <c r="XAA30" s="371"/>
      <c r="XAB30" s="371"/>
      <c r="XAC30" s="371"/>
      <c r="XAD30" s="371"/>
      <c r="XAE30" s="371"/>
      <c r="XAF30" s="371"/>
      <c r="XAG30" s="371"/>
      <c r="XAH30" s="371"/>
      <c r="XAI30" s="371"/>
      <c r="XAJ30" s="371"/>
      <c r="XAK30" s="382"/>
      <c r="XAO30" s="371"/>
      <c r="XAP30" s="371"/>
      <c r="XAQ30" s="371"/>
      <c r="XAR30" s="371"/>
      <c r="XAS30" s="371"/>
      <c r="XAT30" s="371"/>
      <c r="XAU30" s="371"/>
      <c r="XAV30" s="371"/>
      <c r="XAW30" s="371"/>
      <c r="XAX30" s="371"/>
      <c r="XAY30" s="371"/>
      <c r="XAZ30" s="371"/>
      <c r="XBA30" s="371"/>
      <c r="XBB30" s="371"/>
      <c r="XBC30" s="371"/>
      <c r="XBD30" s="371"/>
      <c r="XBE30" s="371"/>
      <c r="XBF30" s="371"/>
      <c r="XBG30" s="371"/>
      <c r="XBH30" s="371"/>
      <c r="XBI30" s="371"/>
      <c r="XBJ30" s="371"/>
      <c r="XBK30" s="371"/>
      <c r="XBL30" s="371"/>
      <c r="XBM30" s="371"/>
      <c r="XBN30" s="371"/>
      <c r="XBO30" s="382"/>
      <c r="XBS30" s="371"/>
      <c r="XBT30" s="371"/>
      <c r="XBU30" s="371"/>
      <c r="XBV30" s="371"/>
      <c r="XBW30" s="371"/>
      <c r="XBX30" s="371"/>
      <c r="XBY30" s="371"/>
      <c r="XBZ30" s="371"/>
      <c r="XCA30" s="371"/>
      <c r="XCB30" s="371"/>
      <c r="XCC30" s="371"/>
      <c r="XCD30" s="371"/>
      <c r="XCE30" s="371"/>
      <c r="XCF30" s="371"/>
      <c r="XCG30" s="371"/>
      <c r="XCH30" s="371"/>
      <c r="XCI30" s="371"/>
      <c r="XCJ30" s="371"/>
      <c r="XCK30" s="371"/>
      <c r="XCL30" s="371"/>
      <c r="XCM30" s="371"/>
      <c r="XCN30" s="371"/>
      <c r="XCO30" s="371"/>
      <c r="XCP30" s="371"/>
      <c r="XCQ30" s="371"/>
      <c r="XCR30" s="371"/>
      <c r="XCS30" s="382"/>
      <c r="XCW30" s="371"/>
      <c r="XCX30" s="371"/>
      <c r="XCY30" s="371"/>
      <c r="XCZ30" s="371"/>
      <c r="XDA30" s="371"/>
      <c r="XDB30" s="371"/>
      <c r="XDC30" s="371"/>
      <c r="XDD30" s="371"/>
      <c r="XDE30" s="371"/>
      <c r="XDF30" s="371"/>
      <c r="XDG30" s="371"/>
      <c r="XDH30" s="371"/>
      <c r="XDI30" s="371"/>
      <c r="XDJ30" s="371"/>
      <c r="XDK30" s="371"/>
      <c r="XDL30" s="371"/>
      <c r="XDM30" s="371"/>
      <c r="XDN30" s="371"/>
      <c r="XDO30" s="371"/>
      <c r="XDP30" s="371"/>
      <c r="XDQ30" s="371"/>
      <c r="XDR30" s="371"/>
      <c r="XDS30" s="371"/>
      <c r="XDT30" s="371"/>
      <c r="XDU30" s="371"/>
      <c r="XDV30" s="371"/>
      <c r="XDW30" s="382"/>
      <c r="XEA30" s="371"/>
      <c r="XEB30" s="371"/>
      <c r="XEC30" s="371"/>
      <c r="XED30" s="371"/>
      <c r="XEE30" s="371"/>
      <c r="XEF30" s="371"/>
      <c r="XEG30" s="371"/>
      <c r="XEH30" s="371"/>
      <c r="XEI30" s="371"/>
      <c r="XEJ30" s="371"/>
      <c r="XEK30" s="371"/>
      <c r="XEL30" s="371"/>
      <c r="XEM30" s="371"/>
      <c r="XEN30" s="371"/>
      <c r="XEO30" s="371"/>
      <c r="XEP30" s="371"/>
      <c r="XEQ30" s="371"/>
      <c r="XER30" s="371"/>
      <c r="XES30" s="371"/>
      <c r="XET30" s="371"/>
      <c r="XEU30" s="371"/>
      <c r="XEV30" s="371"/>
      <c r="XEW30" s="371"/>
      <c r="XEX30" s="371"/>
      <c r="XEY30" s="371"/>
      <c r="XEZ30" s="371"/>
      <c r="XFA30" s="382"/>
    </row>
    <row r="31" spans="1:16384" customFormat="1" x14ac:dyDescent="0.35">
      <c r="A31" s="2">
        <v>6</v>
      </c>
      <c r="B31" s="1" t="s">
        <v>702</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spans="1:16384" customFormat="1" x14ac:dyDescent="0.35">
      <c r="A32" s="388"/>
      <c r="B32" s="1"/>
      <c r="C32" s="249" t="s">
        <v>704</v>
      </c>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x14ac:dyDescent="0.35">
      <c r="A33" s="388"/>
      <c r="B33" s="1"/>
      <c r="C33" s="249" t="s">
        <v>703</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x14ac:dyDescent="0.35">
      <c r="A34" s="388"/>
      <c r="B34" s="1"/>
      <c r="C34" s="249"/>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x14ac:dyDescent="0.35">
      <c r="A35" s="388"/>
      <c r="B35" s="165" t="s">
        <v>714</v>
      </c>
      <c r="C35" s="1"/>
      <c r="E35" s="367" t="s">
        <v>658</v>
      </c>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x14ac:dyDescent="0.35">
      <c r="A36" s="388"/>
      <c r="B36" s="384">
        <v>6.1</v>
      </c>
      <c r="C36" s="1" t="s">
        <v>736</v>
      </c>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x14ac:dyDescent="0.35">
      <c r="A37" s="388"/>
      <c r="B37" s="384"/>
      <c r="C37" s="371" t="s">
        <v>730</v>
      </c>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x14ac:dyDescent="0.35">
      <c r="A38" s="2"/>
      <c r="B38" s="384"/>
      <c r="C38" s="371" t="s">
        <v>731</v>
      </c>
      <c r="H38" s="242" t="s">
        <v>715</v>
      </c>
      <c r="I38" s="374" t="s">
        <v>691</v>
      </c>
      <c r="J38" s="370"/>
      <c r="K38" s="371"/>
      <c r="L38" s="370"/>
      <c r="M38" s="370"/>
      <c r="N38" s="370"/>
      <c r="R38" s="371"/>
      <c r="S38" s="370"/>
      <c r="T38" s="1"/>
      <c r="U38" s="1"/>
      <c r="V38" s="1"/>
      <c r="X38" s="1"/>
      <c r="Y38" s="1"/>
      <c r="Z38" s="1"/>
      <c r="AA38" s="1"/>
      <c r="AB38" s="1"/>
      <c r="AC38" s="1"/>
      <c r="AD38" s="1"/>
      <c r="AE38" s="1"/>
      <c r="AF38" s="1"/>
      <c r="AG38" s="1"/>
      <c r="AH38" s="1"/>
      <c r="AI38" s="1"/>
    </row>
    <row r="39" spans="1:35" x14ac:dyDescent="0.35">
      <c r="A39" s="2"/>
      <c r="C39" s="371"/>
      <c r="H39" s="90"/>
      <c r="I39" s="371"/>
      <c r="J39" s="370"/>
      <c r="K39" s="371"/>
      <c r="L39" s="370"/>
      <c r="M39" s="370"/>
      <c r="N39" s="370"/>
      <c r="R39" s="371"/>
      <c r="S39" s="370"/>
      <c r="T39" s="1"/>
      <c r="U39" s="1"/>
      <c r="V39" s="1"/>
      <c r="X39" s="1"/>
      <c r="Y39" s="1"/>
      <c r="Z39" s="1"/>
      <c r="AA39" s="1"/>
      <c r="AB39" s="1"/>
      <c r="AC39" s="1"/>
      <c r="AD39" s="1"/>
      <c r="AE39" s="1"/>
      <c r="AF39" s="1"/>
      <c r="AG39" s="1"/>
      <c r="AH39" s="1"/>
      <c r="AI39" s="1"/>
    </row>
    <row r="40" spans="1:35" x14ac:dyDescent="0.35">
      <c r="A40" s="388"/>
      <c r="B40" s="384">
        <v>6.2</v>
      </c>
      <c r="C40" s="371" t="s">
        <v>732</v>
      </c>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x14ac:dyDescent="0.35">
      <c r="A41" s="388"/>
      <c r="B41" s="384"/>
      <c r="C41" s="371" t="s">
        <v>730</v>
      </c>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x14ac:dyDescent="0.35">
      <c r="A42" s="2"/>
      <c r="B42" s="384"/>
      <c r="C42" s="371" t="s">
        <v>721</v>
      </c>
      <c r="H42" s="389" t="s">
        <v>705</v>
      </c>
      <c r="I42" s="374" t="s">
        <v>691</v>
      </c>
      <c r="J42" s="369"/>
      <c r="K42" s="371" t="s">
        <v>734</v>
      </c>
      <c r="R42" s="1"/>
      <c r="S42" s="1"/>
      <c r="T42" s="33" t="s">
        <v>722</v>
      </c>
      <c r="U42" s="1"/>
      <c r="X42" s="1"/>
      <c r="Y42" s="1"/>
      <c r="Z42" s="1"/>
      <c r="AA42" s="1"/>
      <c r="AB42" s="1"/>
      <c r="AC42" s="1"/>
      <c r="AD42" s="1"/>
      <c r="AE42" s="1"/>
      <c r="AF42" s="1"/>
      <c r="AG42" s="1"/>
      <c r="AH42" s="1"/>
      <c r="AI42" s="1"/>
    </row>
    <row r="43" spans="1:35" x14ac:dyDescent="0.35">
      <c r="A43" s="2"/>
      <c r="C43" s="1"/>
      <c r="D43" s="1"/>
      <c r="E43" s="1"/>
      <c r="F43" s="1"/>
      <c r="G43" s="1"/>
      <c r="H43" s="242" t="s">
        <v>706</v>
      </c>
      <c r="I43" s="374" t="s">
        <v>691</v>
      </c>
      <c r="J43" s="79"/>
      <c r="K43" s="371" t="s">
        <v>759</v>
      </c>
      <c r="R43" s="1"/>
      <c r="S43" s="1"/>
      <c r="T43" s="33" t="s">
        <v>723</v>
      </c>
      <c r="U43" s="1"/>
      <c r="X43" s="1"/>
      <c r="Y43" s="1"/>
      <c r="Z43" s="1"/>
      <c r="AA43" s="1"/>
      <c r="AB43" s="1"/>
      <c r="AC43" s="1"/>
      <c r="AD43" s="1"/>
      <c r="AE43" s="1"/>
      <c r="AF43" s="1"/>
      <c r="AG43" s="1"/>
      <c r="AH43" s="1"/>
      <c r="AI43" s="1"/>
    </row>
    <row r="44" spans="1:35" x14ac:dyDescent="0.35">
      <c r="A44" s="2"/>
      <c r="C44" s="1"/>
      <c r="D44" s="1"/>
      <c r="E44" s="1"/>
      <c r="F44" s="1"/>
      <c r="G44" s="1"/>
      <c r="H44" s="1"/>
      <c r="I44" s="90"/>
      <c r="J44" s="79"/>
      <c r="K44" s="371"/>
      <c r="R44" s="1"/>
      <c r="S44" s="1"/>
      <c r="T44" s="1"/>
      <c r="U44" s="1"/>
      <c r="X44" s="1"/>
      <c r="Y44" s="1"/>
      <c r="Z44" s="1"/>
      <c r="AA44" s="1"/>
      <c r="AB44" s="1"/>
      <c r="AC44" s="1"/>
      <c r="AD44" s="1"/>
      <c r="AE44" s="1"/>
      <c r="AF44" s="1"/>
      <c r="AG44" s="1"/>
      <c r="AH44" s="1"/>
      <c r="AI44" s="1"/>
    </row>
    <row r="45" spans="1:35" x14ac:dyDescent="0.35">
      <c r="A45" s="2"/>
      <c r="B45" s="386">
        <v>6.3</v>
      </c>
      <c r="C45" s="1" t="s">
        <v>716</v>
      </c>
      <c r="D45" s="1"/>
      <c r="F45" s="1"/>
      <c r="G45" s="1"/>
      <c r="H45" s="242" t="s">
        <v>706</v>
      </c>
      <c r="I45" s="389" t="s">
        <v>707</v>
      </c>
      <c r="J45" s="1"/>
      <c r="K45" s="1" t="s">
        <v>665</v>
      </c>
      <c r="L45" s="1"/>
      <c r="M45" s="1"/>
      <c r="N45" s="1"/>
      <c r="S45" s="1"/>
      <c r="T45" s="1"/>
      <c r="U45" s="1"/>
      <c r="V45" s="1"/>
      <c r="X45" s="1"/>
      <c r="Y45" s="1"/>
      <c r="Z45" s="1"/>
      <c r="AA45" s="1"/>
      <c r="AB45" s="1"/>
      <c r="AC45" s="1"/>
      <c r="AD45" s="1"/>
      <c r="AE45" s="1"/>
      <c r="AF45" s="1"/>
      <c r="AG45" s="1"/>
      <c r="AH45" s="1"/>
      <c r="AI45" s="1"/>
    </row>
    <row r="46" spans="1:35" x14ac:dyDescent="0.35">
      <c r="A46" s="2"/>
      <c r="B46" s="369"/>
      <c r="C46" s="1"/>
      <c r="D46" s="1"/>
      <c r="F46" s="1"/>
      <c r="G46" s="1"/>
      <c r="H46" s="90"/>
      <c r="I46" s="90"/>
      <c r="J46" s="1"/>
      <c r="K46" s="1"/>
      <c r="L46" s="1"/>
      <c r="M46" s="1"/>
      <c r="N46" s="1"/>
      <c r="R46" s="1"/>
      <c r="S46" s="1"/>
      <c r="T46" s="1"/>
      <c r="U46" s="1"/>
      <c r="V46" s="1"/>
      <c r="X46" s="1"/>
      <c r="Y46" s="1"/>
      <c r="Z46" s="1"/>
      <c r="AA46" s="1"/>
      <c r="AB46" s="1"/>
      <c r="AC46" s="1"/>
      <c r="AD46" s="1"/>
      <c r="AE46" s="1"/>
      <c r="AF46" s="1"/>
      <c r="AG46" s="1"/>
      <c r="AH46" s="1"/>
      <c r="AI46" s="1"/>
    </row>
    <row r="47" spans="1:35" x14ac:dyDescent="0.35">
      <c r="A47" s="2"/>
      <c r="B47" s="391" t="s">
        <v>735</v>
      </c>
      <c r="C47" s="1"/>
      <c r="D47" s="1"/>
      <c r="E47" s="367" t="s">
        <v>657</v>
      </c>
      <c r="F47" s="1"/>
      <c r="G47" s="1"/>
      <c r="H47" s="90"/>
      <c r="I47" s="90"/>
      <c r="J47" s="1"/>
      <c r="K47" s="1"/>
      <c r="L47" s="1"/>
      <c r="M47" s="1"/>
      <c r="N47" s="1"/>
      <c r="R47" s="1"/>
      <c r="S47" s="1"/>
      <c r="T47" s="1"/>
      <c r="U47" s="1"/>
      <c r="V47" s="1"/>
      <c r="X47" s="1"/>
      <c r="Y47" s="1"/>
      <c r="Z47" s="1"/>
      <c r="AA47" s="1"/>
      <c r="AB47" s="1"/>
      <c r="AC47" s="1"/>
      <c r="AD47" s="1"/>
      <c r="AE47" s="1"/>
      <c r="AF47" s="1"/>
      <c r="AG47" s="1"/>
      <c r="AH47" s="1"/>
      <c r="AI47" s="1"/>
    </row>
    <row r="48" spans="1:35" x14ac:dyDescent="0.35">
      <c r="A48" s="384"/>
      <c r="B48" s="2">
        <v>6.4</v>
      </c>
      <c r="C48" s="1"/>
      <c r="D48" s="1" t="s">
        <v>547</v>
      </c>
      <c r="E48" s="1"/>
      <c r="G48" s="1"/>
      <c r="H48" s="374" t="s">
        <v>692</v>
      </c>
      <c r="I48" s="374" t="s">
        <v>708</v>
      </c>
      <c r="J48" s="1"/>
    </row>
    <row r="49" spans="1:35" x14ac:dyDescent="0.35">
      <c r="A49" s="384"/>
      <c r="C49" s="1"/>
      <c r="D49" s="1"/>
      <c r="E49" s="1"/>
      <c r="G49" s="1"/>
      <c r="H49" s="90"/>
      <c r="I49" s="371"/>
      <c r="J49" s="1"/>
      <c r="K49" s="367"/>
      <c r="R49" s="1"/>
    </row>
    <row r="50" spans="1:35" x14ac:dyDescent="0.35">
      <c r="A50" s="384"/>
      <c r="B50" s="62" t="s">
        <v>740</v>
      </c>
      <c r="C50" s="1"/>
      <c r="D50" s="1"/>
      <c r="E50" s="1"/>
      <c r="G50" s="1"/>
      <c r="H50" s="90"/>
      <c r="I50" s="371"/>
      <c r="J50" s="1"/>
      <c r="K50" s="367"/>
      <c r="R50" s="1"/>
    </row>
    <row r="51" spans="1:35" x14ac:dyDescent="0.35">
      <c r="A51" s="2"/>
      <c r="B51" s="2">
        <v>6.5</v>
      </c>
      <c r="C51" s="368" t="s">
        <v>758</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x14ac:dyDescent="0.35">
      <c r="A52" s="2"/>
      <c r="B52" s="2"/>
      <c r="C52" s="368"/>
      <c r="D52" s="1" t="s">
        <v>743</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x14ac:dyDescent="0.35">
      <c r="A53" s="2"/>
      <c r="B53" s="2"/>
      <c r="C53" s="368"/>
      <c r="D53" s="1" t="s">
        <v>744</v>
      </c>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x14ac:dyDescent="0.35">
      <c r="A54" s="2"/>
      <c r="B54" s="2"/>
      <c r="C54" s="368" t="s">
        <v>748</v>
      </c>
      <c r="D54" s="1"/>
      <c r="E54" s="1"/>
      <c r="F54" s="1"/>
      <c r="G54" s="1"/>
      <c r="H54" s="1"/>
      <c r="I54" s="1"/>
      <c r="J54" s="1"/>
      <c r="K54" s="1" t="s">
        <v>747</v>
      </c>
      <c r="L54" s="1"/>
      <c r="M54" s="1"/>
      <c r="N54" s="1"/>
      <c r="O54" s="1"/>
      <c r="P54" s="1"/>
      <c r="Q54" s="1"/>
      <c r="R54" s="1"/>
      <c r="S54" s="1"/>
      <c r="T54" s="1"/>
      <c r="U54" s="1"/>
      <c r="V54" s="1"/>
      <c r="W54" s="1"/>
      <c r="X54" s="1"/>
      <c r="Y54" s="1"/>
      <c r="Z54" s="1"/>
      <c r="AA54" s="1"/>
      <c r="AB54" s="1"/>
      <c r="AC54" s="1"/>
      <c r="AD54" s="1"/>
      <c r="AE54" s="1"/>
      <c r="AF54" s="1"/>
      <c r="AG54" s="1"/>
      <c r="AH54" s="1"/>
      <c r="AI54" s="1"/>
    </row>
    <row r="55" spans="1:35" x14ac:dyDescent="0.35">
      <c r="A55" s="2"/>
      <c r="C55" s="392" t="s">
        <v>738</v>
      </c>
      <c r="E55" s="39"/>
      <c r="F55" s="1"/>
      <c r="G55" s="1"/>
      <c r="H55" s="393" t="s">
        <v>737</v>
      </c>
      <c r="I55" s="394" t="s">
        <v>739</v>
      </c>
      <c r="J55" s="372"/>
      <c r="K55" s="1" t="s">
        <v>745</v>
      </c>
      <c r="L55" s="1"/>
      <c r="M55" s="1"/>
      <c r="N55" s="1"/>
      <c r="O55" s="1"/>
      <c r="Q55" s="1"/>
      <c r="S55" s="1"/>
      <c r="V55" s="1"/>
      <c r="W55" s="1"/>
      <c r="X55" s="1"/>
      <c r="Y55" s="1"/>
      <c r="Z55" s="1"/>
      <c r="AA55" s="1"/>
      <c r="AB55" s="1"/>
      <c r="AC55" s="1"/>
      <c r="AD55" s="1"/>
      <c r="AE55" s="1"/>
      <c r="AF55" s="1"/>
      <c r="AG55" s="1"/>
      <c r="AH55" s="1"/>
      <c r="AI55" s="1"/>
    </row>
    <row r="56" spans="1:35" x14ac:dyDescent="0.35">
      <c r="A56" s="2"/>
      <c r="C56" s="392"/>
      <c r="D56" s="1" t="s">
        <v>741</v>
      </c>
      <c r="F56" s="1"/>
      <c r="G56" s="1"/>
      <c r="H56" s="90"/>
      <c r="I56" s="90"/>
      <c r="J56" s="372"/>
      <c r="K56" s="1"/>
      <c r="L56" s="1"/>
      <c r="M56" s="1"/>
      <c r="N56" s="1"/>
      <c r="O56" s="1"/>
      <c r="Q56" s="1"/>
      <c r="S56" s="1"/>
      <c r="U56" s="1"/>
      <c r="V56" s="1"/>
      <c r="W56" s="1"/>
      <c r="X56" s="1"/>
      <c r="Y56" s="1"/>
      <c r="Z56" s="1"/>
      <c r="AA56" s="1"/>
      <c r="AB56" s="1"/>
      <c r="AC56" s="1"/>
      <c r="AD56" s="1"/>
      <c r="AE56" s="1"/>
      <c r="AF56" s="1"/>
      <c r="AG56" s="1"/>
      <c r="AH56" s="1"/>
      <c r="AI56" s="1"/>
    </row>
    <row r="57" spans="1:35" x14ac:dyDescent="0.35">
      <c r="A57" s="2"/>
      <c r="C57" s="392" t="s">
        <v>738</v>
      </c>
      <c r="E57" s="39"/>
      <c r="F57" s="1"/>
      <c r="G57" s="1"/>
      <c r="H57" s="394" t="s">
        <v>737</v>
      </c>
      <c r="I57" s="393" t="s">
        <v>739</v>
      </c>
      <c r="J57" s="372"/>
      <c r="K57" s="1" t="s">
        <v>746</v>
      </c>
      <c r="L57" s="1"/>
      <c r="M57" s="1"/>
      <c r="N57" s="1"/>
      <c r="O57" s="1"/>
      <c r="Q57" s="1"/>
      <c r="S57" s="1"/>
      <c r="V57" s="1"/>
      <c r="W57" s="1"/>
      <c r="X57" s="1"/>
      <c r="Y57" s="1"/>
      <c r="Z57" s="1"/>
      <c r="AA57" s="1"/>
      <c r="AB57" s="1"/>
      <c r="AC57" s="1"/>
      <c r="AD57" s="1"/>
      <c r="AE57" s="1"/>
      <c r="AF57" s="1"/>
      <c r="AG57" s="1"/>
      <c r="AH57" s="1"/>
      <c r="AI57" s="1"/>
    </row>
    <row r="58" spans="1:35" x14ac:dyDescent="0.35">
      <c r="A58" s="2"/>
      <c r="C58" s="392"/>
      <c r="D58" s="1" t="s">
        <v>742</v>
      </c>
      <c r="E58" s="39"/>
      <c r="F58" s="1"/>
      <c r="G58" s="1"/>
      <c r="H58" s="90"/>
      <c r="I58" s="90"/>
      <c r="J58" s="372"/>
      <c r="K58" s="1"/>
      <c r="L58" s="1"/>
      <c r="M58" s="1"/>
      <c r="N58" s="1"/>
      <c r="O58" s="1"/>
      <c r="Q58" s="1"/>
      <c r="S58" s="1"/>
      <c r="U58" s="1"/>
      <c r="V58" s="1"/>
      <c r="W58" s="1"/>
      <c r="X58" s="1"/>
      <c r="Y58" s="1"/>
      <c r="Z58" s="1"/>
      <c r="AA58" s="1"/>
      <c r="AB58" s="1"/>
      <c r="AC58" s="1"/>
      <c r="AD58" s="1"/>
      <c r="AE58" s="1"/>
      <c r="AF58" s="1"/>
      <c r="AG58" s="1"/>
      <c r="AH58" s="1"/>
      <c r="AI58" s="1"/>
    </row>
    <row r="59" spans="1:35" x14ac:dyDescent="0.35">
      <c r="A59" s="2"/>
      <c r="C59" s="392"/>
      <c r="E59" s="39"/>
      <c r="F59" s="1"/>
      <c r="G59" s="1"/>
      <c r="H59" s="90"/>
      <c r="I59" s="90"/>
      <c r="J59" s="372"/>
      <c r="K59" s="1"/>
      <c r="L59" s="1"/>
      <c r="M59" s="1"/>
      <c r="N59" s="1"/>
      <c r="O59" s="1"/>
      <c r="Q59" s="1"/>
      <c r="S59" s="1"/>
      <c r="U59" s="1"/>
      <c r="V59" s="1"/>
      <c r="W59" s="1"/>
      <c r="X59" s="1"/>
      <c r="Y59" s="1"/>
      <c r="Z59" s="1"/>
      <c r="AA59" s="1"/>
      <c r="AB59" s="1"/>
      <c r="AC59" s="1"/>
      <c r="AD59" s="1"/>
      <c r="AE59" s="1"/>
      <c r="AF59" s="1"/>
      <c r="AG59" s="1"/>
      <c r="AH59" s="1"/>
      <c r="AI59" s="1"/>
    </row>
    <row r="60" spans="1:35" x14ac:dyDescent="0.35">
      <c r="A60" s="2"/>
      <c r="C60" s="1" t="s">
        <v>749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spans="1:35" x14ac:dyDescent="0.35">
      <c r="A61" s="2"/>
      <c r="C61" s="1" t="s">
        <v>656</v>
      </c>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spans="1:35" x14ac:dyDescent="0.35">
      <c r="A62" s="2"/>
      <c r="C62" s="395" t="s">
        <v>750</v>
      </c>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spans="1:35" x14ac:dyDescent="0.35">
      <c r="A63" s="2"/>
      <c r="C63" s="1"/>
      <c r="D63" s="396" t="s">
        <v>751</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spans="1:35" x14ac:dyDescent="0.35">
      <c r="A64" s="2"/>
      <c r="C64" s="1"/>
      <c r="D64" s="396" t="s">
        <v>752</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spans="1:16384" customFormat="1" x14ac:dyDescent="0.35">
      <c r="A65" s="2"/>
      <c r="C65" s="1"/>
      <c r="D65" s="396"/>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spans="1:16384" customFormat="1" x14ac:dyDescent="0.35">
      <c r="A66" s="2">
        <v>7</v>
      </c>
      <c r="B66" s="1" t="s">
        <v>666</v>
      </c>
      <c r="C66" s="1"/>
      <c r="D66" s="1"/>
      <c r="E66" s="1" t="s">
        <v>667</v>
      </c>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spans="1:16384" customFormat="1" x14ac:dyDescent="0.35">
      <c r="A67" s="2"/>
      <c r="B67" s="1"/>
      <c r="C67" s="1"/>
      <c r="D67" s="1"/>
      <c r="E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spans="1:16384" customFormat="1" x14ac:dyDescent="0.35">
      <c r="A68" s="2">
        <v>8</v>
      </c>
      <c r="B68" s="1" t="s">
        <v>662</v>
      </c>
      <c r="C68" s="1"/>
      <c r="D68" s="1"/>
      <c r="E68" s="1"/>
      <c r="H68" s="374" t="s">
        <v>709</v>
      </c>
      <c r="I68" s="374" t="s">
        <v>693</v>
      </c>
      <c r="J68" s="1"/>
      <c r="K68" t="s">
        <v>753</v>
      </c>
      <c r="L68" s="1"/>
      <c r="N68" s="1" t="s">
        <v>663</v>
      </c>
      <c r="O68" s="1"/>
      <c r="P68" s="1"/>
      <c r="Q68" s="1"/>
      <c r="R68" s="1"/>
      <c r="S68" s="1"/>
      <c r="T68" s="1"/>
      <c r="U68" s="1"/>
      <c r="V68" s="1"/>
      <c r="W68" s="1"/>
      <c r="X68" s="1"/>
      <c r="Y68" s="1"/>
      <c r="Z68" s="1"/>
      <c r="AA68" s="1"/>
      <c r="AB68" s="1"/>
      <c r="AC68" s="1"/>
      <c r="AD68" s="1"/>
      <c r="AE68" s="1"/>
      <c r="AF68" s="1"/>
      <c r="AG68" s="1"/>
      <c r="AH68" s="1"/>
      <c r="AI68" s="1"/>
    </row>
    <row r="69" spans="1:16384" customFormat="1" x14ac:dyDescent="0.35">
      <c r="A69" s="2"/>
      <c r="B69" s="235"/>
      <c r="C69" s="1"/>
      <c r="D69" s="1"/>
      <c r="E69" s="1"/>
      <c r="G69" s="1"/>
      <c r="H69" s="375" t="s">
        <v>694</v>
      </c>
      <c r="I69" s="374" t="s">
        <v>696</v>
      </c>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spans="1:16384" customFormat="1" x14ac:dyDescent="0.35">
      <c r="A70" s="2"/>
      <c r="B70" s="1"/>
      <c r="C70" s="1"/>
      <c r="D70" s="1"/>
      <c r="E70" s="1"/>
      <c r="G70" s="1"/>
      <c r="H70" s="30" t="s">
        <v>697</v>
      </c>
      <c r="I70" s="375" t="s">
        <v>695</v>
      </c>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spans="1:16384" customFormat="1" x14ac:dyDescent="0.35">
      <c r="A71" s="2"/>
      <c r="B71" s="1"/>
      <c r="C71" s="1"/>
      <c r="D71" s="1"/>
      <c r="E71" s="1"/>
      <c r="G71" s="1"/>
      <c r="H71" s="1"/>
      <c r="I71" s="62"/>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spans="1:16384" customFormat="1" x14ac:dyDescent="0.35">
      <c r="A72" s="385" t="s">
        <v>655</v>
      </c>
      <c r="B72" s="377"/>
      <c r="C72" s="377"/>
      <c r="D72" s="377"/>
      <c r="E72" s="378"/>
      <c r="F72" s="378"/>
      <c r="G72" s="378"/>
      <c r="H72" s="378"/>
      <c r="I72" s="378"/>
      <c r="J72" s="378"/>
      <c r="K72" s="378"/>
      <c r="L72" s="378"/>
      <c r="M72" s="378"/>
      <c r="N72" s="378"/>
      <c r="O72" s="378"/>
      <c r="P72" s="378"/>
      <c r="Q72" s="378"/>
      <c r="R72" s="378"/>
      <c r="S72" s="378"/>
      <c r="T72" s="378"/>
      <c r="U72" s="378"/>
      <c r="V72" s="378"/>
      <c r="W72" s="378"/>
      <c r="X72" s="378"/>
      <c r="Y72" s="378"/>
      <c r="Z72" s="378"/>
      <c r="AA72" s="378"/>
      <c r="AB72" s="378"/>
      <c r="AC72" s="378"/>
      <c r="AD72" s="378"/>
      <c r="AE72" s="379"/>
      <c r="AF72" s="380"/>
      <c r="AG72" s="380"/>
      <c r="AH72" s="380"/>
      <c r="AI72" s="381"/>
      <c r="AJ72" s="381"/>
      <c r="AK72" s="381"/>
      <c r="AL72" s="381"/>
      <c r="AM72" s="381"/>
      <c r="AN72" s="381"/>
      <c r="AO72" s="381"/>
      <c r="AP72" s="381"/>
      <c r="AQ72" s="381"/>
      <c r="AR72" s="381"/>
      <c r="AS72" s="381"/>
      <c r="AT72" s="381"/>
      <c r="AU72" s="381"/>
      <c r="AV72" s="381"/>
      <c r="AW72" s="381"/>
      <c r="AX72" s="381"/>
      <c r="AY72" s="381"/>
      <c r="AZ72" s="381"/>
      <c r="BA72" s="381"/>
      <c r="BB72" s="381"/>
      <c r="BC72" s="381"/>
      <c r="BD72" s="381"/>
      <c r="BE72" s="381"/>
      <c r="BF72" s="381"/>
      <c r="BG72" s="381"/>
      <c r="BH72" s="381"/>
      <c r="BI72" s="379"/>
      <c r="BJ72" s="380"/>
      <c r="BK72" s="380"/>
      <c r="BL72" s="380"/>
      <c r="BM72" s="381"/>
      <c r="BN72" s="381"/>
      <c r="BO72" s="381"/>
      <c r="BP72" s="381"/>
      <c r="BQ72" s="381"/>
      <c r="BR72" s="381"/>
      <c r="BS72" s="381"/>
      <c r="BT72" s="381"/>
      <c r="BU72" s="381"/>
      <c r="BV72" s="381"/>
      <c r="BW72" s="381"/>
      <c r="BX72" s="381"/>
      <c r="BY72" s="381"/>
      <c r="BZ72" s="381"/>
      <c r="CA72" s="381"/>
      <c r="CB72" s="381"/>
      <c r="CC72" s="381"/>
      <c r="CD72" s="381"/>
      <c r="CE72" s="381"/>
      <c r="CF72" s="381"/>
      <c r="CG72" s="381"/>
      <c r="CH72" s="381"/>
      <c r="CI72" s="381"/>
      <c r="CJ72" s="381"/>
      <c r="CK72" s="381"/>
      <c r="CL72" s="381"/>
      <c r="CM72" s="379"/>
      <c r="CN72" s="380"/>
      <c r="CO72" s="380"/>
      <c r="CP72" s="380"/>
      <c r="CQ72" s="381"/>
      <c r="CR72" s="381"/>
      <c r="CS72" s="381"/>
      <c r="CT72" s="381"/>
      <c r="CU72" s="381"/>
      <c r="CV72" s="381"/>
      <c r="CW72" s="381"/>
      <c r="CX72" s="381"/>
      <c r="CY72" s="381"/>
      <c r="CZ72" s="381"/>
      <c r="DA72" s="381"/>
      <c r="DB72" s="381"/>
      <c r="DC72" s="381"/>
      <c r="DD72" s="381"/>
      <c r="DE72" s="381"/>
      <c r="DF72" s="381"/>
      <c r="DG72" s="381"/>
      <c r="DH72" s="381"/>
      <c r="DI72" s="381"/>
      <c r="DJ72" s="381"/>
      <c r="DK72" s="381"/>
      <c r="DL72" s="381"/>
      <c r="DM72" s="381"/>
      <c r="DN72" s="381"/>
      <c r="DO72" s="381"/>
      <c r="DP72" s="381"/>
      <c r="DQ72" s="379"/>
      <c r="DR72" s="380"/>
      <c r="DS72" s="380"/>
      <c r="DT72" s="380"/>
      <c r="DU72" s="381"/>
      <c r="DV72" s="381"/>
      <c r="DW72" s="381"/>
      <c r="DX72" s="381"/>
      <c r="DY72" s="381"/>
      <c r="DZ72" s="381"/>
      <c r="EA72" s="381"/>
      <c r="EB72" s="381"/>
      <c r="EC72" s="381"/>
      <c r="ED72" s="381"/>
      <c r="EE72" s="381"/>
      <c r="EF72" s="381"/>
      <c r="EG72" s="381"/>
      <c r="EH72" s="381"/>
      <c r="EI72" s="381"/>
      <c r="EJ72" s="381"/>
      <c r="EK72" s="381"/>
      <c r="EL72" s="381"/>
      <c r="EM72" s="381"/>
      <c r="EN72" s="381"/>
      <c r="EO72" s="381"/>
      <c r="EP72" s="381"/>
      <c r="EQ72" s="381"/>
      <c r="ER72" s="381"/>
      <c r="ES72" s="381"/>
      <c r="ET72" s="381"/>
      <c r="EU72" s="379"/>
      <c r="EV72" s="380"/>
      <c r="EW72" s="380"/>
      <c r="EX72" s="380"/>
      <c r="EY72" s="381"/>
      <c r="EZ72" s="381"/>
      <c r="FA72" s="381"/>
      <c r="FB72" s="381"/>
      <c r="FC72" s="381"/>
      <c r="FD72" s="381"/>
      <c r="FE72" s="381"/>
      <c r="FF72" s="381"/>
      <c r="FG72" s="381"/>
      <c r="FH72" s="381"/>
      <c r="FI72" s="381"/>
      <c r="FJ72" s="381"/>
      <c r="FK72" s="381"/>
      <c r="FL72" s="381"/>
      <c r="FM72" s="381"/>
      <c r="FN72" s="381"/>
      <c r="FO72" s="381"/>
      <c r="FP72" s="381"/>
      <c r="FQ72" s="381"/>
      <c r="FR72" s="381"/>
      <c r="FS72" s="381"/>
      <c r="FT72" s="381"/>
      <c r="FU72" s="381"/>
      <c r="FV72" s="381"/>
      <c r="FW72" s="381"/>
      <c r="FX72" s="381"/>
      <c r="FY72" s="379"/>
      <c r="FZ72" s="380"/>
      <c r="GA72" s="380"/>
      <c r="GB72" s="380"/>
      <c r="GC72" s="381"/>
      <c r="GD72" s="381"/>
      <c r="GE72" s="381"/>
      <c r="GF72" s="381"/>
      <c r="GG72" s="381"/>
      <c r="GH72" s="381"/>
      <c r="GI72" s="381"/>
      <c r="GJ72" s="381"/>
      <c r="GK72" s="381"/>
      <c r="GL72" s="381"/>
      <c r="GM72" s="381"/>
      <c r="GN72" s="381"/>
      <c r="GO72" s="381"/>
      <c r="GP72" s="381"/>
      <c r="GQ72" s="381"/>
      <c r="GR72" s="381"/>
      <c r="GS72" s="381"/>
      <c r="GT72" s="381"/>
      <c r="GU72" s="381"/>
      <c r="GV72" s="381"/>
      <c r="GW72" s="381"/>
      <c r="GX72" s="381"/>
      <c r="GY72" s="381"/>
      <c r="GZ72" s="381"/>
      <c r="HA72" s="381"/>
      <c r="HB72" s="381"/>
      <c r="HC72" s="379"/>
      <c r="HD72" s="380"/>
      <c r="HE72" s="380"/>
      <c r="HF72" s="380"/>
      <c r="HG72" s="381"/>
      <c r="HH72" s="381"/>
      <c r="HI72" s="381"/>
      <c r="HJ72" s="381"/>
      <c r="HK72" s="381"/>
      <c r="HL72" s="381"/>
      <c r="HM72" s="381"/>
      <c r="HN72" s="381"/>
      <c r="HO72" s="381"/>
      <c r="HP72" s="381"/>
      <c r="HQ72" s="381"/>
      <c r="HR72" s="381"/>
      <c r="HS72" s="381"/>
      <c r="HT72" s="381"/>
      <c r="HU72" s="381"/>
      <c r="HV72" s="381"/>
      <c r="HW72" s="381"/>
      <c r="HX72" s="381"/>
      <c r="HY72" s="381"/>
      <c r="HZ72" s="381"/>
      <c r="IA72" s="381"/>
      <c r="IB72" s="381"/>
      <c r="IC72" s="381"/>
      <c r="ID72" s="381"/>
      <c r="IE72" s="381"/>
      <c r="IF72" s="381"/>
      <c r="IG72" s="379"/>
      <c r="IH72" s="380"/>
      <c r="II72" s="380"/>
      <c r="IJ72" s="380"/>
      <c r="IK72" s="381"/>
      <c r="IL72" s="381"/>
      <c r="IM72" s="381"/>
      <c r="IN72" s="381"/>
      <c r="IO72" s="381"/>
      <c r="IP72" s="381"/>
      <c r="IQ72" s="381"/>
      <c r="IR72" s="381"/>
      <c r="IS72" s="381"/>
      <c r="IT72" s="381"/>
      <c r="IU72" s="381"/>
      <c r="IV72" s="381"/>
      <c r="IW72" s="381"/>
      <c r="IX72" s="381"/>
      <c r="IY72" s="381"/>
      <c r="IZ72" s="381"/>
      <c r="JA72" s="381"/>
      <c r="JB72" s="381"/>
      <c r="JC72" s="381"/>
      <c r="JD72" s="381"/>
      <c r="JE72" s="381"/>
      <c r="JF72" s="381"/>
      <c r="JG72" s="381"/>
      <c r="JH72" s="381"/>
      <c r="JI72" s="381"/>
      <c r="JJ72" s="381"/>
      <c r="JK72" s="379"/>
      <c r="JL72" s="380"/>
      <c r="JM72" s="380"/>
      <c r="JN72" s="380"/>
      <c r="JO72" s="381"/>
      <c r="JP72" s="381"/>
      <c r="JQ72" s="381"/>
      <c r="JR72" s="381"/>
      <c r="JS72" s="381"/>
      <c r="JT72" s="381"/>
      <c r="JU72" s="381"/>
      <c r="JV72" s="381"/>
      <c r="JW72" s="381"/>
      <c r="JX72" s="381"/>
      <c r="JY72" s="381"/>
      <c r="JZ72" s="381"/>
      <c r="KA72" s="381"/>
      <c r="KB72" s="381"/>
      <c r="KC72" s="381"/>
      <c r="KD72" s="381"/>
      <c r="KE72" s="381"/>
      <c r="KF72" s="381"/>
      <c r="KG72" s="381"/>
      <c r="KH72" s="381"/>
      <c r="KI72" s="381"/>
      <c r="KJ72" s="381"/>
      <c r="KK72" s="381"/>
      <c r="KL72" s="381"/>
      <c r="KM72" s="381"/>
      <c r="KN72" s="381"/>
      <c r="KO72" s="379"/>
      <c r="KP72" s="380"/>
      <c r="KQ72" s="380"/>
      <c r="KR72" s="380"/>
      <c r="KS72" s="381"/>
      <c r="KT72" s="381"/>
      <c r="KU72" s="381"/>
      <c r="KV72" s="381"/>
      <c r="KW72" s="381"/>
      <c r="KX72" s="381"/>
      <c r="KY72" s="381"/>
      <c r="KZ72" s="381"/>
      <c r="LA72" s="381"/>
      <c r="LB72" s="381"/>
      <c r="LC72" s="381"/>
      <c r="LD72" s="381"/>
      <c r="LE72" s="381"/>
      <c r="LF72" s="381"/>
      <c r="LG72" s="381"/>
      <c r="LH72" s="381"/>
      <c r="LI72" s="381"/>
      <c r="LJ72" s="381"/>
      <c r="LK72" s="381"/>
      <c r="LL72" s="381"/>
      <c r="LM72" s="381"/>
      <c r="LN72" s="381"/>
      <c r="LO72" s="381"/>
      <c r="LP72" s="381"/>
      <c r="LQ72" s="381"/>
      <c r="LR72" s="381"/>
      <c r="LS72" s="379"/>
      <c r="LT72" s="380"/>
      <c r="LU72" s="380"/>
      <c r="LV72" s="380"/>
      <c r="LW72" s="381"/>
      <c r="LX72" s="381"/>
      <c r="LY72" s="381"/>
      <c r="LZ72" s="381"/>
      <c r="MA72" s="381"/>
      <c r="MB72" s="381"/>
      <c r="MC72" s="381"/>
      <c r="MD72" s="381"/>
      <c r="ME72" s="381"/>
      <c r="MF72" s="381"/>
      <c r="MG72" s="381"/>
      <c r="MH72" s="381"/>
      <c r="MI72" s="381"/>
      <c r="MJ72" s="381"/>
      <c r="MK72" s="381"/>
      <c r="ML72" s="381"/>
      <c r="MM72" s="381"/>
      <c r="MN72" s="381"/>
      <c r="MO72" s="381"/>
      <c r="MP72" s="381"/>
      <c r="MQ72" s="381"/>
      <c r="MR72" s="381"/>
      <c r="MS72" s="381"/>
      <c r="MT72" s="381"/>
      <c r="MU72" s="381"/>
      <c r="MV72" s="381"/>
      <c r="MW72" s="379"/>
      <c r="MX72" s="380"/>
      <c r="MY72" s="380"/>
      <c r="MZ72" s="380"/>
      <c r="NA72" s="381"/>
      <c r="NB72" s="381"/>
      <c r="NC72" s="381"/>
      <c r="ND72" s="381"/>
      <c r="NE72" s="381"/>
      <c r="NF72" s="381"/>
      <c r="NG72" s="381"/>
      <c r="NH72" s="381"/>
      <c r="NI72" s="381"/>
      <c r="NJ72" s="381"/>
      <c r="NK72" s="381"/>
      <c r="NL72" s="381"/>
      <c r="NM72" s="381"/>
      <c r="NN72" s="381"/>
      <c r="NO72" s="381"/>
      <c r="NP72" s="381"/>
      <c r="NQ72" s="381"/>
      <c r="NR72" s="381"/>
      <c r="NS72" s="381"/>
      <c r="NT72" s="381"/>
      <c r="NU72" s="381"/>
      <c r="NV72" s="381"/>
      <c r="NW72" s="381"/>
      <c r="NX72" s="381"/>
      <c r="NY72" s="381"/>
      <c r="NZ72" s="381"/>
      <c r="OA72" s="379"/>
      <c r="OB72" s="380"/>
      <c r="OC72" s="380"/>
      <c r="OD72" s="380"/>
      <c r="OE72" s="381"/>
      <c r="OF72" s="381"/>
      <c r="OG72" s="381"/>
      <c r="OH72" s="381"/>
      <c r="OI72" s="381"/>
      <c r="OJ72" s="381"/>
      <c r="OK72" s="381"/>
      <c r="OL72" s="381"/>
      <c r="OM72" s="381"/>
      <c r="ON72" s="381"/>
      <c r="OO72" s="381"/>
      <c r="OP72" s="381"/>
      <c r="OQ72" s="381"/>
      <c r="OR72" s="381"/>
      <c r="OS72" s="381"/>
      <c r="OT72" s="381"/>
      <c r="OU72" s="381"/>
      <c r="OV72" s="381"/>
      <c r="OW72" s="381"/>
      <c r="OX72" s="381"/>
      <c r="OY72" s="381"/>
      <c r="OZ72" s="381"/>
      <c r="PA72" s="381"/>
      <c r="PB72" s="381"/>
      <c r="PC72" s="381"/>
      <c r="PD72" s="381"/>
      <c r="PE72" s="379"/>
      <c r="PF72" s="380"/>
      <c r="PG72" s="380"/>
      <c r="PH72" s="380"/>
      <c r="PI72" s="381"/>
      <c r="PJ72" s="381"/>
      <c r="PK72" s="381"/>
      <c r="PL72" s="381"/>
      <c r="PM72" s="381"/>
      <c r="PN72" s="381"/>
      <c r="PO72" s="381"/>
      <c r="PP72" s="381"/>
      <c r="PQ72" s="381"/>
      <c r="PR72" s="381"/>
      <c r="PS72" s="381"/>
      <c r="PT72" s="381"/>
      <c r="PU72" s="381"/>
      <c r="PV72" s="381"/>
      <c r="PW72" s="381"/>
      <c r="PX72" s="381"/>
      <c r="PY72" s="381"/>
      <c r="PZ72" s="381"/>
      <c r="QA72" s="381"/>
      <c r="QB72" s="381"/>
      <c r="QC72" s="381"/>
      <c r="QD72" s="381"/>
      <c r="QE72" s="381"/>
      <c r="QF72" s="381"/>
      <c r="QG72" s="381"/>
      <c r="QH72" s="381"/>
      <c r="QI72" s="379"/>
      <c r="QJ72" s="380"/>
      <c r="QK72" s="380"/>
      <c r="QL72" s="380"/>
      <c r="QM72" s="381"/>
      <c r="QN72" s="381"/>
      <c r="QO72" s="381"/>
      <c r="QP72" s="381"/>
      <c r="QQ72" s="381"/>
      <c r="QR72" s="381"/>
      <c r="QS72" s="381"/>
      <c r="QT72" s="381"/>
      <c r="QU72" s="381"/>
      <c r="QV72" s="381"/>
      <c r="QW72" s="381"/>
      <c r="QX72" s="381"/>
      <c r="QY72" s="381"/>
      <c r="QZ72" s="381"/>
      <c r="RA72" s="381"/>
      <c r="RB72" s="381"/>
      <c r="RC72" s="381"/>
      <c r="RD72" s="381"/>
      <c r="RE72" s="381"/>
      <c r="RF72" s="381"/>
      <c r="RG72" s="381"/>
      <c r="RH72" s="381"/>
      <c r="RI72" s="381"/>
      <c r="RJ72" s="381"/>
      <c r="RK72" s="381"/>
      <c r="RL72" s="381"/>
      <c r="RM72" s="379"/>
      <c r="RN72" s="380"/>
      <c r="RO72" s="380"/>
      <c r="RP72" s="380"/>
      <c r="RQ72" s="381"/>
      <c r="RR72" s="381"/>
      <c r="RS72" s="381"/>
      <c r="RT72" s="381"/>
      <c r="RU72" s="381"/>
      <c r="RV72" s="381"/>
      <c r="RW72" s="381"/>
      <c r="RX72" s="381"/>
      <c r="RY72" s="381"/>
      <c r="RZ72" s="381"/>
      <c r="SA72" s="381"/>
      <c r="SB72" s="381"/>
      <c r="SC72" s="381"/>
      <c r="SD72" s="381"/>
      <c r="SE72" s="381"/>
      <c r="SF72" s="381"/>
      <c r="SG72" s="381"/>
      <c r="SH72" s="381"/>
      <c r="SI72" s="381"/>
      <c r="SJ72" s="381"/>
      <c r="SK72" s="381"/>
      <c r="SL72" s="381"/>
      <c r="SM72" s="381"/>
      <c r="SN72" s="381"/>
      <c r="SO72" s="381"/>
      <c r="SP72" s="381"/>
      <c r="SQ72" s="379"/>
      <c r="SR72" s="380"/>
      <c r="SS72" s="380"/>
      <c r="ST72" s="380"/>
      <c r="SU72" s="381"/>
      <c r="SV72" s="381"/>
      <c r="SW72" s="381"/>
      <c r="SX72" s="381"/>
      <c r="SY72" s="381"/>
      <c r="SZ72" s="381"/>
      <c r="TA72" s="381"/>
      <c r="TB72" s="381"/>
      <c r="TC72" s="381"/>
      <c r="TD72" s="381"/>
      <c r="TE72" s="381"/>
      <c r="TF72" s="381"/>
      <c r="TG72" s="381"/>
      <c r="TH72" s="381"/>
      <c r="TI72" s="381"/>
      <c r="TJ72" s="381"/>
      <c r="TK72" s="381"/>
      <c r="TL72" s="381"/>
      <c r="TM72" s="381"/>
      <c r="TN72" s="381"/>
      <c r="TO72" s="381"/>
      <c r="TP72" s="381"/>
      <c r="TQ72" s="381"/>
      <c r="TR72" s="381"/>
      <c r="TS72" s="381"/>
      <c r="TT72" s="381"/>
      <c r="TU72" s="379"/>
      <c r="TV72" s="380"/>
      <c r="TW72" s="380"/>
      <c r="TX72" s="380"/>
      <c r="TY72" s="381"/>
      <c r="TZ72" s="381"/>
      <c r="UA72" s="381"/>
      <c r="UB72" s="381"/>
      <c r="UC72" s="381"/>
      <c r="UD72" s="381"/>
      <c r="UE72" s="381"/>
      <c r="UF72" s="381"/>
      <c r="UG72" s="381"/>
      <c r="UH72" s="381"/>
      <c r="UI72" s="381"/>
      <c r="UJ72" s="381"/>
      <c r="UK72" s="381"/>
      <c r="UL72" s="381"/>
      <c r="UM72" s="381"/>
      <c r="UN72" s="381"/>
      <c r="UO72" s="381"/>
      <c r="UP72" s="381"/>
      <c r="UQ72" s="381"/>
      <c r="UR72" s="381"/>
      <c r="US72" s="381"/>
      <c r="UT72" s="381"/>
      <c r="UU72" s="381"/>
      <c r="UV72" s="381"/>
      <c r="UW72" s="381"/>
      <c r="UX72" s="381"/>
      <c r="UY72" s="379"/>
      <c r="UZ72" s="380"/>
      <c r="VA72" s="380"/>
      <c r="VB72" s="380"/>
      <c r="VC72" s="381"/>
      <c r="VD72" s="381"/>
      <c r="VE72" s="381"/>
      <c r="VF72" s="381"/>
      <c r="VG72" s="381"/>
      <c r="VH72" s="381"/>
      <c r="VI72" s="381"/>
      <c r="VJ72" s="381"/>
      <c r="VK72" s="381"/>
      <c r="VL72" s="381"/>
      <c r="VM72" s="381"/>
      <c r="VN72" s="381"/>
      <c r="VO72" s="381"/>
      <c r="VP72" s="381"/>
      <c r="VQ72" s="381"/>
      <c r="VR72" s="381"/>
      <c r="VS72" s="381"/>
      <c r="VT72" s="381"/>
      <c r="VU72" s="381"/>
      <c r="VV72" s="381"/>
      <c r="VW72" s="381"/>
      <c r="VX72" s="381"/>
      <c r="VY72" s="381"/>
      <c r="VZ72" s="381"/>
      <c r="WA72" s="381"/>
      <c r="WB72" s="381"/>
      <c r="WC72" s="379"/>
      <c r="WD72" s="380"/>
      <c r="WE72" s="380"/>
      <c r="WF72" s="380"/>
      <c r="WG72" s="381"/>
      <c r="WH72" s="381"/>
      <c r="WI72" s="381"/>
      <c r="WJ72" s="381"/>
      <c r="WK72" s="381"/>
      <c r="WL72" s="381"/>
      <c r="WM72" s="381"/>
      <c r="WN72" s="381"/>
      <c r="WO72" s="381"/>
      <c r="WP72" s="381"/>
      <c r="WQ72" s="381"/>
      <c r="WR72" s="381"/>
      <c r="WS72" s="381"/>
      <c r="WT72" s="381"/>
      <c r="WU72" s="381"/>
      <c r="WV72" s="381"/>
      <c r="WW72" s="381"/>
      <c r="WX72" s="381"/>
      <c r="WY72" s="381"/>
      <c r="WZ72" s="381"/>
      <c r="XA72" s="381"/>
      <c r="XB72" s="381"/>
      <c r="XC72" s="381"/>
      <c r="XD72" s="381"/>
      <c r="XE72" s="381"/>
      <c r="XF72" s="381"/>
      <c r="XG72" s="379"/>
      <c r="XH72" s="380"/>
      <c r="XI72" s="380"/>
      <c r="XJ72" s="380"/>
      <c r="XK72" s="381"/>
      <c r="XL72" s="381"/>
      <c r="XM72" s="381"/>
      <c r="XN72" s="381"/>
      <c r="XO72" s="381"/>
      <c r="XP72" s="381"/>
      <c r="XQ72" s="381"/>
      <c r="XR72" s="381"/>
      <c r="XS72" s="381"/>
      <c r="XT72" s="381"/>
      <c r="XU72" s="381"/>
      <c r="XV72" s="381"/>
      <c r="XW72" s="381"/>
      <c r="XX72" s="381"/>
      <c r="XY72" s="381"/>
      <c r="XZ72" s="381"/>
      <c r="YA72" s="381"/>
      <c r="YB72" s="381"/>
      <c r="YC72" s="381"/>
      <c r="YD72" s="381"/>
      <c r="YE72" s="381"/>
      <c r="YF72" s="381"/>
      <c r="YG72" s="381"/>
      <c r="YH72" s="381"/>
      <c r="YI72" s="381"/>
      <c r="YJ72" s="381"/>
      <c r="YK72" s="379"/>
      <c r="YL72" s="380"/>
      <c r="YM72" s="380"/>
      <c r="YN72" s="380"/>
      <c r="YO72" s="381"/>
      <c r="YP72" s="381"/>
      <c r="YQ72" s="381"/>
      <c r="YR72" s="381"/>
      <c r="YS72" s="381"/>
      <c r="YT72" s="381"/>
      <c r="YU72" s="381"/>
      <c r="YV72" s="381"/>
      <c r="YW72" s="381"/>
      <c r="YX72" s="381"/>
      <c r="YY72" s="381"/>
      <c r="YZ72" s="381"/>
      <c r="ZA72" s="381"/>
      <c r="ZB72" s="381"/>
      <c r="ZC72" s="381"/>
      <c r="ZD72" s="381"/>
      <c r="ZE72" s="381"/>
      <c r="ZF72" s="381"/>
      <c r="ZG72" s="381"/>
      <c r="ZH72" s="381"/>
      <c r="ZI72" s="381"/>
      <c r="ZJ72" s="381"/>
      <c r="ZK72" s="381"/>
      <c r="ZL72" s="381"/>
      <c r="ZM72" s="381"/>
      <c r="ZN72" s="381"/>
      <c r="ZO72" s="379"/>
      <c r="ZP72" s="380"/>
      <c r="ZQ72" s="380"/>
      <c r="ZR72" s="380"/>
      <c r="ZS72" s="381"/>
      <c r="ZT72" s="381"/>
      <c r="ZU72" s="381"/>
      <c r="ZV72" s="381"/>
      <c r="ZW72" s="381"/>
      <c r="ZX72" s="381"/>
      <c r="ZY72" s="381"/>
      <c r="ZZ72" s="381"/>
      <c r="AAA72" s="381"/>
      <c r="AAB72" s="381"/>
      <c r="AAC72" s="381"/>
      <c r="AAD72" s="381"/>
      <c r="AAE72" s="381"/>
      <c r="AAF72" s="381"/>
      <c r="AAG72" s="381"/>
      <c r="AAH72" s="381"/>
      <c r="AAI72" s="381"/>
      <c r="AAJ72" s="381"/>
      <c r="AAK72" s="381"/>
      <c r="AAL72" s="381"/>
      <c r="AAM72" s="381"/>
      <c r="AAN72" s="381"/>
      <c r="AAO72" s="381"/>
      <c r="AAP72" s="381"/>
      <c r="AAQ72" s="381"/>
      <c r="AAR72" s="381"/>
      <c r="AAS72" s="379"/>
      <c r="AAT72" s="380"/>
      <c r="AAU72" s="380"/>
      <c r="AAV72" s="380"/>
      <c r="AAW72" s="381"/>
      <c r="AAX72" s="381"/>
      <c r="AAY72" s="381"/>
      <c r="AAZ72" s="381"/>
      <c r="ABA72" s="381"/>
      <c r="ABB72" s="381"/>
      <c r="ABC72" s="381"/>
      <c r="ABD72" s="381"/>
      <c r="ABE72" s="381"/>
      <c r="ABF72" s="381"/>
      <c r="ABG72" s="381"/>
      <c r="ABH72" s="381"/>
      <c r="ABI72" s="381"/>
      <c r="ABJ72" s="381"/>
      <c r="ABK72" s="381"/>
      <c r="ABL72" s="381"/>
      <c r="ABM72" s="381"/>
      <c r="ABN72" s="381"/>
      <c r="ABO72" s="381"/>
      <c r="ABP72" s="381"/>
      <c r="ABQ72" s="381"/>
      <c r="ABR72" s="381"/>
      <c r="ABS72" s="381"/>
      <c r="ABT72" s="381"/>
      <c r="ABU72" s="381"/>
      <c r="ABV72" s="381"/>
      <c r="ABW72" s="379"/>
      <c r="ABX72" s="380"/>
      <c r="ABY72" s="380"/>
      <c r="ABZ72" s="380"/>
      <c r="ACA72" s="381"/>
      <c r="ACB72" s="381"/>
      <c r="ACC72" s="381"/>
      <c r="ACD72" s="381"/>
      <c r="ACE72" s="381"/>
      <c r="ACF72" s="381"/>
      <c r="ACG72" s="381"/>
      <c r="ACH72" s="381"/>
      <c r="ACI72" s="381"/>
      <c r="ACJ72" s="381"/>
      <c r="ACK72" s="381"/>
      <c r="ACL72" s="381"/>
      <c r="ACM72" s="381"/>
      <c r="ACN72" s="381"/>
      <c r="ACO72" s="381"/>
      <c r="ACP72" s="381"/>
      <c r="ACQ72" s="381"/>
      <c r="ACR72" s="381"/>
      <c r="ACS72" s="381"/>
      <c r="ACT72" s="381"/>
      <c r="ACU72" s="381"/>
      <c r="ACV72" s="381"/>
      <c r="ACW72" s="381"/>
      <c r="ACX72" s="381"/>
      <c r="ACY72" s="381"/>
      <c r="ACZ72" s="381"/>
      <c r="ADA72" s="379"/>
      <c r="ADB72" s="380"/>
      <c r="ADC72" s="380"/>
      <c r="ADD72" s="380"/>
      <c r="ADE72" s="381"/>
      <c r="ADF72" s="381"/>
      <c r="ADG72" s="381"/>
      <c r="ADH72" s="381"/>
      <c r="ADI72" s="381"/>
      <c r="ADJ72" s="381"/>
      <c r="ADK72" s="381"/>
      <c r="ADL72" s="381"/>
      <c r="ADM72" s="381"/>
      <c r="ADN72" s="381"/>
      <c r="ADO72" s="381"/>
      <c r="ADP72" s="381"/>
      <c r="ADQ72" s="381"/>
      <c r="ADR72" s="381"/>
      <c r="ADS72" s="381"/>
      <c r="ADT72" s="381"/>
      <c r="ADU72" s="381"/>
      <c r="ADV72" s="381"/>
      <c r="ADW72" s="381"/>
      <c r="ADX72" s="381"/>
      <c r="ADY72" s="381"/>
      <c r="ADZ72" s="381"/>
      <c r="AEA72" s="381"/>
      <c r="AEB72" s="381"/>
      <c r="AEC72" s="381"/>
      <c r="AED72" s="381"/>
      <c r="AEE72" s="379"/>
      <c r="AEF72" s="380"/>
      <c r="AEG72" s="380"/>
      <c r="AEH72" s="380"/>
      <c r="AEI72" s="381"/>
      <c r="AEJ72" s="381"/>
      <c r="AEK72" s="381"/>
      <c r="AEL72" s="381"/>
      <c r="AEM72" s="381"/>
      <c r="AEN72" s="381"/>
      <c r="AEO72" s="381"/>
      <c r="AEP72" s="381"/>
      <c r="AEQ72" s="381"/>
      <c r="AER72" s="381"/>
      <c r="AES72" s="381"/>
      <c r="AET72" s="381"/>
      <c r="AEU72" s="381"/>
      <c r="AEV72" s="381"/>
      <c r="AEW72" s="381"/>
      <c r="AEX72" s="381"/>
      <c r="AEY72" s="381"/>
      <c r="AEZ72" s="381"/>
      <c r="AFA72" s="381"/>
      <c r="AFB72" s="381"/>
      <c r="AFC72" s="381"/>
      <c r="AFD72" s="381"/>
      <c r="AFE72" s="381"/>
      <c r="AFF72" s="381"/>
      <c r="AFG72" s="381"/>
      <c r="AFH72" s="381"/>
      <c r="AFI72" s="379"/>
      <c r="AFJ72" s="380"/>
      <c r="AFK72" s="380"/>
      <c r="AFL72" s="380"/>
      <c r="AFM72" s="381"/>
      <c r="AFN72" s="381"/>
      <c r="AFO72" s="381"/>
      <c r="AFP72" s="381"/>
      <c r="AFQ72" s="381"/>
      <c r="AFR72" s="381"/>
      <c r="AFS72" s="381"/>
      <c r="AFT72" s="381"/>
      <c r="AFU72" s="381"/>
      <c r="AFV72" s="381"/>
      <c r="AFW72" s="381"/>
      <c r="AFX72" s="381"/>
      <c r="AFY72" s="381"/>
      <c r="AFZ72" s="381"/>
      <c r="AGA72" s="381"/>
      <c r="AGB72" s="381"/>
      <c r="AGC72" s="381"/>
      <c r="AGD72" s="381"/>
      <c r="AGE72" s="381"/>
      <c r="AGF72" s="381"/>
      <c r="AGG72" s="381"/>
      <c r="AGH72" s="381"/>
      <c r="AGI72" s="381"/>
      <c r="AGJ72" s="381"/>
      <c r="AGK72" s="381"/>
      <c r="AGL72" s="381"/>
      <c r="AGM72" s="379"/>
      <c r="AGN72" s="380"/>
      <c r="AGO72" s="380"/>
      <c r="AGP72" s="380"/>
      <c r="AGQ72" s="381"/>
      <c r="AGR72" s="381"/>
      <c r="AGS72" s="381"/>
      <c r="AGT72" s="381"/>
      <c r="AGU72" s="381"/>
      <c r="AGV72" s="381"/>
      <c r="AGW72" s="381"/>
      <c r="AGX72" s="381"/>
      <c r="AGY72" s="381"/>
      <c r="AGZ72" s="381"/>
      <c r="AHA72" s="381"/>
      <c r="AHB72" s="381"/>
      <c r="AHC72" s="381"/>
      <c r="AHD72" s="381"/>
      <c r="AHE72" s="381"/>
      <c r="AHF72" s="381"/>
      <c r="AHG72" s="381"/>
      <c r="AHH72" s="381"/>
      <c r="AHI72" s="381"/>
      <c r="AHJ72" s="381"/>
      <c r="AHK72" s="381"/>
      <c r="AHL72" s="381"/>
      <c r="AHM72" s="381"/>
      <c r="AHN72" s="381"/>
      <c r="AHO72" s="381"/>
      <c r="AHP72" s="381"/>
      <c r="AHQ72" s="379"/>
      <c r="AHR72" s="380"/>
      <c r="AHS72" s="380"/>
      <c r="AHT72" s="380"/>
      <c r="AHU72" s="381"/>
      <c r="AHV72" s="381"/>
      <c r="AHW72" s="381"/>
      <c r="AHX72" s="381"/>
      <c r="AHY72" s="381"/>
      <c r="AHZ72" s="381"/>
      <c r="AIA72" s="381"/>
      <c r="AIB72" s="381"/>
      <c r="AIC72" s="381"/>
      <c r="AID72" s="381"/>
      <c r="AIE72" s="381"/>
      <c r="AIF72" s="381"/>
      <c r="AIG72" s="381"/>
      <c r="AIH72" s="381"/>
      <c r="AII72" s="381"/>
      <c r="AIJ72" s="381"/>
      <c r="AIK72" s="381"/>
      <c r="AIL72" s="381"/>
      <c r="AIM72" s="381"/>
      <c r="AIN72" s="381"/>
      <c r="AIO72" s="381"/>
      <c r="AIP72" s="381"/>
      <c r="AIQ72" s="381"/>
      <c r="AIR72" s="381"/>
      <c r="AIS72" s="381"/>
      <c r="AIT72" s="381"/>
      <c r="AIU72" s="379"/>
      <c r="AIV72" s="380"/>
      <c r="AIW72" s="380"/>
      <c r="AIX72" s="380"/>
      <c r="AIY72" s="381"/>
      <c r="AIZ72" s="381"/>
      <c r="AJA72" s="381"/>
      <c r="AJB72" s="381"/>
      <c r="AJC72" s="381"/>
      <c r="AJD72" s="381"/>
      <c r="AJE72" s="381"/>
      <c r="AJF72" s="381"/>
      <c r="AJG72" s="381"/>
      <c r="AJH72" s="381"/>
      <c r="AJI72" s="381"/>
      <c r="AJJ72" s="381"/>
      <c r="AJK72" s="381"/>
      <c r="AJL72" s="381"/>
      <c r="AJM72" s="381"/>
      <c r="AJN72" s="381"/>
      <c r="AJO72" s="381"/>
      <c r="AJP72" s="381"/>
      <c r="AJQ72" s="381"/>
      <c r="AJR72" s="381"/>
      <c r="AJS72" s="381"/>
      <c r="AJT72" s="381"/>
      <c r="AJU72" s="381"/>
      <c r="AJV72" s="381"/>
      <c r="AJW72" s="381"/>
      <c r="AJX72" s="381"/>
      <c r="AJY72" s="379"/>
      <c r="AJZ72" s="380"/>
      <c r="AKA72" s="380"/>
      <c r="AKB72" s="380"/>
      <c r="AKC72" s="381"/>
      <c r="AKD72" s="381"/>
      <c r="AKE72" s="381"/>
      <c r="AKF72" s="381"/>
      <c r="AKG72" s="381"/>
      <c r="AKH72" s="381"/>
      <c r="AKI72" s="381"/>
      <c r="AKJ72" s="381"/>
      <c r="AKK72" s="381"/>
      <c r="AKL72" s="381"/>
      <c r="AKM72" s="381"/>
      <c r="AKN72" s="381"/>
      <c r="AKO72" s="381"/>
      <c r="AKP72" s="381"/>
      <c r="AKQ72" s="381"/>
      <c r="AKR72" s="381"/>
      <c r="AKS72" s="381"/>
      <c r="AKT72" s="381"/>
      <c r="AKU72" s="381"/>
      <c r="AKV72" s="381"/>
      <c r="AKW72" s="381"/>
      <c r="AKX72" s="381"/>
      <c r="AKY72" s="381"/>
      <c r="AKZ72" s="381"/>
      <c r="ALA72" s="381"/>
      <c r="ALB72" s="381"/>
      <c r="ALC72" s="379"/>
      <c r="ALD72" s="380"/>
      <c r="ALE72" s="380"/>
      <c r="ALF72" s="380"/>
      <c r="ALG72" s="381"/>
      <c r="ALH72" s="381"/>
      <c r="ALI72" s="381"/>
      <c r="ALJ72" s="381"/>
      <c r="ALK72" s="381"/>
      <c r="ALL72" s="381"/>
      <c r="ALM72" s="381"/>
      <c r="ALN72" s="381"/>
      <c r="ALO72" s="381"/>
      <c r="ALP72" s="381"/>
      <c r="ALQ72" s="381"/>
      <c r="ALR72" s="381"/>
      <c r="ALS72" s="381"/>
      <c r="ALT72" s="381"/>
      <c r="ALU72" s="381"/>
      <c r="ALV72" s="381"/>
      <c r="ALW72" s="381"/>
      <c r="ALX72" s="381"/>
      <c r="ALY72" s="381"/>
      <c r="ALZ72" s="381"/>
      <c r="AMA72" s="381"/>
      <c r="AMB72" s="381"/>
      <c r="AMC72" s="381"/>
      <c r="AMD72" s="381"/>
      <c r="AME72" s="381"/>
      <c r="AMF72" s="381"/>
      <c r="AMG72" s="379"/>
      <c r="AMH72" s="380"/>
      <c r="AMI72" s="380"/>
      <c r="AMJ72" s="380"/>
      <c r="AMK72" s="381"/>
      <c r="AML72" s="381"/>
      <c r="AMM72" s="381"/>
      <c r="AMN72" s="381"/>
      <c r="AMO72" s="381"/>
      <c r="AMP72" s="381"/>
      <c r="AMQ72" s="381"/>
      <c r="AMR72" s="381"/>
      <c r="AMS72" s="381"/>
      <c r="AMT72" s="381"/>
      <c r="AMU72" s="381"/>
      <c r="AMV72" s="381"/>
      <c r="AMW72" s="381"/>
      <c r="AMX72" s="381"/>
      <c r="AMY72" s="381"/>
      <c r="AMZ72" s="381"/>
      <c r="ANA72" s="381"/>
      <c r="ANB72" s="381"/>
      <c r="ANC72" s="381"/>
      <c r="AND72" s="381"/>
      <c r="ANE72" s="381"/>
      <c r="ANF72" s="381"/>
      <c r="ANG72" s="381"/>
      <c r="ANH72" s="381"/>
      <c r="ANI72" s="381"/>
      <c r="ANJ72" s="381"/>
      <c r="ANK72" s="379"/>
      <c r="ANL72" s="380"/>
      <c r="ANM72" s="380"/>
      <c r="ANN72" s="380"/>
      <c r="ANO72" s="381"/>
      <c r="ANP72" s="381"/>
      <c r="ANQ72" s="381"/>
      <c r="ANR72" s="381"/>
      <c r="ANS72" s="381"/>
      <c r="ANT72" s="381"/>
      <c r="ANU72" s="381"/>
      <c r="ANV72" s="381"/>
      <c r="ANW72" s="381"/>
      <c r="ANX72" s="381"/>
      <c r="ANY72" s="381"/>
      <c r="ANZ72" s="381"/>
      <c r="AOA72" s="381"/>
      <c r="AOB72" s="381"/>
      <c r="AOC72" s="381"/>
      <c r="AOD72" s="381"/>
      <c r="AOE72" s="381"/>
      <c r="AOF72" s="381"/>
      <c r="AOG72" s="381"/>
      <c r="AOH72" s="381"/>
      <c r="AOI72" s="381"/>
      <c r="AOJ72" s="381"/>
      <c r="AOK72" s="381"/>
      <c r="AOL72" s="381"/>
      <c r="AOM72" s="381"/>
      <c r="AON72" s="381"/>
      <c r="AOO72" s="379"/>
      <c r="AOP72" s="380"/>
      <c r="AOQ72" s="380"/>
      <c r="AOR72" s="380"/>
      <c r="AOS72" s="381"/>
      <c r="AOT72" s="381"/>
      <c r="AOU72" s="381"/>
      <c r="AOV72" s="381"/>
      <c r="AOW72" s="381"/>
      <c r="AOX72" s="381"/>
      <c r="AOY72" s="381"/>
      <c r="AOZ72" s="381"/>
      <c r="APA72" s="381"/>
      <c r="APB72" s="381"/>
      <c r="APC72" s="381"/>
      <c r="APD72" s="381"/>
      <c r="APE72" s="381"/>
      <c r="APF72" s="381"/>
      <c r="APG72" s="381"/>
      <c r="APH72" s="381"/>
      <c r="API72" s="381"/>
      <c r="APJ72" s="381"/>
      <c r="APK72" s="381"/>
      <c r="APL72" s="381"/>
      <c r="APM72" s="381"/>
      <c r="APN72" s="381"/>
      <c r="APO72" s="381"/>
      <c r="APP72" s="381"/>
      <c r="APQ72" s="381"/>
      <c r="APR72" s="381"/>
      <c r="APS72" s="379"/>
      <c r="APT72" s="380"/>
      <c r="APU72" s="380"/>
      <c r="APV72" s="380"/>
      <c r="APW72" s="381"/>
      <c r="APX72" s="381"/>
      <c r="APY72" s="381"/>
      <c r="APZ72" s="381"/>
      <c r="AQA72" s="381"/>
      <c r="AQB72" s="381"/>
      <c r="AQC72" s="381"/>
      <c r="AQD72" s="381"/>
      <c r="AQE72" s="381"/>
      <c r="AQF72" s="381"/>
      <c r="AQG72" s="381"/>
      <c r="AQH72" s="381"/>
      <c r="AQI72" s="381"/>
      <c r="AQJ72" s="381"/>
      <c r="AQK72" s="381"/>
      <c r="AQL72" s="381"/>
      <c r="AQM72" s="381"/>
      <c r="AQN72" s="381"/>
      <c r="AQO72" s="381"/>
      <c r="AQP72" s="381"/>
      <c r="AQQ72" s="381"/>
      <c r="AQR72" s="381"/>
      <c r="AQS72" s="381"/>
      <c r="AQT72" s="381"/>
      <c r="AQU72" s="381"/>
      <c r="AQV72" s="381"/>
      <c r="AQW72" s="379"/>
      <c r="AQX72" s="380"/>
      <c r="AQY72" s="380"/>
      <c r="AQZ72" s="380"/>
      <c r="ARA72" s="381"/>
      <c r="ARB72" s="381"/>
      <c r="ARC72" s="381"/>
      <c r="ARD72" s="381"/>
      <c r="ARE72" s="381"/>
      <c r="ARF72" s="381"/>
      <c r="ARG72" s="381"/>
      <c r="ARH72" s="381"/>
      <c r="ARI72" s="381"/>
      <c r="ARJ72" s="381"/>
      <c r="ARK72" s="381"/>
      <c r="ARL72" s="381"/>
      <c r="ARM72" s="381"/>
      <c r="ARN72" s="381"/>
      <c r="ARO72" s="381"/>
      <c r="ARP72" s="381"/>
      <c r="ARQ72" s="381"/>
      <c r="ARR72" s="381"/>
      <c r="ARS72" s="381"/>
      <c r="ART72" s="381"/>
      <c r="ARU72" s="381"/>
      <c r="ARV72" s="381"/>
      <c r="ARW72" s="381"/>
      <c r="ARX72" s="381"/>
      <c r="ARY72" s="381"/>
      <c r="ARZ72" s="381"/>
      <c r="ASA72" s="379"/>
      <c r="ASB72" s="380"/>
      <c r="ASC72" s="380"/>
      <c r="ASD72" s="380"/>
      <c r="ASE72" s="381"/>
      <c r="ASF72" s="381"/>
      <c r="ASG72" s="381"/>
      <c r="ASH72" s="381"/>
      <c r="ASI72" s="381"/>
      <c r="ASJ72" s="381"/>
      <c r="ASK72" s="381"/>
      <c r="ASL72" s="381"/>
      <c r="ASM72" s="381"/>
      <c r="ASN72" s="381"/>
      <c r="ASO72" s="381"/>
      <c r="ASP72" s="381"/>
      <c r="ASQ72" s="381"/>
      <c r="ASR72" s="381"/>
      <c r="ASS72" s="381"/>
      <c r="AST72" s="381"/>
      <c r="ASU72" s="381"/>
      <c r="ASV72" s="381"/>
      <c r="ASW72" s="381"/>
      <c r="ASX72" s="381"/>
      <c r="ASY72" s="381"/>
      <c r="ASZ72" s="381"/>
      <c r="ATA72" s="381"/>
      <c r="ATB72" s="381"/>
      <c r="ATC72" s="381"/>
      <c r="ATD72" s="381"/>
      <c r="ATE72" s="379"/>
      <c r="ATF72" s="380"/>
      <c r="ATG72" s="380"/>
      <c r="ATH72" s="380"/>
      <c r="ATI72" s="381"/>
      <c r="ATJ72" s="381"/>
      <c r="ATK72" s="381"/>
      <c r="ATL72" s="381"/>
      <c r="ATM72" s="381"/>
      <c r="ATN72" s="381"/>
      <c r="ATO72" s="381"/>
      <c r="ATP72" s="381"/>
      <c r="ATQ72" s="381"/>
      <c r="ATR72" s="381"/>
      <c r="ATS72" s="381"/>
      <c r="ATT72" s="381"/>
      <c r="ATU72" s="381"/>
      <c r="ATV72" s="381"/>
      <c r="ATW72" s="381"/>
      <c r="ATX72" s="381"/>
      <c r="ATY72" s="381"/>
      <c r="ATZ72" s="381"/>
      <c r="AUA72" s="381"/>
      <c r="AUB72" s="381"/>
      <c r="AUC72" s="381"/>
      <c r="AUD72" s="381"/>
      <c r="AUE72" s="381"/>
      <c r="AUF72" s="381"/>
      <c r="AUG72" s="381"/>
      <c r="AUH72" s="381"/>
      <c r="AUI72" s="379"/>
      <c r="AUJ72" s="380"/>
      <c r="AUK72" s="380"/>
      <c r="AUL72" s="380"/>
      <c r="AUM72" s="381"/>
      <c r="AUN72" s="381"/>
      <c r="AUO72" s="381"/>
      <c r="AUP72" s="381"/>
      <c r="AUQ72" s="381"/>
      <c r="AUR72" s="381"/>
      <c r="AUS72" s="381"/>
      <c r="AUT72" s="381"/>
      <c r="AUU72" s="381"/>
      <c r="AUV72" s="381"/>
      <c r="AUW72" s="381"/>
      <c r="AUX72" s="381"/>
      <c r="AUY72" s="381"/>
      <c r="AUZ72" s="381"/>
      <c r="AVA72" s="381"/>
      <c r="AVB72" s="381"/>
      <c r="AVC72" s="381"/>
      <c r="AVD72" s="381"/>
      <c r="AVE72" s="381"/>
      <c r="AVF72" s="381"/>
      <c r="AVG72" s="381"/>
      <c r="AVH72" s="381"/>
      <c r="AVI72" s="381"/>
      <c r="AVJ72" s="381"/>
      <c r="AVK72" s="381"/>
      <c r="AVL72" s="381"/>
      <c r="AVM72" s="379"/>
      <c r="AVN72" s="380"/>
      <c r="AVO72" s="380"/>
      <c r="AVP72" s="380"/>
      <c r="AVQ72" s="381"/>
      <c r="AVR72" s="381"/>
      <c r="AVS72" s="381"/>
      <c r="AVT72" s="381"/>
      <c r="AVU72" s="381"/>
      <c r="AVV72" s="381"/>
      <c r="AVW72" s="381"/>
      <c r="AVX72" s="381"/>
      <c r="AVY72" s="381"/>
      <c r="AVZ72" s="381"/>
      <c r="AWA72" s="381"/>
      <c r="AWB72" s="381"/>
      <c r="AWC72" s="381"/>
      <c r="AWD72" s="381"/>
      <c r="AWE72" s="381"/>
      <c r="AWF72" s="381"/>
      <c r="AWG72" s="381"/>
      <c r="AWH72" s="381"/>
      <c r="AWI72" s="381"/>
      <c r="AWJ72" s="381"/>
      <c r="AWK72" s="381"/>
      <c r="AWL72" s="381"/>
      <c r="AWM72" s="381"/>
      <c r="AWN72" s="381"/>
      <c r="AWO72" s="381"/>
      <c r="AWP72" s="381"/>
      <c r="AWQ72" s="379"/>
      <c r="AWR72" s="380"/>
      <c r="AWS72" s="380"/>
      <c r="AWT72" s="380"/>
      <c r="AWU72" s="381"/>
      <c r="AWV72" s="381"/>
      <c r="AWW72" s="381"/>
      <c r="AWX72" s="381"/>
      <c r="AWY72" s="381"/>
      <c r="AWZ72" s="381"/>
      <c r="AXA72" s="381"/>
      <c r="AXB72" s="381"/>
      <c r="AXC72" s="381"/>
      <c r="AXD72" s="381"/>
      <c r="AXE72" s="381"/>
      <c r="AXF72" s="381"/>
      <c r="AXG72" s="381"/>
      <c r="AXH72" s="381"/>
      <c r="AXI72" s="381"/>
      <c r="AXJ72" s="381"/>
      <c r="AXK72" s="381"/>
      <c r="AXL72" s="381"/>
      <c r="AXM72" s="381"/>
      <c r="AXN72" s="381"/>
      <c r="AXO72" s="381"/>
      <c r="AXP72" s="381"/>
      <c r="AXQ72" s="381"/>
      <c r="AXR72" s="381"/>
      <c r="AXS72" s="381"/>
      <c r="AXT72" s="381"/>
      <c r="AXU72" s="379"/>
      <c r="AXV72" s="380"/>
      <c r="AXW72" s="380"/>
      <c r="AXX72" s="380"/>
      <c r="AXY72" s="381"/>
      <c r="AXZ72" s="381"/>
      <c r="AYA72" s="381"/>
      <c r="AYB72" s="381"/>
      <c r="AYC72" s="381"/>
      <c r="AYD72" s="381"/>
      <c r="AYE72" s="381"/>
      <c r="AYF72" s="381"/>
      <c r="AYG72" s="381"/>
      <c r="AYH72" s="381"/>
      <c r="AYI72" s="381"/>
      <c r="AYJ72" s="381"/>
      <c r="AYK72" s="381"/>
      <c r="AYL72" s="381"/>
      <c r="AYM72" s="381"/>
      <c r="AYN72" s="381"/>
      <c r="AYO72" s="381"/>
      <c r="AYP72" s="381"/>
      <c r="AYQ72" s="381"/>
      <c r="AYR72" s="381"/>
      <c r="AYS72" s="381"/>
      <c r="AYT72" s="381"/>
      <c r="AYU72" s="381"/>
      <c r="AYV72" s="381"/>
      <c r="AYW72" s="381"/>
      <c r="AYX72" s="381"/>
      <c r="AYY72" s="379"/>
      <c r="AYZ72" s="380"/>
      <c r="AZA72" s="380"/>
      <c r="AZB72" s="380"/>
      <c r="AZC72" s="381"/>
      <c r="AZD72" s="381"/>
      <c r="AZE72" s="381"/>
      <c r="AZF72" s="381"/>
      <c r="AZG72" s="381"/>
      <c r="AZH72" s="381"/>
      <c r="AZI72" s="381"/>
      <c r="AZJ72" s="381"/>
      <c r="AZK72" s="381"/>
      <c r="AZL72" s="381"/>
      <c r="AZM72" s="381"/>
      <c r="AZN72" s="381"/>
      <c r="AZO72" s="381"/>
      <c r="AZP72" s="381"/>
      <c r="AZQ72" s="381"/>
      <c r="AZR72" s="381"/>
      <c r="AZS72" s="381"/>
      <c r="AZT72" s="381"/>
      <c r="AZU72" s="381"/>
      <c r="AZV72" s="381"/>
      <c r="AZW72" s="381"/>
      <c r="AZX72" s="381"/>
      <c r="AZY72" s="381"/>
      <c r="AZZ72" s="381"/>
      <c r="BAA72" s="381"/>
      <c r="BAB72" s="381"/>
      <c r="BAC72" s="379"/>
      <c r="BAD72" s="380"/>
      <c r="BAE72" s="380"/>
      <c r="BAF72" s="380"/>
      <c r="BAG72" s="381"/>
      <c r="BAH72" s="381"/>
      <c r="BAI72" s="381"/>
      <c r="BAJ72" s="381"/>
      <c r="BAK72" s="381"/>
      <c r="BAL72" s="381"/>
      <c r="BAM72" s="381"/>
      <c r="BAN72" s="381"/>
      <c r="BAO72" s="381"/>
      <c r="BAP72" s="381"/>
      <c r="BAQ72" s="381"/>
      <c r="BAR72" s="381"/>
      <c r="BAS72" s="381"/>
      <c r="BAT72" s="381"/>
      <c r="BAU72" s="381"/>
      <c r="BAV72" s="381"/>
      <c r="BAW72" s="381"/>
      <c r="BAX72" s="381"/>
      <c r="BAY72" s="381"/>
      <c r="BAZ72" s="381"/>
      <c r="BBA72" s="381"/>
      <c r="BBB72" s="381"/>
      <c r="BBC72" s="381"/>
      <c r="BBD72" s="381"/>
      <c r="BBE72" s="381"/>
      <c r="BBF72" s="381"/>
      <c r="BBG72" s="379"/>
      <c r="BBH72" s="380"/>
      <c r="BBI72" s="380"/>
      <c r="BBJ72" s="380"/>
      <c r="BBK72" s="381"/>
      <c r="BBL72" s="381"/>
      <c r="BBM72" s="381"/>
      <c r="BBN72" s="381"/>
      <c r="BBO72" s="381"/>
      <c r="BBP72" s="381"/>
      <c r="BBQ72" s="381"/>
      <c r="BBR72" s="381"/>
      <c r="BBS72" s="381"/>
      <c r="BBT72" s="381"/>
      <c r="BBU72" s="381"/>
      <c r="BBV72" s="381"/>
      <c r="BBW72" s="381"/>
      <c r="BBX72" s="381"/>
      <c r="BBY72" s="381"/>
      <c r="BBZ72" s="381"/>
      <c r="BCA72" s="381"/>
      <c r="BCB72" s="381"/>
      <c r="BCC72" s="381"/>
      <c r="BCD72" s="381"/>
      <c r="BCE72" s="381"/>
      <c r="BCF72" s="381"/>
      <c r="BCG72" s="381"/>
      <c r="BCH72" s="381"/>
      <c r="BCI72" s="381"/>
      <c r="BCJ72" s="381"/>
      <c r="BCK72" s="379"/>
      <c r="BCL72" s="380"/>
      <c r="BCM72" s="380"/>
      <c r="BCN72" s="380"/>
      <c r="BCO72" s="381"/>
      <c r="BCP72" s="381"/>
      <c r="BCQ72" s="381"/>
      <c r="BCR72" s="381"/>
      <c r="BCS72" s="381"/>
      <c r="BCT72" s="381"/>
      <c r="BCU72" s="381"/>
      <c r="BCV72" s="381"/>
      <c r="BCW72" s="381"/>
      <c r="BCX72" s="381"/>
      <c r="BCY72" s="381"/>
      <c r="BCZ72" s="381"/>
      <c r="BDA72" s="381"/>
      <c r="BDB72" s="381"/>
      <c r="BDC72" s="381"/>
      <c r="BDD72" s="381"/>
      <c r="BDE72" s="381"/>
      <c r="BDF72" s="381"/>
      <c r="BDG72" s="381"/>
      <c r="BDH72" s="381"/>
      <c r="BDI72" s="381"/>
      <c r="BDJ72" s="381"/>
      <c r="BDK72" s="381"/>
      <c r="BDL72" s="381"/>
      <c r="BDM72" s="381"/>
      <c r="BDN72" s="381"/>
      <c r="BDO72" s="379"/>
      <c r="BDP72" s="380"/>
      <c r="BDQ72" s="380"/>
      <c r="BDR72" s="380"/>
      <c r="BDS72" s="381"/>
      <c r="BDT72" s="381"/>
      <c r="BDU72" s="381"/>
      <c r="BDV72" s="381"/>
      <c r="BDW72" s="381"/>
      <c r="BDX72" s="381"/>
      <c r="BDY72" s="381"/>
      <c r="BDZ72" s="381"/>
      <c r="BEA72" s="381"/>
      <c r="BEB72" s="381"/>
      <c r="BEC72" s="381"/>
      <c r="BED72" s="381"/>
      <c r="BEE72" s="381"/>
      <c r="BEF72" s="381"/>
      <c r="BEG72" s="381"/>
      <c r="BEH72" s="381"/>
      <c r="BEI72" s="381"/>
      <c r="BEJ72" s="381"/>
      <c r="BEK72" s="381"/>
      <c r="BEL72" s="381"/>
      <c r="BEM72" s="381"/>
      <c r="BEN72" s="381"/>
      <c r="BEO72" s="381"/>
      <c r="BEP72" s="381"/>
      <c r="BEQ72" s="381"/>
      <c r="BER72" s="381"/>
      <c r="BES72" s="379"/>
      <c r="BET72" s="380"/>
      <c r="BEU72" s="380"/>
      <c r="BEV72" s="380"/>
      <c r="BEW72" s="381"/>
      <c r="BEX72" s="381"/>
      <c r="BEY72" s="381"/>
      <c r="BEZ72" s="381"/>
      <c r="BFA72" s="381"/>
      <c r="BFB72" s="381"/>
      <c r="BFC72" s="381"/>
      <c r="BFD72" s="381"/>
      <c r="BFE72" s="381"/>
      <c r="BFF72" s="381"/>
      <c r="BFG72" s="381"/>
      <c r="BFH72" s="381"/>
      <c r="BFI72" s="381"/>
      <c r="BFJ72" s="381"/>
      <c r="BFK72" s="381"/>
      <c r="BFL72" s="381"/>
      <c r="BFM72" s="381"/>
      <c r="BFN72" s="381"/>
      <c r="BFO72" s="381"/>
      <c r="BFP72" s="381"/>
      <c r="BFQ72" s="381"/>
      <c r="BFR72" s="381"/>
      <c r="BFS72" s="381"/>
      <c r="BFT72" s="381"/>
      <c r="BFU72" s="381"/>
      <c r="BFV72" s="381"/>
      <c r="BFW72" s="379"/>
      <c r="BFX72" s="380"/>
      <c r="BFY72" s="380"/>
      <c r="BFZ72" s="380"/>
      <c r="BGA72" s="381"/>
      <c r="BGB72" s="381"/>
      <c r="BGC72" s="381"/>
      <c r="BGD72" s="381"/>
      <c r="BGE72" s="381"/>
      <c r="BGF72" s="381"/>
      <c r="BGG72" s="381"/>
      <c r="BGH72" s="381"/>
      <c r="BGI72" s="381"/>
      <c r="BGJ72" s="381"/>
      <c r="BGK72" s="381"/>
      <c r="BGL72" s="381"/>
      <c r="BGM72" s="381"/>
      <c r="BGN72" s="381"/>
      <c r="BGO72" s="381"/>
      <c r="BGP72" s="381"/>
      <c r="BGQ72" s="381"/>
      <c r="BGR72" s="381"/>
      <c r="BGS72" s="381"/>
      <c r="BGT72" s="381"/>
      <c r="BGU72" s="381"/>
      <c r="BGV72" s="381"/>
      <c r="BGW72" s="381"/>
      <c r="BGX72" s="381"/>
      <c r="BGY72" s="381"/>
      <c r="BGZ72" s="381"/>
      <c r="BHA72" s="379"/>
      <c r="BHB72" s="380"/>
      <c r="BHC72" s="380"/>
      <c r="BHD72" s="380"/>
      <c r="BHE72" s="381"/>
      <c r="BHF72" s="381"/>
      <c r="BHG72" s="381"/>
      <c r="BHH72" s="381"/>
      <c r="BHI72" s="381"/>
      <c r="BHJ72" s="381"/>
      <c r="BHK72" s="381"/>
      <c r="BHL72" s="381"/>
      <c r="BHM72" s="381"/>
      <c r="BHN72" s="381"/>
      <c r="BHO72" s="381"/>
      <c r="BHP72" s="381"/>
      <c r="BHQ72" s="381"/>
      <c r="BHR72" s="381"/>
      <c r="BHS72" s="381"/>
      <c r="BHT72" s="381"/>
      <c r="BHU72" s="381"/>
      <c r="BHV72" s="381"/>
      <c r="BHW72" s="381"/>
      <c r="BHX72" s="381"/>
      <c r="BHY72" s="381"/>
      <c r="BHZ72" s="381"/>
      <c r="BIA72" s="381"/>
      <c r="BIB72" s="381"/>
      <c r="BIC72" s="381"/>
      <c r="BID72" s="381"/>
      <c r="BIE72" s="379"/>
      <c r="BIF72" s="380"/>
      <c r="BIG72" s="380"/>
      <c r="BIH72" s="380"/>
      <c r="BII72" s="381"/>
      <c r="BIJ72" s="381"/>
      <c r="BIK72" s="381"/>
      <c r="BIL72" s="381"/>
      <c r="BIM72" s="381"/>
      <c r="BIN72" s="381"/>
      <c r="BIO72" s="381"/>
      <c r="BIP72" s="381"/>
      <c r="BIQ72" s="381"/>
      <c r="BIR72" s="381"/>
      <c r="BIS72" s="381"/>
      <c r="BIT72" s="381"/>
      <c r="BIU72" s="381"/>
      <c r="BIV72" s="381"/>
      <c r="BIW72" s="381"/>
      <c r="BIX72" s="381"/>
      <c r="BIY72" s="381"/>
      <c r="BIZ72" s="381"/>
      <c r="BJA72" s="381"/>
      <c r="BJB72" s="381"/>
      <c r="BJC72" s="381"/>
      <c r="BJD72" s="381"/>
      <c r="BJE72" s="381"/>
      <c r="BJF72" s="381"/>
      <c r="BJG72" s="381"/>
      <c r="BJH72" s="381"/>
      <c r="BJI72" s="379"/>
      <c r="BJJ72" s="380"/>
      <c r="BJK72" s="380"/>
      <c r="BJL72" s="380"/>
      <c r="BJM72" s="381"/>
      <c r="BJN72" s="381"/>
      <c r="BJO72" s="381"/>
      <c r="BJP72" s="381"/>
      <c r="BJQ72" s="381"/>
      <c r="BJR72" s="381"/>
      <c r="BJS72" s="381"/>
      <c r="BJT72" s="381"/>
      <c r="BJU72" s="381"/>
      <c r="BJV72" s="381"/>
      <c r="BJW72" s="381"/>
      <c r="BJX72" s="381"/>
      <c r="BJY72" s="381"/>
      <c r="BJZ72" s="381"/>
      <c r="BKA72" s="381"/>
      <c r="BKB72" s="381"/>
      <c r="BKC72" s="381"/>
      <c r="BKD72" s="381"/>
      <c r="BKE72" s="381"/>
      <c r="BKF72" s="381"/>
      <c r="BKG72" s="381"/>
      <c r="BKH72" s="381"/>
      <c r="BKI72" s="381"/>
      <c r="BKJ72" s="381"/>
      <c r="BKK72" s="381"/>
      <c r="BKL72" s="381"/>
      <c r="BKM72" s="379"/>
      <c r="BKN72" s="380"/>
      <c r="BKO72" s="380"/>
      <c r="BKP72" s="380"/>
      <c r="BKQ72" s="381"/>
      <c r="BKR72" s="381"/>
      <c r="BKS72" s="381"/>
      <c r="BKT72" s="381"/>
      <c r="BKU72" s="381"/>
      <c r="BKV72" s="381"/>
      <c r="BKW72" s="381"/>
      <c r="BKX72" s="381"/>
      <c r="BKY72" s="381"/>
      <c r="BKZ72" s="381"/>
      <c r="BLA72" s="381"/>
      <c r="BLB72" s="381"/>
      <c r="BLC72" s="381"/>
      <c r="BLD72" s="381"/>
      <c r="BLE72" s="381"/>
      <c r="BLF72" s="381"/>
      <c r="BLG72" s="381"/>
      <c r="BLH72" s="381"/>
      <c r="BLI72" s="381"/>
      <c r="BLJ72" s="381"/>
      <c r="BLK72" s="381"/>
      <c r="BLL72" s="381"/>
      <c r="BLM72" s="381"/>
      <c r="BLN72" s="381"/>
      <c r="BLO72" s="381"/>
      <c r="BLP72" s="381"/>
      <c r="BLQ72" s="379"/>
      <c r="BLR72" s="380"/>
      <c r="BLS72" s="380"/>
      <c r="BLT72" s="380"/>
      <c r="BLU72" s="381"/>
      <c r="BLV72" s="381"/>
      <c r="BLW72" s="381"/>
      <c r="BLX72" s="381"/>
      <c r="BLY72" s="381"/>
      <c r="BLZ72" s="381"/>
      <c r="BMA72" s="381"/>
      <c r="BMB72" s="381"/>
      <c r="BMC72" s="381"/>
      <c r="BMD72" s="381"/>
      <c r="BME72" s="381"/>
      <c r="BMF72" s="381"/>
      <c r="BMG72" s="381"/>
      <c r="BMH72" s="381"/>
      <c r="BMI72" s="381"/>
      <c r="BMJ72" s="381"/>
      <c r="BMK72" s="381"/>
      <c r="BML72" s="381"/>
      <c r="BMM72" s="381"/>
      <c r="BMN72" s="381"/>
      <c r="BMO72" s="381"/>
      <c r="BMP72" s="381"/>
      <c r="BMQ72" s="381"/>
      <c r="BMR72" s="381"/>
      <c r="BMS72" s="381"/>
      <c r="BMT72" s="381"/>
      <c r="BMU72" s="379"/>
      <c r="BMV72" s="380"/>
      <c r="BMW72" s="380"/>
      <c r="BMX72" s="380"/>
      <c r="BMY72" s="381"/>
      <c r="BMZ72" s="381"/>
      <c r="BNA72" s="381"/>
      <c r="BNB72" s="381"/>
      <c r="BNC72" s="381"/>
      <c r="BND72" s="381"/>
      <c r="BNE72" s="381"/>
      <c r="BNF72" s="381"/>
      <c r="BNG72" s="381"/>
      <c r="BNH72" s="381"/>
      <c r="BNI72" s="381"/>
      <c r="BNJ72" s="381"/>
      <c r="BNK72" s="381"/>
      <c r="BNL72" s="381"/>
      <c r="BNM72" s="381"/>
      <c r="BNN72" s="381"/>
      <c r="BNO72" s="381"/>
      <c r="BNP72" s="381"/>
      <c r="BNQ72" s="381"/>
      <c r="BNR72" s="381"/>
      <c r="BNS72" s="381"/>
      <c r="BNT72" s="381"/>
      <c r="BNU72" s="381"/>
      <c r="BNV72" s="381"/>
      <c r="BNW72" s="381"/>
      <c r="BNX72" s="381"/>
      <c r="BNY72" s="379"/>
      <c r="BNZ72" s="380"/>
      <c r="BOA72" s="380"/>
      <c r="BOB72" s="380"/>
      <c r="BOC72" s="381"/>
      <c r="BOD72" s="381"/>
      <c r="BOE72" s="381"/>
      <c r="BOF72" s="381"/>
      <c r="BOG72" s="381"/>
      <c r="BOH72" s="381"/>
      <c r="BOI72" s="381"/>
      <c r="BOJ72" s="381"/>
      <c r="BOK72" s="381"/>
      <c r="BOL72" s="381"/>
      <c r="BOM72" s="381"/>
      <c r="BON72" s="381"/>
      <c r="BOO72" s="381"/>
      <c r="BOP72" s="381"/>
      <c r="BOQ72" s="381"/>
      <c r="BOR72" s="381"/>
      <c r="BOS72" s="381"/>
      <c r="BOT72" s="381"/>
      <c r="BOU72" s="381"/>
      <c r="BOV72" s="381"/>
      <c r="BOW72" s="381"/>
      <c r="BOX72" s="381"/>
      <c r="BOY72" s="381"/>
      <c r="BOZ72" s="381"/>
      <c r="BPA72" s="381"/>
      <c r="BPB72" s="381"/>
      <c r="BPC72" s="379"/>
      <c r="BPD72" s="380"/>
      <c r="BPE72" s="380"/>
      <c r="BPF72" s="380"/>
      <c r="BPG72" s="381"/>
      <c r="BPH72" s="381"/>
      <c r="BPI72" s="381"/>
      <c r="BPJ72" s="381"/>
      <c r="BPK72" s="381"/>
      <c r="BPL72" s="381"/>
      <c r="BPM72" s="381"/>
      <c r="BPN72" s="381"/>
      <c r="BPO72" s="381"/>
      <c r="BPP72" s="381"/>
      <c r="BPQ72" s="381"/>
      <c r="BPR72" s="381"/>
      <c r="BPS72" s="381"/>
      <c r="BPT72" s="381"/>
      <c r="BPU72" s="381"/>
      <c r="BPV72" s="381"/>
      <c r="BPW72" s="381"/>
      <c r="BPX72" s="381"/>
      <c r="BPY72" s="381"/>
      <c r="BPZ72" s="381"/>
      <c r="BQA72" s="381"/>
      <c r="BQB72" s="381"/>
      <c r="BQC72" s="381"/>
      <c r="BQD72" s="381"/>
      <c r="BQE72" s="381"/>
      <c r="BQF72" s="381"/>
      <c r="BQG72" s="379"/>
      <c r="BQH72" s="380"/>
      <c r="BQI72" s="380"/>
      <c r="BQJ72" s="380"/>
      <c r="BQK72" s="381"/>
      <c r="BQL72" s="381"/>
      <c r="BQM72" s="381"/>
      <c r="BQN72" s="381"/>
      <c r="BQO72" s="381"/>
      <c r="BQP72" s="381"/>
      <c r="BQQ72" s="381"/>
      <c r="BQR72" s="381"/>
      <c r="BQS72" s="381"/>
      <c r="BQT72" s="381"/>
      <c r="BQU72" s="381"/>
      <c r="BQV72" s="381"/>
      <c r="BQW72" s="381"/>
      <c r="BQX72" s="381"/>
      <c r="BQY72" s="381"/>
      <c r="BQZ72" s="381"/>
      <c r="BRA72" s="381"/>
      <c r="BRB72" s="381"/>
      <c r="BRC72" s="381"/>
      <c r="BRD72" s="381"/>
      <c r="BRE72" s="381"/>
      <c r="BRF72" s="381"/>
      <c r="BRG72" s="381"/>
      <c r="BRH72" s="381"/>
      <c r="BRI72" s="381"/>
      <c r="BRJ72" s="381"/>
      <c r="BRK72" s="379"/>
      <c r="BRL72" s="380"/>
      <c r="BRM72" s="380"/>
      <c r="BRN72" s="380"/>
      <c r="BRO72" s="381"/>
      <c r="BRP72" s="381"/>
      <c r="BRQ72" s="381"/>
      <c r="BRR72" s="381"/>
      <c r="BRS72" s="381"/>
      <c r="BRT72" s="381"/>
      <c r="BRU72" s="381"/>
      <c r="BRV72" s="381"/>
      <c r="BRW72" s="381"/>
      <c r="BRX72" s="381"/>
      <c r="BRY72" s="381"/>
      <c r="BRZ72" s="381"/>
      <c r="BSA72" s="381"/>
      <c r="BSB72" s="381"/>
      <c r="BSC72" s="381"/>
      <c r="BSD72" s="381"/>
      <c r="BSE72" s="381"/>
      <c r="BSF72" s="381"/>
      <c r="BSG72" s="381"/>
      <c r="BSH72" s="381"/>
      <c r="BSI72" s="381"/>
      <c r="BSJ72" s="381"/>
      <c r="BSK72" s="381"/>
      <c r="BSL72" s="381"/>
      <c r="BSM72" s="381"/>
      <c r="BSN72" s="381"/>
      <c r="BSO72" s="379"/>
      <c r="BSP72" s="380"/>
      <c r="BSQ72" s="380"/>
      <c r="BSR72" s="380"/>
      <c r="BSS72" s="381"/>
      <c r="BST72" s="381"/>
      <c r="BSU72" s="381"/>
      <c r="BSV72" s="381"/>
      <c r="BSW72" s="381"/>
      <c r="BSX72" s="381"/>
      <c r="BSY72" s="381"/>
      <c r="BSZ72" s="381"/>
      <c r="BTA72" s="381"/>
      <c r="BTB72" s="381"/>
      <c r="BTC72" s="381"/>
      <c r="BTD72" s="381"/>
      <c r="BTE72" s="381"/>
      <c r="BTF72" s="381"/>
      <c r="BTG72" s="381"/>
      <c r="BTH72" s="381"/>
      <c r="BTI72" s="381"/>
      <c r="BTJ72" s="381"/>
      <c r="BTK72" s="381"/>
      <c r="BTL72" s="381"/>
      <c r="BTM72" s="381"/>
      <c r="BTN72" s="381"/>
      <c r="BTO72" s="381"/>
      <c r="BTP72" s="381"/>
      <c r="BTQ72" s="381"/>
      <c r="BTR72" s="381"/>
      <c r="BTS72" s="379"/>
      <c r="BTT72" s="380"/>
      <c r="BTU72" s="380"/>
      <c r="BTV72" s="380"/>
      <c r="BTW72" s="381"/>
      <c r="BTX72" s="381"/>
      <c r="BTY72" s="381"/>
      <c r="BTZ72" s="381"/>
      <c r="BUA72" s="381"/>
      <c r="BUB72" s="381"/>
      <c r="BUC72" s="381"/>
      <c r="BUD72" s="381"/>
      <c r="BUE72" s="381"/>
      <c r="BUF72" s="381"/>
      <c r="BUG72" s="381"/>
      <c r="BUH72" s="381"/>
      <c r="BUI72" s="381"/>
      <c r="BUJ72" s="381"/>
      <c r="BUK72" s="381"/>
      <c r="BUL72" s="381"/>
      <c r="BUM72" s="381"/>
      <c r="BUN72" s="381"/>
      <c r="BUO72" s="381"/>
      <c r="BUP72" s="381"/>
      <c r="BUQ72" s="381"/>
      <c r="BUR72" s="381"/>
      <c r="BUS72" s="381"/>
      <c r="BUT72" s="381"/>
      <c r="BUU72" s="381"/>
      <c r="BUV72" s="381"/>
      <c r="BUW72" s="379"/>
      <c r="BUX72" s="380"/>
      <c r="BUY72" s="380"/>
      <c r="BUZ72" s="380"/>
      <c r="BVA72" s="381"/>
      <c r="BVB72" s="381"/>
      <c r="BVC72" s="381"/>
      <c r="BVD72" s="381"/>
      <c r="BVE72" s="381"/>
      <c r="BVF72" s="381"/>
      <c r="BVG72" s="381"/>
      <c r="BVH72" s="381"/>
      <c r="BVI72" s="381"/>
      <c r="BVJ72" s="381"/>
      <c r="BVK72" s="381"/>
      <c r="BVL72" s="381"/>
      <c r="BVM72" s="381"/>
      <c r="BVN72" s="381"/>
      <c r="BVO72" s="381"/>
      <c r="BVP72" s="381"/>
      <c r="BVQ72" s="381"/>
      <c r="BVR72" s="381"/>
      <c r="BVS72" s="381"/>
      <c r="BVT72" s="381"/>
      <c r="BVU72" s="381"/>
      <c r="BVV72" s="381"/>
      <c r="BVW72" s="381"/>
      <c r="BVX72" s="381"/>
      <c r="BVY72" s="381"/>
      <c r="BVZ72" s="381"/>
      <c r="BWA72" s="379"/>
      <c r="BWB72" s="380"/>
      <c r="BWC72" s="380"/>
      <c r="BWD72" s="380"/>
      <c r="BWE72" s="381"/>
      <c r="BWF72" s="381"/>
      <c r="BWG72" s="381"/>
      <c r="BWH72" s="381"/>
      <c r="BWI72" s="381"/>
      <c r="BWJ72" s="381"/>
      <c r="BWK72" s="381"/>
      <c r="BWL72" s="381"/>
      <c r="BWM72" s="381"/>
      <c r="BWN72" s="381"/>
      <c r="BWO72" s="381"/>
      <c r="BWP72" s="381"/>
      <c r="BWQ72" s="381"/>
      <c r="BWR72" s="381"/>
      <c r="BWS72" s="381"/>
      <c r="BWT72" s="381"/>
      <c r="BWU72" s="381"/>
      <c r="BWV72" s="381"/>
      <c r="BWW72" s="381"/>
      <c r="BWX72" s="381"/>
      <c r="BWY72" s="381"/>
      <c r="BWZ72" s="381"/>
      <c r="BXA72" s="381"/>
      <c r="BXB72" s="381"/>
      <c r="BXC72" s="381"/>
      <c r="BXD72" s="381"/>
      <c r="BXE72" s="379"/>
      <c r="BXF72" s="380"/>
      <c r="BXG72" s="380"/>
      <c r="BXH72" s="380"/>
      <c r="BXI72" s="381"/>
      <c r="BXJ72" s="381"/>
      <c r="BXK72" s="381"/>
      <c r="BXL72" s="381"/>
      <c r="BXM72" s="381"/>
      <c r="BXN72" s="381"/>
      <c r="BXO72" s="381"/>
      <c r="BXP72" s="381"/>
      <c r="BXQ72" s="381"/>
      <c r="BXR72" s="381"/>
      <c r="BXS72" s="381"/>
      <c r="BXT72" s="381"/>
      <c r="BXU72" s="381"/>
      <c r="BXV72" s="381"/>
      <c r="BXW72" s="381"/>
      <c r="BXX72" s="381"/>
      <c r="BXY72" s="381"/>
      <c r="BXZ72" s="381"/>
      <c r="BYA72" s="381"/>
      <c r="BYB72" s="381"/>
      <c r="BYC72" s="381"/>
      <c r="BYD72" s="381"/>
      <c r="BYE72" s="381"/>
      <c r="BYF72" s="381"/>
      <c r="BYG72" s="381"/>
      <c r="BYH72" s="381"/>
      <c r="BYI72" s="379"/>
      <c r="BYJ72" s="380"/>
      <c r="BYK72" s="380"/>
      <c r="BYL72" s="380"/>
      <c r="BYM72" s="381"/>
      <c r="BYN72" s="381"/>
      <c r="BYO72" s="381"/>
      <c r="BYP72" s="381"/>
      <c r="BYQ72" s="381"/>
      <c r="BYR72" s="381"/>
      <c r="BYS72" s="381"/>
      <c r="BYT72" s="381"/>
      <c r="BYU72" s="381"/>
      <c r="BYV72" s="381"/>
      <c r="BYW72" s="381"/>
      <c r="BYX72" s="381"/>
      <c r="BYY72" s="381"/>
      <c r="BYZ72" s="381"/>
      <c r="BZA72" s="381"/>
      <c r="BZB72" s="381"/>
      <c r="BZC72" s="381"/>
      <c r="BZD72" s="381"/>
      <c r="BZE72" s="381"/>
      <c r="BZF72" s="381"/>
      <c r="BZG72" s="381"/>
      <c r="BZH72" s="381"/>
      <c r="BZI72" s="381"/>
      <c r="BZJ72" s="381"/>
      <c r="BZK72" s="381"/>
      <c r="BZL72" s="381"/>
      <c r="BZM72" s="379"/>
      <c r="BZN72" s="380"/>
      <c r="BZO72" s="380"/>
      <c r="BZP72" s="380"/>
      <c r="BZQ72" s="381"/>
      <c r="BZR72" s="381"/>
      <c r="BZS72" s="381"/>
      <c r="BZT72" s="381"/>
      <c r="BZU72" s="381"/>
      <c r="BZV72" s="381"/>
      <c r="BZW72" s="381"/>
      <c r="BZX72" s="381"/>
      <c r="BZY72" s="381"/>
      <c r="BZZ72" s="381"/>
      <c r="CAA72" s="381"/>
      <c r="CAB72" s="381"/>
      <c r="CAC72" s="381"/>
      <c r="CAD72" s="381"/>
      <c r="CAE72" s="381"/>
      <c r="CAF72" s="381"/>
      <c r="CAG72" s="381"/>
      <c r="CAH72" s="381"/>
      <c r="CAI72" s="381"/>
      <c r="CAJ72" s="381"/>
      <c r="CAK72" s="381"/>
      <c r="CAL72" s="381"/>
      <c r="CAM72" s="381"/>
      <c r="CAN72" s="381"/>
      <c r="CAO72" s="381"/>
      <c r="CAP72" s="381"/>
      <c r="CAQ72" s="379"/>
      <c r="CAR72" s="380"/>
      <c r="CAS72" s="380"/>
      <c r="CAT72" s="380"/>
      <c r="CAU72" s="381"/>
      <c r="CAV72" s="381"/>
      <c r="CAW72" s="381"/>
      <c r="CAX72" s="381"/>
      <c r="CAY72" s="381"/>
      <c r="CAZ72" s="381"/>
      <c r="CBA72" s="381"/>
      <c r="CBB72" s="381"/>
      <c r="CBC72" s="381"/>
      <c r="CBD72" s="381"/>
      <c r="CBE72" s="381"/>
      <c r="CBF72" s="381"/>
      <c r="CBG72" s="381"/>
      <c r="CBH72" s="381"/>
      <c r="CBI72" s="381"/>
      <c r="CBJ72" s="381"/>
      <c r="CBK72" s="381"/>
      <c r="CBL72" s="381"/>
      <c r="CBM72" s="381"/>
      <c r="CBN72" s="381"/>
      <c r="CBO72" s="381"/>
      <c r="CBP72" s="381"/>
      <c r="CBQ72" s="381"/>
      <c r="CBR72" s="381"/>
      <c r="CBS72" s="381"/>
      <c r="CBT72" s="381"/>
      <c r="CBU72" s="379"/>
      <c r="CBV72" s="380"/>
      <c r="CBW72" s="380"/>
      <c r="CBX72" s="380"/>
      <c r="CBY72" s="381"/>
      <c r="CBZ72" s="381"/>
      <c r="CCA72" s="381"/>
      <c r="CCB72" s="381"/>
      <c r="CCC72" s="381"/>
      <c r="CCD72" s="381"/>
      <c r="CCE72" s="381"/>
      <c r="CCF72" s="381"/>
      <c r="CCG72" s="381"/>
      <c r="CCH72" s="381"/>
      <c r="CCI72" s="381"/>
      <c r="CCJ72" s="381"/>
      <c r="CCK72" s="381"/>
      <c r="CCL72" s="381"/>
      <c r="CCM72" s="381"/>
      <c r="CCN72" s="381"/>
      <c r="CCO72" s="381"/>
      <c r="CCP72" s="381"/>
      <c r="CCQ72" s="381"/>
      <c r="CCR72" s="381"/>
      <c r="CCS72" s="381"/>
      <c r="CCT72" s="381"/>
      <c r="CCU72" s="381"/>
      <c r="CCV72" s="381"/>
      <c r="CCW72" s="381"/>
      <c r="CCX72" s="381"/>
      <c r="CCY72" s="379"/>
      <c r="CCZ72" s="380"/>
      <c r="CDA72" s="380"/>
      <c r="CDB72" s="380"/>
      <c r="CDC72" s="381"/>
      <c r="CDD72" s="381"/>
      <c r="CDE72" s="381"/>
      <c r="CDF72" s="381"/>
      <c r="CDG72" s="381"/>
      <c r="CDH72" s="381"/>
      <c r="CDI72" s="381"/>
      <c r="CDJ72" s="381"/>
      <c r="CDK72" s="381"/>
      <c r="CDL72" s="381"/>
      <c r="CDM72" s="381"/>
      <c r="CDN72" s="381"/>
      <c r="CDO72" s="381"/>
      <c r="CDP72" s="381"/>
      <c r="CDQ72" s="381"/>
      <c r="CDR72" s="381"/>
      <c r="CDS72" s="381"/>
      <c r="CDT72" s="381"/>
      <c r="CDU72" s="381"/>
      <c r="CDV72" s="381"/>
      <c r="CDW72" s="381"/>
      <c r="CDX72" s="381"/>
      <c r="CDY72" s="381"/>
      <c r="CDZ72" s="381"/>
      <c r="CEA72" s="381"/>
      <c r="CEB72" s="381"/>
      <c r="CEC72" s="379"/>
      <c r="CED72" s="380"/>
      <c r="CEE72" s="380"/>
      <c r="CEF72" s="380"/>
      <c r="CEG72" s="381"/>
      <c r="CEH72" s="381"/>
      <c r="CEI72" s="381"/>
      <c r="CEJ72" s="381"/>
      <c r="CEK72" s="381"/>
      <c r="CEL72" s="381"/>
      <c r="CEM72" s="381"/>
      <c r="CEN72" s="381"/>
      <c r="CEO72" s="381"/>
      <c r="CEP72" s="381"/>
      <c r="CEQ72" s="381"/>
      <c r="CER72" s="381"/>
      <c r="CES72" s="381"/>
      <c r="CET72" s="381"/>
      <c r="CEU72" s="381"/>
      <c r="CEV72" s="381"/>
      <c r="CEW72" s="381"/>
      <c r="CEX72" s="381"/>
      <c r="CEY72" s="381"/>
      <c r="CEZ72" s="381"/>
      <c r="CFA72" s="381"/>
      <c r="CFB72" s="381"/>
      <c r="CFC72" s="381"/>
      <c r="CFD72" s="381"/>
      <c r="CFE72" s="381"/>
      <c r="CFF72" s="381"/>
      <c r="CFG72" s="379"/>
      <c r="CFH72" s="380"/>
      <c r="CFI72" s="380"/>
      <c r="CFJ72" s="380"/>
      <c r="CFK72" s="381"/>
      <c r="CFL72" s="381"/>
      <c r="CFM72" s="381"/>
      <c r="CFN72" s="381"/>
      <c r="CFO72" s="381"/>
      <c r="CFP72" s="381"/>
      <c r="CFQ72" s="381"/>
      <c r="CFR72" s="381"/>
      <c r="CFS72" s="381"/>
      <c r="CFT72" s="381"/>
      <c r="CFU72" s="381"/>
      <c r="CFV72" s="381"/>
      <c r="CFW72" s="381"/>
      <c r="CFX72" s="381"/>
      <c r="CFY72" s="381"/>
      <c r="CFZ72" s="381"/>
      <c r="CGA72" s="381"/>
      <c r="CGB72" s="381"/>
      <c r="CGC72" s="381"/>
      <c r="CGD72" s="381"/>
      <c r="CGE72" s="381"/>
      <c r="CGF72" s="381"/>
      <c r="CGG72" s="381"/>
      <c r="CGH72" s="381"/>
      <c r="CGI72" s="381"/>
      <c r="CGJ72" s="381"/>
      <c r="CGK72" s="379"/>
      <c r="CGL72" s="380"/>
      <c r="CGM72" s="380"/>
      <c r="CGN72" s="380"/>
      <c r="CGO72" s="381"/>
      <c r="CGP72" s="381"/>
      <c r="CGQ72" s="381"/>
      <c r="CGR72" s="381"/>
      <c r="CGS72" s="381"/>
      <c r="CGT72" s="381"/>
      <c r="CGU72" s="381"/>
      <c r="CGV72" s="381"/>
      <c r="CGW72" s="381"/>
      <c r="CGX72" s="381"/>
      <c r="CGY72" s="381"/>
      <c r="CGZ72" s="381"/>
      <c r="CHA72" s="381"/>
      <c r="CHB72" s="381"/>
      <c r="CHC72" s="381"/>
      <c r="CHD72" s="381"/>
      <c r="CHE72" s="381"/>
      <c r="CHF72" s="381"/>
      <c r="CHG72" s="381"/>
      <c r="CHH72" s="381"/>
      <c r="CHI72" s="381"/>
      <c r="CHJ72" s="381"/>
      <c r="CHK72" s="381"/>
      <c r="CHL72" s="381"/>
      <c r="CHM72" s="381"/>
      <c r="CHN72" s="381"/>
      <c r="CHO72" s="379"/>
      <c r="CHP72" s="380"/>
      <c r="CHQ72" s="380"/>
      <c r="CHR72" s="380"/>
      <c r="CHS72" s="381"/>
      <c r="CHT72" s="381"/>
      <c r="CHU72" s="381"/>
      <c r="CHV72" s="381"/>
      <c r="CHW72" s="381"/>
      <c r="CHX72" s="381"/>
      <c r="CHY72" s="381"/>
      <c r="CHZ72" s="381"/>
      <c r="CIA72" s="381"/>
      <c r="CIB72" s="381"/>
      <c r="CIC72" s="381"/>
      <c r="CID72" s="381"/>
      <c r="CIE72" s="381"/>
      <c r="CIF72" s="381"/>
      <c r="CIG72" s="381"/>
      <c r="CIH72" s="381"/>
      <c r="CII72" s="381"/>
      <c r="CIJ72" s="381"/>
      <c r="CIK72" s="381"/>
      <c r="CIL72" s="381"/>
      <c r="CIM72" s="381"/>
      <c r="CIN72" s="381"/>
      <c r="CIO72" s="381"/>
      <c r="CIP72" s="381"/>
      <c r="CIQ72" s="381"/>
      <c r="CIR72" s="381"/>
      <c r="CIS72" s="379"/>
      <c r="CIT72" s="380"/>
      <c r="CIU72" s="380"/>
      <c r="CIV72" s="380"/>
      <c r="CIW72" s="381"/>
      <c r="CIX72" s="381"/>
      <c r="CIY72" s="381"/>
      <c r="CIZ72" s="381"/>
      <c r="CJA72" s="381"/>
      <c r="CJB72" s="381"/>
      <c r="CJC72" s="381"/>
      <c r="CJD72" s="381"/>
      <c r="CJE72" s="381"/>
      <c r="CJF72" s="381"/>
      <c r="CJG72" s="381"/>
      <c r="CJH72" s="381"/>
      <c r="CJI72" s="381"/>
      <c r="CJJ72" s="381"/>
      <c r="CJK72" s="381"/>
      <c r="CJL72" s="381"/>
      <c r="CJM72" s="381"/>
      <c r="CJN72" s="381"/>
      <c r="CJO72" s="381"/>
      <c r="CJP72" s="381"/>
      <c r="CJQ72" s="381"/>
      <c r="CJR72" s="381"/>
      <c r="CJS72" s="381"/>
      <c r="CJT72" s="381"/>
      <c r="CJU72" s="381"/>
      <c r="CJV72" s="381"/>
      <c r="CJW72" s="379"/>
      <c r="CJX72" s="380"/>
      <c r="CJY72" s="380"/>
      <c r="CJZ72" s="380"/>
      <c r="CKA72" s="381"/>
      <c r="CKB72" s="381"/>
      <c r="CKC72" s="381"/>
      <c r="CKD72" s="381"/>
      <c r="CKE72" s="381"/>
      <c r="CKF72" s="381"/>
      <c r="CKG72" s="381"/>
      <c r="CKH72" s="381"/>
      <c r="CKI72" s="381"/>
      <c r="CKJ72" s="381"/>
      <c r="CKK72" s="381"/>
      <c r="CKL72" s="381"/>
      <c r="CKM72" s="381"/>
      <c r="CKN72" s="381"/>
      <c r="CKO72" s="381"/>
      <c r="CKP72" s="381"/>
      <c r="CKQ72" s="381"/>
      <c r="CKR72" s="381"/>
      <c r="CKS72" s="381"/>
      <c r="CKT72" s="381"/>
      <c r="CKU72" s="381"/>
      <c r="CKV72" s="381"/>
      <c r="CKW72" s="381"/>
      <c r="CKX72" s="381"/>
      <c r="CKY72" s="381"/>
      <c r="CKZ72" s="381"/>
      <c r="CLA72" s="379"/>
      <c r="CLB72" s="380"/>
      <c r="CLC72" s="380"/>
      <c r="CLD72" s="380"/>
      <c r="CLE72" s="381"/>
      <c r="CLF72" s="381"/>
      <c r="CLG72" s="381"/>
      <c r="CLH72" s="381"/>
      <c r="CLI72" s="381"/>
      <c r="CLJ72" s="381"/>
      <c r="CLK72" s="381"/>
      <c r="CLL72" s="381"/>
      <c r="CLM72" s="381"/>
      <c r="CLN72" s="381"/>
      <c r="CLO72" s="381"/>
      <c r="CLP72" s="381"/>
      <c r="CLQ72" s="381"/>
      <c r="CLR72" s="381"/>
      <c r="CLS72" s="381"/>
      <c r="CLT72" s="381"/>
      <c r="CLU72" s="381"/>
      <c r="CLV72" s="381"/>
      <c r="CLW72" s="381"/>
      <c r="CLX72" s="381"/>
      <c r="CLY72" s="381"/>
      <c r="CLZ72" s="381"/>
      <c r="CMA72" s="381"/>
      <c r="CMB72" s="381"/>
      <c r="CMC72" s="381"/>
      <c r="CMD72" s="381"/>
      <c r="CME72" s="379"/>
      <c r="CMF72" s="380"/>
      <c r="CMG72" s="380"/>
      <c r="CMH72" s="380"/>
      <c r="CMI72" s="381"/>
      <c r="CMJ72" s="381"/>
      <c r="CMK72" s="381"/>
      <c r="CML72" s="381"/>
      <c r="CMM72" s="381"/>
      <c r="CMN72" s="381"/>
      <c r="CMO72" s="381"/>
      <c r="CMP72" s="381"/>
      <c r="CMQ72" s="381"/>
      <c r="CMR72" s="381"/>
      <c r="CMS72" s="381"/>
      <c r="CMT72" s="381"/>
      <c r="CMU72" s="381"/>
      <c r="CMV72" s="381"/>
      <c r="CMW72" s="381"/>
      <c r="CMX72" s="381"/>
      <c r="CMY72" s="381"/>
      <c r="CMZ72" s="381"/>
      <c r="CNA72" s="381"/>
      <c r="CNB72" s="381"/>
      <c r="CNC72" s="381"/>
      <c r="CND72" s="381"/>
      <c r="CNE72" s="381"/>
      <c r="CNF72" s="381"/>
      <c r="CNG72" s="381"/>
      <c r="CNH72" s="381"/>
      <c r="CNI72" s="379"/>
      <c r="CNJ72" s="380"/>
      <c r="CNK72" s="380"/>
      <c r="CNL72" s="380"/>
      <c r="CNM72" s="381"/>
      <c r="CNN72" s="381"/>
      <c r="CNO72" s="381"/>
      <c r="CNP72" s="381"/>
      <c r="CNQ72" s="381"/>
      <c r="CNR72" s="381"/>
      <c r="CNS72" s="381"/>
      <c r="CNT72" s="381"/>
      <c r="CNU72" s="381"/>
      <c r="CNV72" s="381"/>
      <c r="CNW72" s="381"/>
      <c r="CNX72" s="381"/>
      <c r="CNY72" s="381"/>
      <c r="CNZ72" s="381"/>
      <c r="COA72" s="381"/>
      <c r="COB72" s="381"/>
      <c r="COC72" s="381"/>
      <c r="COD72" s="381"/>
      <c r="COE72" s="381"/>
      <c r="COF72" s="381"/>
      <c r="COG72" s="381"/>
      <c r="COH72" s="381"/>
      <c r="COI72" s="381"/>
      <c r="COJ72" s="381"/>
      <c r="COK72" s="381"/>
      <c r="COL72" s="381"/>
      <c r="COM72" s="379"/>
      <c r="CON72" s="380"/>
      <c r="COO72" s="380"/>
      <c r="COP72" s="380"/>
      <c r="COQ72" s="381"/>
      <c r="COR72" s="381"/>
      <c r="COS72" s="381"/>
      <c r="COT72" s="381"/>
      <c r="COU72" s="381"/>
      <c r="COV72" s="381"/>
      <c r="COW72" s="381"/>
      <c r="COX72" s="381"/>
      <c r="COY72" s="381"/>
      <c r="COZ72" s="381"/>
      <c r="CPA72" s="381"/>
      <c r="CPB72" s="381"/>
      <c r="CPC72" s="381"/>
      <c r="CPD72" s="381"/>
      <c r="CPE72" s="381"/>
      <c r="CPF72" s="381"/>
      <c r="CPG72" s="381"/>
      <c r="CPH72" s="381"/>
      <c r="CPI72" s="381"/>
      <c r="CPJ72" s="381"/>
      <c r="CPK72" s="381"/>
      <c r="CPL72" s="381"/>
      <c r="CPM72" s="381"/>
      <c r="CPN72" s="381"/>
      <c r="CPO72" s="381"/>
      <c r="CPP72" s="381"/>
      <c r="CPQ72" s="379"/>
      <c r="CPR72" s="380"/>
      <c r="CPS72" s="380"/>
      <c r="CPT72" s="380"/>
      <c r="CPU72" s="381"/>
      <c r="CPV72" s="381"/>
      <c r="CPW72" s="381"/>
      <c r="CPX72" s="381"/>
      <c r="CPY72" s="381"/>
      <c r="CPZ72" s="381"/>
      <c r="CQA72" s="381"/>
      <c r="CQB72" s="381"/>
      <c r="CQC72" s="381"/>
      <c r="CQD72" s="381"/>
      <c r="CQE72" s="381"/>
      <c r="CQF72" s="381"/>
      <c r="CQG72" s="381"/>
      <c r="CQH72" s="381"/>
      <c r="CQI72" s="381"/>
      <c r="CQJ72" s="381"/>
      <c r="CQK72" s="381"/>
      <c r="CQL72" s="381"/>
      <c r="CQM72" s="381"/>
      <c r="CQN72" s="381"/>
      <c r="CQO72" s="381"/>
      <c r="CQP72" s="381"/>
      <c r="CQQ72" s="381"/>
      <c r="CQR72" s="381"/>
      <c r="CQS72" s="381"/>
      <c r="CQT72" s="381"/>
      <c r="CQU72" s="379"/>
      <c r="CQV72" s="380"/>
      <c r="CQW72" s="380"/>
      <c r="CQX72" s="380"/>
      <c r="CQY72" s="381"/>
      <c r="CQZ72" s="381"/>
      <c r="CRA72" s="381"/>
      <c r="CRB72" s="381"/>
      <c r="CRC72" s="381"/>
      <c r="CRD72" s="381"/>
      <c r="CRE72" s="381"/>
      <c r="CRF72" s="381"/>
      <c r="CRG72" s="381"/>
      <c r="CRH72" s="381"/>
      <c r="CRI72" s="381"/>
      <c r="CRJ72" s="381"/>
      <c r="CRK72" s="381"/>
      <c r="CRL72" s="381"/>
      <c r="CRM72" s="381"/>
      <c r="CRN72" s="381"/>
      <c r="CRO72" s="381"/>
      <c r="CRP72" s="381"/>
      <c r="CRQ72" s="381"/>
      <c r="CRR72" s="381"/>
      <c r="CRS72" s="381"/>
      <c r="CRT72" s="381"/>
      <c r="CRU72" s="381"/>
      <c r="CRV72" s="381"/>
      <c r="CRW72" s="381"/>
      <c r="CRX72" s="381"/>
      <c r="CRY72" s="379"/>
      <c r="CRZ72" s="380"/>
      <c r="CSA72" s="380"/>
      <c r="CSB72" s="380"/>
      <c r="CSC72" s="381"/>
      <c r="CSD72" s="381"/>
      <c r="CSE72" s="381"/>
      <c r="CSF72" s="381"/>
      <c r="CSG72" s="381"/>
      <c r="CSH72" s="381"/>
      <c r="CSI72" s="381"/>
      <c r="CSJ72" s="381"/>
      <c r="CSK72" s="381"/>
      <c r="CSL72" s="381"/>
      <c r="CSM72" s="381"/>
      <c r="CSN72" s="381"/>
      <c r="CSO72" s="381"/>
      <c r="CSP72" s="381"/>
      <c r="CSQ72" s="381"/>
      <c r="CSR72" s="381"/>
      <c r="CSS72" s="381"/>
      <c r="CST72" s="381"/>
      <c r="CSU72" s="381"/>
      <c r="CSV72" s="381"/>
      <c r="CSW72" s="381"/>
      <c r="CSX72" s="381"/>
      <c r="CSY72" s="381"/>
      <c r="CSZ72" s="381"/>
      <c r="CTA72" s="381"/>
      <c r="CTB72" s="381"/>
      <c r="CTC72" s="379"/>
      <c r="CTD72" s="380"/>
      <c r="CTE72" s="380"/>
      <c r="CTF72" s="380"/>
      <c r="CTG72" s="381"/>
      <c r="CTH72" s="381"/>
      <c r="CTI72" s="381"/>
      <c r="CTJ72" s="381"/>
      <c r="CTK72" s="381"/>
      <c r="CTL72" s="381"/>
      <c r="CTM72" s="381"/>
      <c r="CTN72" s="381"/>
      <c r="CTO72" s="381"/>
      <c r="CTP72" s="381"/>
      <c r="CTQ72" s="381"/>
      <c r="CTR72" s="381"/>
      <c r="CTS72" s="381"/>
      <c r="CTT72" s="381"/>
      <c r="CTU72" s="381"/>
      <c r="CTV72" s="381"/>
      <c r="CTW72" s="381"/>
      <c r="CTX72" s="381"/>
      <c r="CTY72" s="381"/>
      <c r="CTZ72" s="381"/>
      <c r="CUA72" s="381"/>
      <c r="CUB72" s="381"/>
      <c r="CUC72" s="381"/>
      <c r="CUD72" s="381"/>
      <c r="CUE72" s="381"/>
      <c r="CUF72" s="381"/>
      <c r="CUG72" s="379"/>
      <c r="CUH72" s="380"/>
      <c r="CUI72" s="380"/>
      <c r="CUJ72" s="380"/>
      <c r="CUK72" s="381"/>
      <c r="CUL72" s="381"/>
      <c r="CUM72" s="381"/>
      <c r="CUN72" s="381"/>
      <c r="CUO72" s="381"/>
      <c r="CUP72" s="381"/>
      <c r="CUQ72" s="381"/>
      <c r="CUR72" s="381"/>
      <c r="CUS72" s="381"/>
      <c r="CUT72" s="381"/>
      <c r="CUU72" s="381"/>
      <c r="CUV72" s="381"/>
      <c r="CUW72" s="381"/>
      <c r="CUX72" s="381"/>
      <c r="CUY72" s="381"/>
      <c r="CUZ72" s="381"/>
      <c r="CVA72" s="381"/>
      <c r="CVB72" s="381"/>
      <c r="CVC72" s="381"/>
      <c r="CVD72" s="381"/>
      <c r="CVE72" s="381"/>
      <c r="CVF72" s="381"/>
      <c r="CVG72" s="381"/>
      <c r="CVH72" s="381"/>
      <c r="CVI72" s="381"/>
      <c r="CVJ72" s="381"/>
      <c r="CVK72" s="379"/>
      <c r="CVL72" s="380"/>
      <c r="CVM72" s="380"/>
      <c r="CVN72" s="380"/>
      <c r="CVO72" s="381"/>
      <c r="CVP72" s="381"/>
      <c r="CVQ72" s="381"/>
      <c r="CVR72" s="381"/>
      <c r="CVS72" s="381"/>
      <c r="CVT72" s="381"/>
      <c r="CVU72" s="381"/>
      <c r="CVV72" s="381"/>
      <c r="CVW72" s="381"/>
      <c r="CVX72" s="381"/>
      <c r="CVY72" s="381"/>
      <c r="CVZ72" s="381"/>
      <c r="CWA72" s="381"/>
      <c r="CWB72" s="381"/>
      <c r="CWC72" s="381"/>
      <c r="CWD72" s="381"/>
      <c r="CWE72" s="381"/>
      <c r="CWF72" s="381"/>
      <c r="CWG72" s="381"/>
      <c r="CWH72" s="381"/>
      <c r="CWI72" s="381"/>
      <c r="CWJ72" s="381"/>
      <c r="CWK72" s="381"/>
      <c r="CWL72" s="381"/>
      <c r="CWM72" s="381"/>
      <c r="CWN72" s="381"/>
      <c r="CWO72" s="379"/>
      <c r="CWP72" s="380"/>
      <c r="CWQ72" s="380"/>
      <c r="CWR72" s="380"/>
      <c r="CWS72" s="381"/>
      <c r="CWT72" s="381"/>
      <c r="CWU72" s="381"/>
      <c r="CWV72" s="381"/>
      <c r="CWW72" s="381"/>
      <c r="CWX72" s="381"/>
      <c r="CWY72" s="381"/>
      <c r="CWZ72" s="381"/>
      <c r="CXA72" s="381"/>
      <c r="CXB72" s="381"/>
      <c r="CXC72" s="381"/>
      <c r="CXD72" s="381"/>
      <c r="CXE72" s="381"/>
      <c r="CXF72" s="381"/>
      <c r="CXG72" s="381"/>
      <c r="CXH72" s="381"/>
      <c r="CXI72" s="381"/>
      <c r="CXJ72" s="381"/>
      <c r="CXK72" s="381"/>
      <c r="CXL72" s="381"/>
      <c r="CXM72" s="381"/>
      <c r="CXN72" s="381"/>
      <c r="CXO72" s="381"/>
      <c r="CXP72" s="381"/>
      <c r="CXQ72" s="381"/>
      <c r="CXR72" s="381"/>
      <c r="CXS72" s="379"/>
      <c r="CXT72" s="380"/>
      <c r="CXU72" s="380"/>
      <c r="CXV72" s="380"/>
      <c r="CXW72" s="381"/>
      <c r="CXX72" s="381"/>
      <c r="CXY72" s="381"/>
      <c r="CXZ72" s="381"/>
      <c r="CYA72" s="381"/>
      <c r="CYB72" s="381"/>
      <c r="CYC72" s="381"/>
      <c r="CYD72" s="381"/>
      <c r="CYE72" s="381"/>
      <c r="CYF72" s="381"/>
      <c r="CYG72" s="381"/>
      <c r="CYH72" s="381"/>
      <c r="CYI72" s="381"/>
      <c r="CYJ72" s="381"/>
      <c r="CYK72" s="381"/>
      <c r="CYL72" s="381"/>
      <c r="CYM72" s="381"/>
      <c r="CYN72" s="381"/>
      <c r="CYO72" s="381"/>
      <c r="CYP72" s="381"/>
      <c r="CYQ72" s="381"/>
      <c r="CYR72" s="381"/>
      <c r="CYS72" s="381"/>
      <c r="CYT72" s="381"/>
      <c r="CYU72" s="381"/>
      <c r="CYV72" s="381"/>
      <c r="CYW72" s="379"/>
      <c r="CYX72" s="380"/>
      <c r="CYY72" s="380"/>
      <c r="CYZ72" s="380"/>
      <c r="CZA72" s="381"/>
      <c r="CZB72" s="381"/>
      <c r="CZC72" s="381"/>
      <c r="CZD72" s="381"/>
      <c r="CZE72" s="381"/>
      <c r="CZF72" s="381"/>
      <c r="CZG72" s="381"/>
      <c r="CZH72" s="381"/>
      <c r="CZI72" s="381"/>
      <c r="CZJ72" s="381"/>
      <c r="CZK72" s="381"/>
      <c r="CZL72" s="381"/>
      <c r="CZM72" s="381"/>
      <c r="CZN72" s="381"/>
      <c r="CZO72" s="381"/>
      <c r="CZP72" s="381"/>
      <c r="CZQ72" s="381"/>
      <c r="CZR72" s="381"/>
      <c r="CZS72" s="381"/>
      <c r="CZT72" s="381"/>
      <c r="CZU72" s="381"/>
      <c r="CZV72" s="381"/>
      <c r="CZW72" s="381"/>
      <c r="CZX72" s="381"/>
      <c r="CZY72" s="381"/>
      <c r="CZZ72" s="381"/>
      <c r="DAA72" s="379"/>
      <c r="DAB72" s="380"/>
      <c r="DAC72" s="380"/>
      <c r="DAD72" s="380"/>
      <c r="DAE72" s="381"/>
      <c r="DAF72" s="381"/>
      <c r="DAG72" s="381"/>
      <c r="DAH72" s="381"/>
      <c r="DAI72" s="381"/>
      <c r="DAJ72" s="381"/>
      <c r="DAK72" s="381"/>
      <c r="DAL72" s="381"/>
      <c r="DAM72" s="381"/>
      <c r="DAN72" s="381"/>
      <c r="DAO72" s="381"/>
      <c r="DAP72" s="381"/>
      <c r="DAQ72" s="381"/>
      <c r="DAR72" s="381"/>
      <c r="DAS72" s="381"/>
      <c r="DAT72" s="381"/>
      <c r="DAU72" s="381"/>
      <c r="DAV72" s="381"/>
      <c r="DAW72" s="381"/>
      <c r="DAX72" s="381"/>
      <c r="DAY72" s="381"/>
      <c r="DAZ72" s="381"/>
      <c r="DBA72" s="381"/>
      <c r="DBB72" s="381"/>
      <c r="DBC72" s="381"/>
      <c r="DBD72" s="381"/>
      <c r="DBE72" s="379"/>
      <c r="DBF72" s="380"/>
      <c r="DBG72" s="380"/>
      <c r="DBH72" s="380"/>
      <c r="DBI72" s="381"/>
      <c r="DBJ72" s="381"/>
      <c r="DBK72" s="381"/>
      <c r="DBL72" s="381"/>
      <c r="DBM72" s="381"/>
      <c r="DBN72" s="381"/>
      <c r="DBO72" s="381"/>
      <c r="DBP72" s="381"/>
      <c r="DBQ72" s="381"/>
      <c r="DBR72" s="381"/>
      <c r="DBS72" s="381"/>
      <c r="DBT72" s="381"/>
      <c r="DBU72" s="381"/>
      <c r="DBV72" s="381"/>
      <c r="DBW72" s="381"/>
      <c r="DBX72" s="381"/>
      <c r="DBY72" s="381"/>
      <c r="DBZ72" s="381"/>
      <c r="DCA72" s="381"/>
      <c r="DCB72" s="381"/>
      <c r="DCC72" s="381"/>
      <c r="DCD72" s="381"/>
      <c r="DCE72" s="381"/>
      <c r="DCF72" s="381"/>
      <c r="DCG72" s="381"/>
      <c r="DCH72" s="381"/>
      <c r="DCI72" s="379"/>
      <c r="DCJ72" s="380"/>
      <c r="DCK72" s="380"/>
      <c r="DCL72" s="380"/>
      <c r="DCM72" s="381"/>
      <c r="DCN72" s="381"/>
      <c r="DCO72" s="381"/>
      <c r="DCP72" s="381"/>
      <c r="DCQ72" s="381"/>
      <c r="DCR72" s="381"/>
      <c r="DCS72" s="381"/>
      <c r="DCT72" s="381"/>
      <c r="DCU72" s="381"/>
      <c r="DCV72" s="381"/>
      <c r="DCW72" s="381"/>
      <c r="DCX72" s="381"/>
      <c r="DCY72" s="381"/>
      <c r="DCZ72" s="381"/>
      <c r="DDA72" s="381"/>
      <c r="DDB72" s="381"/>
      <c r="DDC72" s="381"/>
      <c r="DDD72" s="381"/>
      <c r="DDE72" s="381"/>
      <c r="DDF72" s="381"/>
      <c r="DDG72" s="381"/>
      <c r="DDH72" s="381"/>
      <c r="DDI72" s="381"/>
      <c r="DDJ72" s="381"/>
      <c r="DDK72" s="381"/>
      <c r="DDL72" s="381"/>
      <c r="DDM72" s="379"/>
      <c r="DDN72" s="380"/>
      <c r="DDO72" s="380"/>
      <c r="DDP72" s="380"/>
      <c r="DDQ72" s="381"/>
      <c r="DDR72" s="381"/>
      <c r="DDS72" s="381"/>
      <c r="DDT72" s="381"/>
      <c r="DDU72" s="381"/>
      <c r="DDV72" s="381"/>
      <c r="DDW72" s="381"/>
      <c r="DDX72" s="381"/>
      <c r="DDY72" s="381"/>
      <c r="DDZ72" s="381"/>
      <c r="DEA72" s="381"/>
      <c r="DEB72" s="381"/>
      <c r="DEC72" s="381"/>
      <c r="DED72" s="381"/>
      <c r="DEE72" s="381"/>
      <c r="DEF72" s="381"/>
      <c r="DEG72" s="381"/>
      <c r="DEH72" s="381"/>
      <c r="DEI72" s="381"/>
      <c r="DEJ72" s="381"/>
      <c r="DEK72" s="381"/>
      <c r="DEL72" s="381"/>
      <c r="DEM72" s="381"/>
      <c r="DEN72" s="381"/>
      <c r="DEO72" s="381"/>
      <c r="DEP72" s="381"/>
      <c r="DEQ72" s="379"/>
      <c r="DER72" s="380"/>
      <c r="DES72" s="380"/>
      <c r="DET72" s="380"/>
      <c r="DEU72" s="381"/>
      <c r="DEV72" s="381"/>
      <c r="DEW72" s="381"/>
      <c r="DEX72" s="381"/>
      <c r="DEY72" s="381"/>
      <c r="DEZ72" s="381"/>
      <c r="DFA72" s="381"/>
      <c r="DFB72" s="381"/>
      <c r="DFC72" s="381"/>
      <c r="DFD72" s="381"/>
      <c r="DFE72" s="381"/>
      <c r="DFF72" s="381"/>
      <c r="DFG72" s="381"/>
      <c r="DFH72" s="381"/>
      <c r="DFI72" s="381"/>
      <c r="DFJ72" s="381"/>
      <c r="DFK72" s="381"/>
      <c r="DFL72" s="381"/>
      <c r="DFM72" s="381"/>
      <c r="DFN72" s="381"/>
      <c r="DFO72" s="381"/>
      <c r="DFP72" s="381"/>
      <c r="DFQ72" s="381"/>
      <c r="DFR72" s="381"/>
      <c r="DFS72" s="381"/>
      <c r="DFT72" s="381"/>
      <c r="DFU72" s="379"/>
      <c r="DFV72" s="380"/>
      <c r="DFW72" s="380"/>
      <c r="DFX72" s="380"/>
      <c r="DFY72" s="381"/>
      <c r="DFZ72" s="381"/>
      <c r="DGA72" s="381"/>
      <c r="DGB72" s="381"/>
      <c r="DGC72" s="381"/>
      <c r="DGD72" s="381"/>
      <c r="DGE72" s="381"/>
      <c r="DGF72" s="381"/>
      <c r="DGG72" s="381"/>
      <c r="DGH72" s="381"/>
      <c r="DGI72" s="381"/>
      <c r="DGJ72" s="381"/>
      <c r="DGK72" s="381"/>
      <c r="DGL72" s="381"/>
      <c r="DGM72" s="381"/>
      <c r="DGN72" s="381"/>
      <c r="DGO72" s="381"/>
      <c r="DGP72" s="381"/>
      <c r="DGQ72" s="381"/>
      <c r="DGR72" s="381"/>
      <c r="DGS72" s="381"/>
      <c r="DGT72" s="381"/>
      <c r="DGU72" s="381"/>
      <c r="DGV72" s="381"/>
      <c r="DGW72" s="381"/>
      <c r="DGX72" s="381"/>
      <c r="DGY72" s="379"/>
      <c r="DGZ72" s="380"/>
      <c r="DHA72" s="380"/>
      <c r="DHB72" s="380"/>
      <c r="DHC72" s="381"/>
      <c r="DHD72" s="381"/>
      <c r="DHE72" s="381"/>
      <c r="DHF72" s="381"/>
      <c r="DHG72" s="381"/>
      <c r="DHH72" s="381"/>
      <c r="DHI72" s="381"/>
      <c r="DHJ72" s="381"/>
      <c r="DHK72" s="381"/>
      <c r="DHL72" s="381"/>
      <c r="DHM72" s="381"/>
      <c r="DHN72" s="381"/>
      <c r="DHO72" s="381"/>
      <c r="DHP72" s="381"/>
      <c r="DHQ72" s="381"/>
      <c r="DHR72" s="381"/>
      <c r="DHS72" s="381"/>
      <c r="DHT72" s="381"/>
      <c r="DHU72" s="381"/>
      <c r="DHV72" s="381"/>
      <c r="DHW72" s="381"/>
      <c r="DHX72" s="381"/>
      <c r="DHY72" s="381"/>
      <c r="DHZ72" s="381"/>
      <c r="DIA72" s="381"/>
      <c r="DIB72" s="381"/>
      <c r="DIC72" s="379"/>
      <c r="DID72" s="380"/>
      <c r="DIE72" s="380"/>
      <c r="DIF72" s="380"/>
      <c r="DIG72" s="381"/>
      <c r="DIH72" s="381"/>
      <c r="DII72" s="381"/>
      <c r="DIJ72" s="381"/>
      <c r="DIK72" s="381"/>
      <c r="DIL72" s="381"/>
      <c r="DIM72" s="381"/>
      <c r="DIN72" s="381"/>
      <c r="DIO72" s="381"/>
      <c r="DIP72" s="381"/>
      <c r="DIQ72" s="381"/>
      <c r="DIR72" s="381"/>
      <c r="DIS72" s="381"/>
      <c r="DIT72" s="381"/>
      <c r="DIU72" s="381"/>
      <c r="DIV72" s="381"/>
      <c r="DIW72" s="381"/>
      <c r="DIX72" s="381"/>
      <c r="DIY72" s="381"/>
      <c r="DIZ72" s="381"/>
      <c r="DJA72" s="381"/>
      <c r="DJB72" s="381"/>
      <c r="DJC72" s="381"/>
      <c r="DJD72" s="381"/>
      <c r="DJE72" s="381"/>
      <c r="DJF72" s="381"/>
      <c r="DJG72" s="379"/>
      <c r="DJH72" s="380"/>
      <c r="DJI72" s="380"/>
      <c r="DJJ72" s="380"/>
      <c r="DJK72" s="381"/>
      <c r="DJL72" s="381"/>
      <c r="DJM72" s="381"/>
      <c r="DJN72" s="381"/>
      <c r="DJO72" s="381"/>
      <c r="DJP72" s="381"/>
      <c r="DJQ72" s="381"/>
      <c r="DJR72" s="381"/>
      <c r="DJS72" s="381"/>
      <c r="DJT72" s="381"/>
      <c r="DJU72" s="381"/>
      <c r="DJV72" s="381"/>
      <c r="DJW72" s="381"/>
      <c r="DJX72" s="381"/>
      <c r="DJY72" s="381"/>
      <c r="DJZ72" s="381"/>
      <c r="DKA72" s="381"/>
      <c r="DKB72" s="381"/>
      <c r="DKC72" s="381"/>
      <c r="DKD72" s="381"/>
      <c r="DKE72" s="381"/>
      <c r="DKF72" s="381"/>
      <c r="DKG72" s="381"/>
      <c r="DKH72" s="381"/>
      <c r="DKI72" s="381"/>
      <c r="DKJ72" s="381"/>
      <c r="DKK72" s="379"/>
      <c r="DKL72" s="380"/>
      <c r="DKM72" s="380"/>
      <c r="DKN72" s="380"/>
      <c r="DKO72" s="381"/>
      <c r="DKP72" s="381"/>
      <c r="DKQ72" s="381"/>
      <c r="DKR72" s="381"/>
      <c r="DKS72" s="381"/>
      <c r="DKT72" s="381"/>
      <c r="DKU72" s="381"/>
      <c r="DKV72" s="381"/>
      <c r="DKW72" s="381"/>
      <c r="DKX72" s="381"/>
      <c r="DKY72" s="381"/>
      <c r="DKZ72" s="381"/>
      <c r="DLA72" s="381"/>
      <c r="DLB72" s="381"/>
      <c r="DLC72" s="381"/>
      <c r="DLD72" s="381"/>
      <c r="DLE72" s="381"/>
      <c r="DLF72" s="381"/>
      <c r="DLG72" s="381"/>
      <c r="DLH72" s="381"/>
      <c r="DLI72" s="381"/>
      <c r="DLJ72" s="381"/>
      <c r="DLK72" s="381"/>
      <c r="DLL72" s="381"/>
      <c r="DLM72" s="381"/>
      <c r="DLN72" s="381"/>
      <c r="DLO72" s="379"/>
      <c r="DLP72" s="380"/>
      <c r="DLQ72" s="380"/>
      <c r="DLR72" s="380"/>
      <c r="DLS72" s="381"/>
      <c r="DLT72" s="381"/>
      <c r="DLU72" s="381"/>
      <c r="DLV72" s="381"/>
      <c r="DLW72" s="381"/>
      <c r="DLX72" s="381"/>
      <c r="DLY72" s="381"/>
      <c r="DLZ72" s="381"/>
      <c r="DMA72" s="381"/>
      <c r="DMB72" s="381"/>
      <c r="DMC72" s="381"/>
      <c r="DMD72" s="381"/>
      <c r="DME72" s="381"/>
      <c r="DMF72" s="381"/>
      <c r="DMG72" s="381"/>
      <c r="DMH72" s="381"/>
      <c r="DMI72" s="381"/>
      <c r="DMJ72" s="381"/>
      <c r="DMK72" s="381"/>
      <c r="DML72" s="381"/>
      <c r="DMM72" s="381"/>
      <c r="DMN72" s="381"/>
      <c r="DMO72" s="381"/>
      <c r="DMP72" s="381"/>
      <c r="DMQ72" s="381"/>
      <c r="DMR72" s="381"/>
      <c r="DMS72" s="379"/>
      <c r="DMT72" s="380"/>
      <c r="DMU72" s="380"/>
      <c r="DMV72" s="380"/>
      <c r="DMW72" s="381"/>
      <c r="DMX72" s="381"/>
      <c r="DMY72" s="381"/>
      <c r="DMZ72" s="381"/>
      <c r="DNA72" s="381"/>
      <c r="DNB72" s="381"/>
      <c r="DNC72" s="381"/>
      <c r="DND72" s="381"/>
      <c r="DNE72" s="381"/>
      <c r="DNF72" s="381"/>
      <c r="DNG72" s="381"/>
      <c r="DNH72" s="381"/>
      <c r="DNI72" s="381"/>
      <c r="DNJ72" s="381"/>
      <c r="DNK72" s="381"/>
      <c r="DNL72" s="381"/>
      <c r="DNM72" s="381"/>
      <c r="DNN72" s="381"/>
      <c r="DNO72" s="381"/>
      <c r="DNP72" s="381"/>
      <c r="DNQ72" s="381"/>
      <c r="DNR72" s="381"/>
      <c r="DNS72" s="381"/>
      <c r="DNT72" s="381"/>
      <c r="DNU72" s="381"/>
      <c r="DNV72" s="381"/>
      <c r="DNW72" s="379"/>
      <c r="DNX72" s="380"/>
      <c r="DNY72" s="380"/>
      <c r="DNZ72" s="380"/>
      <c r="DOA72" s="381"/>
      <c r="DOB72" s="381"/>
      <c r="DOC72" s="381"/>
      <c r="DOD72" s="381"/>
      <c r="DOE72" s="381"/>
      <c r="DOF72" s="381"/>
      <c r="DOG72" s="381"/>
      <c r="DOH72" s="381"/>
      <c r="DOI72" s="381"/>
      <c r="DOJ72" s="381"/>
      <c r="DOK72" s="381"/>
      <c r="DOL72" s="381"/>
      <c r="DOM72" s="381"/>
      <c r="DON72" s="381"/>
      <c r="DOO72" s="381"/>
      <c r="DOP72" s="381"/>
      <c r="DOQ72" s="381"/>
      <c r="DOR72" s="381"/>
      <c r="DOS72" s="381"/>
      <c r="DOT72" s="381"/>
      <c r="DOU72" s="381"/>
      <c r="DOV72" s="381"/>
      <c r="DOW72" s="381"/>
      <c r="DOX72" s="381"/>
      <c r="DOY72" s="381"/>
      <c r="DOZ72" s="381"/>
      <c r="DPA72" s="379"/>
      <c r="DPB72" s="380"/>
      <c r="DPC72" s="380"/>
      <c r="DPD72" s="380"/>
      <c r="DPE72" s="381"/>
      <c r="DPF72" s="381"/>
      <c r="DPG72" s="381"/>
      <c r="DPH72" s="381"/>
      <c r="DPI72" s="381"/>
      <c r="DPJ72" s="381"/>
      <c r="DPK72" s="381"/>
      <c r="DPL72" s="381"/>
      <c r="DPM72" s="381"/>
      <c r="DPN72" s="381"/>
      <c r="DPO72" s="381"/>
      <c r="DPP72" s="381"/>
      <c r="DPQ72" s="381"/>
      <c r="DPR72" s="381"/>
      <c r="DPS72" s="381"/>
      <c r="DPT72" s="381"/>
      <c r="DPU72" s="381"/>
      <c r="DPV72" s="381"/>
      <c r="DPW72" s="381"/>
      <c r="DPX72" s="381"/>
      <c r="DPY72" s="381"/>
      <c r="DPZ72" s="381"/>
      <c r="DQA72" s="381"/>
      <c r="DQB72" s="381"/>
      <c r="DQC72" s="381"/>
      <c r="DQD72" s="381"/>
      <c r="DQE72" s="379"/>
      <c r="DQF72" s="380"/>
      <c r="DQG72" s="380"/>
      <c r="DQH72" s="380"/>
      <c r="DQI72" s="381"/>
      <c r="DQJ72" s="381"/>
      <c r="DQK72" s="381"/>
      <c r="DQL72" s="381"/>
      <c r="DQM72" s="381"/>
      <c r="DQN72" s="381"/>
      <c r="DQO72" s="381"/>
      <c r="DQP72" s="381"/>
      <c r="DQQ72" s="381"/>
      <c r="DQR72" s="381"/>
      <c r="DQS72" s="381"/>
      <c r="DQT72" s="381"/>
      <c r="DQU72" s="381"/>
      <c r="DQV72" s="381"/>
      <c r="DQW72" s="381"/>
      <c r="DQX72" s="381"/>
      <c r="DQY72" s="381"/>
      <c r="DQZ72" s="381"/>
      <c r="DRA72" s="381"/>
      <c r="DRB72" s="381"/>
      <c r="DRC72" s="381"/>
      <c r="DRD72" s="381"/>
      <c r="DRE72" s="381"/>
      <c r="DRF72" s="381"/>
      <c r="DRG72" s="381"/>
      <c r="DRH72" s="381"/>
      <c r="DRI72" s="379"/>
      <c r="DRJ72" s="380"/>
      <c r="DRK72" s="380"/>
      <c r="DRL72" s="380"/>
      <c r="DRM72" s="381"/>
      <c r="DRN72" s="381"/>
      <c r="DRO72" s="381"/>
      <c r="DRP72" s="381"/>
      <c r="DRQ72" s="381"/>
      <c r="DRR72" s="381"/>
      <c r="DRS72" s="381"/>
      <c r="DRT72" s="381"/>
      <c r="DRU72" s="381"/>
      <c r="DRV72" s="381"/>
      <c r="DRW72" s="381"/>
      <c r="DRX72" s="381"/>
      <c r="DRY72" s="381"/>
      <c r="DRZ72" s="381"/>
      <c r="DSA72" s="381"/>
      <c r="DSB72" s="381"/>
      <c r="DSC72" s="381"/>
      <c r="DSD72" s="381"/>
      <c r="DSE72" s="381"/>
      <c r="DSF72" s="381"/>
      <c r="DSG72" s="381"/>
      <c r="DSH72" s="381"/>
      <c r="DSI72" s="381"/>
      <c r="DSJ72" s="381"/>
      <c r="DSK72" s="381"/>
      <c r="DSL72" s="381"/>
      <c r="DSM72" s="379"/>
      <c r="DSN72" s="380"/>
      <c r="DSO72" s="380"/>
      <c r="DSP72" s="380"/>
      <c r="DSQ72" s="381"/>
      <c r="DSR72" s="381"/>
      <c r="DSS72" s="381"/>
      <c r="DST72" s="381"/>
      <c r="DSU72" s="381"/>
      <c r="DSV72" s="381"/>
      <c r="DSW72" s="381"/>
      <c r="DSX72" s="381"/>
      <c r="DSY72" s="381"/>
      <c r="DSZ72" s="381"/>
      <c r="DTA72" s="381"/>
      <c r="DTB72" s="381"/>
      <c r="DTC72" s="381"/>
      <c r="DTD72" s="381"/>
      <c r="DTE72" s="381"/>
      <c r="DTF72" s="381"/>
      <c r="DTG72" s="381"/>
      <c r="DTH72" s="381"/>
      <c r="DTI72" s="381"/>
      <c r="DTJ72" s="381"/>
      <c r="DTK72" s="381"/>
      <c r="DTL72" s="381"/>
      <c r="DTM72" s="381"/>
      <c r="DTN72" s="381"/>
      <c r="DTO72" s="381"/>
      <c r="DTP72" s="381"/>
      <c r="DTQ72" s="379"/>
      <c r="DTR72" s="380"/>
      <c r="DTS72" s="380"/>
      <c r="DTT72" s="380"/>
      <c r="DTU72" s="381"/>
      <c r="DTV72" s="381"/>
      <c r="DTW72" s="381"/>
      <c r="DTX72" s="381"/>
      <c r="DTY72" s="381"/>
      <c r="DTZ72" s="381"/>
      <c r="DUA72" s="381"/>
      <c r="DUB72" s="381"/>
      <c r="DUC72" s="381"/>
      <c r="DUD72" s="381"/>
      <c r="DUE72" s="381"/>
      <c r="DUF72" s="381"/>
      <c r="DUG72" s="381"/>
      <c r="DUH72" s="381"/>
      <c r="DUI72" s="381"/>
      <c r="DUJ72" s="381"/>
      <c r="DUK72" s="381"/>
      <c r="DUL72" s="381"/>
      <c r="DUM72" s="381"/>
      <c r="DUN72" s="381"/>
      <c r="DUO72" s="381"/>
      <c r="DUP72" s="381"/>
      <c r="DUQ72" s="381"/>
      <c r="DUR72" s="381"/>
      <c r="DUS72" s="381"/>
      <c r="DUT72" s="381"/>
      <c r="DUU72" s="379"/>
      <c r="DUV72" s="380"/>
      <c r="DUW72" s="380"/>
      <c r="DUX72" s="380"/>
      <c r="DUY72" s="381"/>
      <c r="DUZ72" s="381"/>
      <c r="DVA72" s="381"/>
      <c r="DVB72" s="381"/>
      <c r="DVC72" s="381"/>
      <c r="DVD72" s="381"/>
      <c r="DVE72" s="381"/>
      <c r="DVF72" s="381"/>
      <c r="DVG72" s="381"/>
      <c r="DVH72" s="381"/>
      <c r="DVI72" s="381"/>
      <c r="DVJ72" s="381"/>
      <c r="DVK72" s="381"/>
      <c r="DVL72" s="381"/>
      <c r="DVM72" s="381"/>
      <c r="DVN72" s="381"/>
      <c r="DVO72" s="381"/>
      <c r="DVP72" s="381"/>
      <c r="DVQ72" s="381"/>
      <c r="DVR72" s="381"/>
      <c r="DVS72" s="381"/>
      <c r="DVT72" s="381"/>
      <c r="DVU72" s="381"/>
      <c r="DVV72" s="381"/>
      <c r="DVW72" s="381"/>
      <c r="DVX72" s="381"/>
      <c r="DVY72" s="379"/>
      <c r="DVZ72" s="380"/>
      <c r="DWA72" s="380"/>
      <c r="DWB72" s="380"/>
      <c r="DWC72" s="381"/>
      <c r="DWD72" s="381"/>
      <c r="DWE72" s="381"/>
      <c r="DWF72" s="381"/>
      <c r="DWG72" s="381"/>
      <c r="DWH72" s="381"/>
      <c r="DWI72" s="381"/>
      <c r="DWJ72" s="381"/>
      <c r="DWK72" s="381"/>
      <c r="DWL72" s="381"/>
      <c r="DWM72" s="381"/>
      <c r="DWN72" s="381"/>
      <c r="DWO72" s="381"/>
      <c r="DWP72" s="381"/>
      <c r="DWQ72" s="381"/>
      <c r="DWR72" s="381"/>
      <c r="DWS72" s="381"/>
      <c r="DWT72" s="381"/>
      <c r="DWU72" s="381"/>
      <c r="DWV72" s="381"/>
      <c r="DWW72" s="381"/>
      <c r="DWX72" s="381"/>
      <c r="DWY72" s="381"/>
      <c r="DWZ72" s="381"/>
      <c r="DXA72" s="381"/>
      <c r="DXB72" s="381"/>
      <c r="DXC72" s="379"/>
      <c r="DXD72" s="380"/>
      <c r="DXE72" s="380"/>
      <c r="DXF72" s="380"/>
      <c r="DXG72" s="381"/>
      <c r="DXH72" s="381"/>
      <c r="DXI72" s="381"/>
      <c r="DXJ72" s="381"/>
      <c r="DXK72" s="381"/>
      <c r="DXL72" s="381"/>
      <c r="DXM72" s="381"/>
      <c r="DXN72" s="381"/>
      <c r="DXO72" s="381"/>
      <c r="DXP72" s="381"/>
      <c r="DXQ72" s="381"/>
      <c r="DXR72" s="381"/>
      <c r="DXS72" s="381"/>
      <c r="DXT72" s="381"/>
      <c r="DXU72" s="381"/>
      <c r="DXV72" s="381"/>
      <c r="DXW72" s="381"/>
      <c r="DXX72" s="381"/>
      <c r="DXY72" s="381"/>
      <c r="DXZ72" s="381"/>
      <c r="DYA72" s="381"/>
      <c r="DYB72" s="381"/>
      <c r="DYC72" s="381"/>
      <c r="DYD72" s="381"/>
      <c r="DYE72" s="381"/>
      <c r="DYF72" s="381"/>
      <c r="DYG72" s="379"/>
      <c r="DYH72" s="380"/>
      <c r="DYI72" s="380"/>
      <c r="DYJ72" s="380"/>
      <c r="DYK72" s="381"/>
      <c r="DYL72" s="381"/>
      <c r="DYM72" s="381"/>
      <c r="DYN72" s="381"/>
      <c r="DYO72" s="381"/>
      <c r="DYP72" s="381"/>
      <c r="DYQ72" s="381"/>
      <c r="DYR72" s="381"/>
      <c r="DYS72" s="381"/>
      <c r="DYT72" s="381"/>
      <c r="DYU72" s="381"/>
      <c r="DYV72" s="381"/>
      <c r="DYW72" s="381"/>
      <c r="DYX72" s="381"/>
      <c r="DYY72" s="381"/>
      <c r="DYZ72" s="381"/>
      <c r="DZA72" s="381"/>
      <c r="DZB72" s="381"/>
      <c r="DZC72" s="381"/>
      <c r="DZD72" s="381"/>
      <c r="DZE72" s="381"/>
      <c r="DZF72" s="381"/>
      <c r="DZG72" s="381"/>
      <c r="DZH72" s="381"/>
      <c r="DZI72" s="381"/>
      <c r="DZJ72" s="381"/>
      <c r="DZK72" s="379"/>
      <c r="DZL72" s="380"/>
      <c r="DZM72" s="380"/>
      <c r="DZN72" s="380"/>
      <c r="DZO72" s="381"/>
      <c r="DZP72" s="381"/>
      <c r="DZQ72" s="381"/>
      <c r="DZR72" s="381"/>
      <c r="DZS72" s="381"/>
      <c r="DZT72" s="381"/>
      <c r="DZU72" s="381"/>
      <c r="DZV72" s="381"/>
      <c r="DZW72" s="381"/>
      <c r="DZX72" s="381"/>
      <c r="DZY72" s="381"/>
      <c r="DZZ72" s="381"/>
      <c r="EAA72" s="381"/>
      <c r="EAB72" s="381"/>
      <c r="EAC72" s="381"/>
      <c r="EAD72" s="381"/>
      <c r="EAE72" s="381"/>
      <c r="EAF72" s="381"/>
      <c r="EAG72" s="381"/>
      <c r="EAH72" s="381"/>
      <c r="EAI72" s="381"/>
      <c r="EAJ72" s="381"/>
      <c r="EAK72" s="381"/>
      <c r="EAL72" s="381"/>
      <c r="EAM72" s="381"/>
      <c r="EAN72" s="381"/>
      <c r="EAO72" s="379"/>
      <c r="EAP72" s="380"/>
      <c r="EAQ72" s="380"/>
      <c r="EAR72" s="380"/>
      <c r="EAS72" s="381"/>
      <c r="EAT72" s="381"/>
      <c r="EAU72" s="381"/>
      <c r="EAV72" s="381"/>
      <c r="EAW72" s="381"/>
      <c r="EAX72" s="381"/>
      <c r="EAY72" s="381"/>
      <c r="EAZ72" s="381"/>
      <c r="EBA72" s="381"/>
      <c r="EBB72" s="381"/>
      <c r="EBC72" s="381"/>
      <c r="EBD72" s="381"/>
      <c r="EBE72" s="381"/>
      <c r="EBF72" s="381"/>
      <c r="EBG72" s="381"/>
      <c r="EBH72" s="381"/>
      <c r="EBI72" s="381"/>
      <c r="EBJ72" s="381"/>
      <c r="EBK72" s="381"/>
      <c r="EBL72" s="381"/>
      <c r="EBM72" s="381"/>
      <c r="EBN72" s="381"/>
      <c r="EBO72" s="381"/>
      <c r="EBP72" s="381"/>
      <c r="EBQ72" s="381"/>
      <c r="EBR72" s="381"/>
      <c r="EBS72" s="379"/>
      <c r="EBT72" s="380"/>
      <c r="EBU72" s="380"/>
      <c r="EBV72" s="380"/>
      <c r="EBW72" s="381"/>
      <c r="EBX72" s="381"/>
      <c r="EBY72" s="381"/>
      <c r="EBZ72" s="381"/>
      <c r="ECA72" s="381"/>
      <c r="ECB72" s="381"/>
      <c r="ECC72" s="381"/>
      <c r="ECD72" s="381"/>
      <c r="ECE72" s="381"/>
      <c r="ECF72" s="381"/>
      <c r="ECG72" s="381"/>
      <c r="ECH72" s="381"/>
      <c r="ECI72" s="381"/>
      <c r="ECJ72" s="381"/>
      <c r="ECK72" s="381"/>
      <c r="ECL72" s="381"/>
      <c r="ECM72" s="381"/>
      <c r="ECN72" s="381"/>
      <c r="ECO72" s="381"/>
      <c r="ECP72" s="381"/>
      <c r="ECQ72" s="381"/>
      <c r="ECR72" s="381"/>
      <c r="ECS72" s="381"/>
      <c r="ECT72" s="381"/>
      <c r="ECU72" s="381"/>
      <c r="ECV72" s="381"/>
      <c r="ECW72" s="379"/>
      <c r="ECX72" s="380"/>
      <c r="ECY72" s="380"/>
      <c r="ECZ72" s="380"/>
      <c r="EDA72" s="381"/>
      <c r="EDB72" s="381"/>
      <c r="EDC72" s="381"/>
      <c r="EDD72" s="381"/>
      <c r="EDE72" s="381"/>
      <c r="EDF72" s="381"/>
      <c r="EDG72" s="381"/>
      <c r="EDH72" s="381"/>
      <c r="EDI72" s="381"/>
      <c r="EDJ72" s="381"/>
      <c r="EDK72" s="381"/>
      <c r="EDL72" s="381"/>
      <c r="EDM72" s="381"/>
      <c r="EDN72" s="381"/>
      <c r="EDO72" s="381"/>
      <c r="EDP72" s="381"/>
      <c r="EDQ72" s="381"/>
      <c r="EDR72" s="381"/>
      <c r="EDS72" s="381"/>
      <c r="EDT72" s="381"/>
      <c r="EDU72" s="381"/>
      <c r="EDV72" s="381"/>
      <c r="EDW72" s="381"/>
      <c r="EDX72" s="381"/>
      <c r="EDY72" s="381"/>
      <c r="EDZ72" s="381"/>
      <c r="EEA72" s="379"/>
      <c r="EEB72" s="380"/>
      <c r="EEC72" s="380"/>
      <c r="EED72" s="380"/>
      <c r="EEE72" s="381"/>
      <c r="EEF72" s="381"/>
      <c r="EEG72" s="381"/>
      <c r="EEH72" s="381"/>
      <c r="EEI72" s="381"/>
      <c r="EEJ72" s="381"/>
      <c r="EEK72" s="381"/>
      <c r="EEL72" s="381"/>
      <c r="EEM72" s="381"/>
      <c r="EEN72" s="381"/>
      <c r="EEO72" s="381"/>
      <c r="EEP72" s="381"/>
      <c r="EEQ72" s="381"/>
      <c r="EER72" s="381"/>
      <c r="EES72" s="381"/>
      <c r="EET72" s="381"/>
      <c r="EEU72" s="381"/>
      <c r="EEV72" s="381"/>
      <c r="EEW72" s="381"/>
      <c r="EEX72" s="381"/>
      <c r="EEY72" s="381"/>
      <c r="EEZ72" s="381"/>
      <c r="EFA72" s="381"/>
      <c r="EFB72" s="381"/>
      <c r="EFC72" s="381"/>
      <c r="EFD72" s="381"/>
      <c r="EFE72" s="379"/>
      <c r="EFF72" s="380"/>
      <c r="EFG72" s="380"/>
      <c r="EFH72" s="380"/>
      <c r="EFI72" s="381"/>
      <c r="EFJ72" s="381"/>
      <c r="EFK72" s="381"/>
      <c r="EFL72" s="381"/>
      <c r="EFM72" s="381"/>
      <c r="EFN72" s="381"/>
      <c r="EFO72" s="381"/>
      <c r="EFP72" s="381"/>
      <c r="EFQ72" s="381"/>
      <c r="EFR72" s="381"/>
      <c r="EFS72" s="381"/>
      <c r="EFT72" s="381"/>
      <c r="EFU72" s="381"/>
      <c r="EFV72" s="381"/>
      <c r="EFW72" s="381"/>
      <c r="EFX72" s="381"/>
      <c r="EFY72" s="381"/>
      <c r="EFZ72" s="381"/>
      <c r="EGA72" s="381"/>
      <c r="EGB72" s="381"/>
      <c r="EGC72" s="381"/>
      <c r="EGD72" s="381"/>
      <c r="EGE72" s="381"/>
      <c r="EGF72" s="381"/>
      <c r="EGG72" s="381"/>
      <c r="EGH72" s="381"/>
      <c r="EGI72" s="379"/>
      <c r="EGJ72" s="380"/>
      <c r="EGK72" s="380"/>
      <c r="EGL72" s="380"/>
      <c r="EGM72" s="381"/>
      <c r="EGN72" s="381"/>
      <c r="EGO72" s="381"/>
      <c r="EGP72" s="381"/>
      <c r="EGQ72" s="381"/>
      <c r="EGR72" s="381"/>
      <c r="EGS72" s="381"/>
      <c r="EGT72" s="381"/>
      <c r="EGU72" s="381"/>
      <c r="EGV72" s="381"/>
      <c r="EGW72" s="381"/>
      <c r="EGX72" s="381"/>
      <c r="EGY72" s="381"/>
      <c r="EGZ72" s="381"/>
      <c r="EHA72" s="381"/>
      <c r="EHB72" s="381"/>
      <c r="EHC72" s="381"/>
      <c r="EHD72" s="381"/>
      <c r="EHE72" s="381"/>
      <c r="EHF72" s="381"/>
      <c r="EHG72" s="381"/>
      <c r="EHH72" s="381"/>
      <c r="EHI72" s="381"/>
      <c r="EHJ72" s="381"/>
      <c r="EHK72" s="381"/>
      <c r="EHL72" s="381"/>
      <c r="EHM72" s="379"/>
      <c r="EHN72" s="380"/>
      <c r="EHO72" s="380"/>
      <c r="EHP72" s="380"/>
      <c r="EHQ72" s="381"/>
      <c r="EHR72" s="381"/>
      <c r="EHS72" s="381"/>
      <c r="EHT72" s="381"/>
      <c r="EHU72" s="381"/>
      <c r="EHV72" s="381"/>
      <c r="EHW72" s="381"/>
      <c r="EHX72" s="381"/>
      <c r="EHY72" s="381"/>
      <c r="EHZ72" s="381"/>
      <c r="EIA72" s="381"/>
      <c r="EIB72" s="381"/>
      <c r="EIC72" s="381"/>
      <c r="EID72" s="381"/>
      <c r="EIE72" s="381"/>
      <c r="EIF72" s="381"/>
      <c r="EIG72" s="381"/>
      <c r="EIH72" s="381"/>
      <c r="EII72" s="381"/>
      <c r="EIJ72" s="381"/>
      <c r="EIK72" s="381"/>
      <c r="EIL72" s="381"/>
      <c r="EIM72" s="381"/>
      <c r="EIN72" s="381"/>
      <c r="EIO72" s="381"/>
      <c r="EIP72" s="381"/>
      <c r="EIQ72" s="379"/>
      <c r="EIR72" s="380"/>
      <c r="EIS72" s="380"/>
      <c r="EIT72" s="380"/>
      <c r="EIU72" s="381"/>
      <c r="EIV72" s="381"/>
      <c r="EIW72" s="381"/>
      <c r="EIX72" s="381"/>
      <c r="EIY72" s="381"/>
      <c r="EIZ72" s="381"/>
      <c r="EJA72" s="381"/>
      <c r="EJB72" s="381"/>
      <c r="EJC72" s="381"/>
      <c r="EJD72" s="381"/>
      <c r="EJE72" s="381"/>
      <c r="EJF72" s="381"/>
      <c r="EJG72" s="381"/>
      <c r="EJH72" s="381"/>
      <c r="EJI72" s="381"/>
      <c r="EJJ72" s="381"/>
      <c r="EJK72" s="381"/>
      <c r="EJL72" s="381"/>
      <c r="EJM72" s="381"/>
      <c r="EJN72" s="381"/>
      <c r="EJO72" s="381"/>
      <c r="EJP72" s="381"/>
      <c r="EJQ72" s="381"/>
      <c r="EJR72" s="381"/>
      <c r="EJS72" s="381"/>
      <c r="EJT72" s="381"/>
      <c r="EJU72" s="379"/>
      <c r="EJV72" s="380"/>
      <c r="EJW72" s="380"/>
      <c r="EJX72" s="380"/>
      <c r="EJY72" s="381"/>
      <c r="EJZ72" s="381"/>
      <c r="EKA72" s="381"/>
      <c r="EKB72" s="381"/>
      <c r="EKC72" s="381"/>
      <c r="EKD72" s="381"/>
      <c r="EKE72" s="381"/>
      <c r="EKF72" s="381"/>
      <c r="EKG72" s="381"/>
      <c r="EKH72" s="381"/>
      <c r="EKI72" s="381"/>
      <c r="EKJ72" s="381"/>
      <c r="EKK72" s="381"/>
      <c r="EKL72" s="381"/>
      <c r="EKM72" s="381"/>
      <c r="EKN72" s="381"/>
      <c r="EKO72" s="381"/>
      <c r="EKP72" s="381"/>
      <c r="EKQ72" s="381"/>
      <c r="EKR72" s="381"/>
      <c r="EKS72" s="381"/>
      <c r="EKT72" s="381"/>
      <c r="EKU72" s="381"/>
      <c r="EKV72" s="381"/>
      <c r="EKW72" s="381"/>
      <c r="EKX72" s="381"/>
      <c r="EKY72" s="379"/>
      <c r="EKZ72" s="380"/>
      <c r="ELA72" s="380"/>
      <c r="ELB72" s="380"/>
      <c r="ELC72" s="381"/>
      <c r="ELD72" s="381"/>
      <c r="ELE72" s="381"/>
      <c r="ELF72" s="381"/>
      <c r="ELG72" s="381"/>
      <c r="ELH72" s="381"/>
      <c r="ELI72" s="381"/>
      <c r="ELJ72" s="381"/>
      <c r="ELK72" s="381"/>
      <c r="ELL72" s="381"/>
      <c r="ELM72" s="381"/>
      <c r="ELN72" s="381"/>
      <c r="ELO72" s="381"/>
      <c r="ELP72" s="381"/>
      <c r="ELQ72" s="381"/>
      <c r="ELR72" s="381"/>
      <c r="ELS72" s="381"/>
      <c r="ELT72" s="381"/>
      <c r="ELU72" s="381"/>
      <c r="ELV72" s="381"/>
      <c r="ELW72" s="381"/>
      <c r="ELX72" s="381"/>
      <c r="ELY72" s="381"/>
      <c r="ELZ72" s="381"/>
      <c r="EMA72" s="381"/>
      <c r="EMB72" s="381"/>
      <c r="EMC72" s="379"/>
      <c r="EMD72" s="380"/>
      <c r="EME72" s="380"/>
      <c r="EMF72" s="380"/>
      <c r="EMG72" s="381"/>
      <c r="EMH72" s="381"/>
      <c r="EMI72" s="381"/>
      <c r="EMJ72" s="381"/>
      <c r="EMK72" s="381"/>
      <c r="EML72" s="381"/>
      <c r="EMM72" s="381"/>
      <c r="EMN72" s="381"/>
      <c r="EMO72" s="381"/>
      <c r="EMP72" s="381"/>
      <c r="EMQ72" s="381"/>
      <c r="EMR72" s="381"/>
      <c r="EMS72" s="381"/>
      <c r="EMT72" s="381"/>
      <c r="EMU72" s="381"/>
      <c r="EMV72" s="381"/>
      <c r="EMW72" s="381"/>
      <c r="EMX72" s="381"/>
      <c r="EMY72" s="381"/>
      <c r="EMZ72" s="381"/>
      <c r="ENA72" s="381"/>
      <c r="ENB72" s="381"/>
      <c r="ENC72" s="381"/>
      <c r="END72" s="381"/>
      <c r="ENE72" s="381"/>
      <c r="ENF72" s="381"/>
      <c r="ENG72" s="379"/>
      <c r="ENH72" s="380"/>
      <c r="ENI72" s="380"/>
      <c r="ENJ72" s="380"/>
      <c r="ENK72" s="381"/>
      <c r="ENL72" s="381"/>
      <c r="ENM72" s="381"/>
      <c r="ENN72" s="381"/>
      <c r="ENO72" s="381"/>
      <c r="ENP72" s="381"/>
      <c r="ENQ72" s="381"/>
      <c r="ENR72" s="381"/>
      <c r="ENS72" s="381"/>
      <c r="ENT72" s="381"/>
      <c r="ENU72" s="381"/>
      <c r="ENV72" s="381"/>
      <c r="ENW72" s="381"/>
      <c r="ENX72" s="381"/>
      <c r="ENY72" s="381"/>
      <c r="ENZ72" s="381"/>
      <c r="EOA72" s="381"/>
      <c r="EOB72" s="381"/>
      <c r="EOC72" s="381"/>
      <c r="EOD72" s="381"/>
      <c r="EOE72" s="381"/>
      <c r="EOF72" s="381"/>
      <c r="EOG72" s="381"/>
      <c r="EOH72" s="381"/>
      <c r="EOI72" s="381"/>
      <c r="EOJ72" s="381"/>
      <c r="EOK72" s="379"/>
      <c r="EOL72" s="380"/>
      <c r="EOM72" s="380"/>
      <c r="EON72" s="380"/>
      <c r="EOO72" s="381"/>
      <c r="EOP72" s="381"/>
      <c r="EOQ72" s="381"/>
      <c r="EOR72" s="381"/>
      <c r="EOS72" s="381"/>
      <c r="EOT72" s="381"/>
      <c r="EOU72" s="381"/>
      <c r="EOV72" s="381"/>
      <c r="EOW72" s="381"/>
      <c r="EOX72" s="381"/>
      <c r="EOY72" s="381"/>
      <c r="EOZ72" s="381"/>
      <c r="EPA72" s="381"/>
      <c r="EPB72" s="381"/>
      <c r="EPC72" s="381"/>
      <c r="EPD72" s="381"/>
      <c r="EPE72" s="381"/>
      <c r="EPF72" s="381"/>
      <c r="EPG72" s="381"/>
      <c r="EPH72" s="381"/>
      <c r="EPI72" s="381"/>
      <c r="EPJ72" s="381"/>
      <c r="EPK72" s="381"/>
      <c r="EPL72" s="381"/>
      <c r="EPM72" s="381"/>
      <c r="EPN72" s="381"/>
      <c r="EPO72" s="379"/>
      <c r="EPP72" s="380"/>
      <c r="EPQ72" s="380"/>
      <c r="EPR72" s="380"/>
      <c r="EPS72" s="381"/>
      <c r="EPT72" s="381"/>
      <c r="EPU72" s="381"/>
      <c r="EPV72" s="381"/>
      <c r="EPW72" s="381"/>
      <c r="EPX72" s="381"/>
      <c r="EPY72" s="381"/>
      <c r="EPZ72" s="381"/>
      <c r="EQA72" s="381"/>
      <c r="EQB72" s="381"/>
      <c r="EQC72" s="381"/>
      <c r="EQD72" s="381"/>
      <c r="EQE72" s="381"/>
      <c r="EQF72" s="381"/>
      <c r="EQG72" s="381"/>
      <c r="EQH72" s="381"/>
      <c r="EQI72" s="381"/>
      <c r="EQJ72" s="381"/>
      <c r="EQK72" s="381"/>
      <c r="EQL72" s="381"/>
      <c r="EQM72" s="381"/>
      <c r="EQN72" s="381"/>
      <c r="EQO72" s="381"/>
      <c r="EQP72" s="381"/>
      <c r="EQQ72" s="381"/>
      <c r="EQR72" s="381"/>
      <c r="EQS72" s="379"/>
      <c r="EQT72" s="380"/>
      <c r="EQU72" s="380"/>
      <c r="EQV72" s="380"/>
      <c r="EQW72" s="381"/>
      <c r="EQX72" s="381"/>
      <c r="EQY72" s="381"/>
      <c r="EQZ72" s="381"/>
      <c r="ERA72" s="381"/>
      <c r="ERB72" s="381"/>
      <c r="ERC72" s="381"/>
      <c r="ERD72" s="381"/>
      <c r="ERE72" s="381"/>
      <c r="ERF72" s="381"/>
      <c r="ERG72" s="381"/>
      <c r="ERH72" s="381"/>
      <c r="ERI72" s="381"/>
      <c r="ERJ72" s="381"/>
      <c r="ERK72" s="381"/>
      <c r="ERL72" s="381"/>
      <c r="ERM72" s="381"/>
      <c r="ERN72" s="381"/>
      <c r="ERO72" s="381"/>
      <c r="ERP72" s="381"/>
      <c r="ERQ72" s="381"/>
      <c r="ERR72" s="381"/>
      <c r="ERS72" s="381"/>
      <c r="ERT72" s="381"/>
      <c r="ERU72" s="381"/>
      <c r="ERV72" s="381"/>
      <c r="ERW72" s="379"/>
      <c r="ERX72" s="380"/>
      <c r="ERY72" s="380"/>
      <c r="ERZ72" s="380"/>
      <c r="ESA72" s="381"/>
      <c r="ESB72" s="381"/>
      <c r="ESC72" s="381"/>
      <c r="ESD72" s="381"/>
      <c r="ESE72" s="381"/>
      <c r="ESF72" s="381"/>
      <c r="ESG72" s="381"/>
      <c r="ESH72" s="381"/>
      <c r="ESI72" s="381"/>
      <c r="ESJ72" s="381"/>
      <c r="ESK72" s="381"/>
      <c r="ESL72" s="381"/>
      <c r="ESM72" s="381"/>
      <c r="ESN72" s="381"/>
      <c r="ESO72" s="381"/>
      <c r="ESP72" s="381"/>
      <c r="ESQ72" s="381"/>
      <c r="ESR72" s="381"/>
      <c r="ESS72" s="381"/>
      <c r="EST72" s="381"/>
      <c r="ESU72" s="381"/>
      <c r="ESV72" s="381"/>
      <c r="ESW72" s="381"/>
      <c r="ESX72" s="381"/>
      <c r="ESY72" s="381"/>
      <c r="ESZ72" s="381"/>
      <c r="ETA72" s="379"/>
      <c r="ETB72" s="380"/>
      <c r="ETC72" s="380"/>
      <c r="ETD72" s="380"/>
      <c r="ETE72" s="381"/>
      <c r="ETF72" s="381"/>
      <c r="ETG72" s="381"/>
      <c r="ETH72" s="381"/>
      <c r="ETI72" s="381"/>
      <c r="ETJ72" s="381"/>
      <c r="ETK72" s="381"/>
      <c r="ETL72" s="381"/>
      <c r="ETM72" s="381"/>
      <c r="ETN72" s="381"/>
      <c r="ETO72" s="381"/>
      <c r="ETP72" s="381"/>
      <c r="ETQ72" s="381"/>
      <c r="ETR72" s="381"/>
      <c r="ETS72" s="381"/>
      <c r="ETT72" s="381"/>
      <c r="ETU72" s="381"/>
      <c r="ETV72" s="381"/>
      <c r="ETW72" s="381"/>
      <c r="ETX72" s="381"/>
      <c r="ETY72" s="381"/>
      <c r="ETZ72" s="381"/>
      <c r="EUA72" s="381"/>
      <c r="EUB72" s="381"/>
      <c r="EUC72" s="381"/>
      <c r="EUD72" s="381"/>
      <c r="EUE72" s="379"/>
      <c r="EUF72" s="380"/>
      <c r="EUG72" s="380"/>
      <c r="EUH72" s="380"/>
      <c r="EUI72" s="381"/>
      <c r="EUJ72" s="381"/>
      <c r="EUK72" s="381"/>
      <c r="EUL72" s="381"/>
      <c r="EUM72" s="381"/>
      <c r="EUN72" s="381"/>
      <c r="EUO72" s="381"/>
      <c r="EUP72" s="381"/>
      <c r="EUQ72" s="381"/>
      <c r="EUR72" s="381"/>
      <c r="EUS72" s="381"/>
      <c r="EUT72" s="381"/>
      <c r="EUU72" s="381"/>
      <c r="EUV72" s="381"/>
      <c r="EUW72" s="381"/>
      <c r="EUX72" s="381"/>
      <c r="EUY72" s="381"/>
      <c r="EUZ72" s="381"/>
      <c r="EVA72" s="381"/>
      <c r="EVB72" s="381"/>
      <c r="EVC72" s="381"/>
      <c r="EVD72" s="381"/>
      <c r="EVE72" s="381"/>
      <c r="EVF72" s="381"/>
      <c r="EVG72" s="381"/>
      <c r="EVH72" s="381"/>
      <c r="EVI72" s="379"/>
      <c r="EVJ72" s="380"/>
      <c r="EVK72" s="380"/>
      <c r="EVL72" s="380"/>
      <c r="EVM72" s="381"/>
      <c r="EVN72" s="381"/>
      <c r="EVO72" s="381"/>
      <c r="EVP72" s="381"/>
      <c r="EVQ72" s="381"/>
      <c r="EVR72" s="381"/>
      <c r="EVS72" s="381"/>
      <c r="EVT72" s="381"/>
      <c r="EVU72" s="381"/>
      <c r="EVV72" s="381"/>
      <c r="EVW72" s="381"/>
      <c r="EVX72" s="381"/>
      <c r="EVY72" s="381"/>
      <c r="EVZ72" s="381"/>
      <c r="EWA72" s="381"/>
      <c r="EWB72" s="381"/>
      <c r="EWC72" s="381"/>
      <c r="EWD72" s="381"/>
      <c r="EWE72" s="381"/>
      <c r="EWF72" s="381"/>
      <c r="EWG72" s="381"/>
      <c r="EWH72" s="381"/>
      <c r="EWI72" s="381"/>
      <c r="EWJ72" s="381"/>
      <c r="EWK72" s="381"/>
      <c r="EWL72" s="381"/>
      <c r="EWM72" s="379"/>
      <c r="EWN72" s="380"/>
      <c r="EWO72" s="380"/>
      <c r="EWP72" s="380"/>
      <c r="EWQ72" s="381"/>
      <c r="EWR72" s="381"/>
      <c r="EWS72" s="381"/>
      <c r="EWT72" s="381"/>
      <c r="EWU72" s="381"/>
      <c r="EWV72" s="381"/>
      <c r="EWW72" s="381"/>
      <c r="EWX72" s="381"/>
      <c r="EWY72" s="381"/>
      <c r="EWZ72" s="381"/>
      <c r="EXA72" s="381"/>
      <c r="EXB72" s="381"/>
      <c r="EXC72" s="381"/>
      <c r="EXD72" s="381"/>
      <c r="EXE72" s="381"/>
      <c r="EXF72" s="381"/>
      <c r="EXG72" s="381"/>
      <c r="EXH72" s="381"/>
      <c r="EXI72" s="381"/>
      <c r="EXJ72" s="381"/>
      <c r="EXK72" s="381"/>
      <c r="EXL72" s="381"/>
      <c r="EXM72" s="381"/>
      <c r="EXN72" s="381"/>
      <c r="EXO72" s="381"/>
      <c r="EXP72" s="381"/>
      <c r="EXQ72" s="379"/>
      <c r="EXR72" s="380"/>
      <c r="EXS72" s="380"/>
      <c r="EXT72" s="380"/>
      <c r="EXU72" s="381"/>
      <c r="EXV72" s="381"/>
      <c r="EXW72" s="381"/>
      <c r="EXX72" s="381"/>
      <c r="EXY72" s="381"/>
      <c r="EXZ72" s="381"/>
      <c r="EYA72" s="381"/>
      <c r="EYB72" s="381"/>
      <c r="EYC72" s="381"/>
      <c r="EYD72" s="381"/>
      <c r="EYE72" s="381"/>
      <c r="EYF72" s="381"/>
      <c r="EYG72" s="381"/>
      <c r="EYH72" s="381"/>
      <c r="EYI72" s="381"/>
      <c r="EYJ72" s="381"/>
      <c r="EYK72" s="381"/>
      <c r="EYL72" s="381"/>
      <c r="EYM72" s="381"/>
      <c r="EYN72" s="381"/>
      <c r="EYO72" s="381"/>
      <c r="EYP72" s="381"/>
      <c r="EYQ72" s="381"/>
      <c r="EYR72" s="381"/>
      <c r="EYS72" s="381"/>
      <c r="EYT72" s="381"/>
      <c r="EYU72" s="379"/>
      <c r="EYV72" s="380"/>
      <c r="EYW72" s="380"/>
      <c r="EYX72" s="380"/>
      <c r="EYY72" s="381"/>
      <c r="EYZ72" s="381"/>
      <c r="EZA72" s="381"/>
      <c r="EZB72" s="381"/>
      <c r="EZC72" s="381"/>
      <c r="EZD72" s="381"/>
      <c r="EZE72" s="381"/>
      <c r="EZF72" s="381"/>
      <c r="EZG72" s="381"/>
      <c r="EZH72" s="381"/>
      <c r="EZI72" s="381"/>
      <c r="EZJ72" s="381"/>
      <c r="EZK72" s="381"/>
      <c r="EZL72" s="381"/>
      <c r="EZM72" s="381"/>
      <c r="EZN72" s="381"/>
      <c r="EZO72" s="381"/>
      <c r="EZP72" s="381"/>
      <c r="EZQ72" s="381"/>
      <c r="EZR72" s="381"/>
      <c r="EZS72" s="381"/>
      <c r="EZT72" s="381"/>
      <c r="EZU72" s="381"/>
      <c r="EZV72" s="381"/>
      <c r="EZW72" s="381"/>
      <c r="EZX72" s="381"/>
      <c r="EZY72" s="379"/>
      <c r="EZZ72" s="380"/>
      <c r="FAA72" s="380"/>
      <c r="FAB72" s="380"/>
      <c r="FAC72" s="381"/>
      <c r="FAD72" s="381"/>
      <c r="FAE72" s="381"/>
      <c r="FAF72" s="381"/>
      <c r="FAG72" s="381"/>
      <c r="FAH72" s="381"/>
      <c r="FAI72" s="381"/>
      <c r="FAJ72" s="381"/>
      <c r="FAK72" s="381"/>
      <c r="FAL72" s="381"/>
      <c r="FAM72" s="381"/>
      <c r="FAN72" s="381"/>
      <c r="FAO72" s="381"/>
      <c r="FAP72" s="381"/>
      <c r="FAQ72" s="381"/>
      <c r="FAR72" s="381"/>
      <c r="FAS72" s="381"/>
      <c r="FAT72" s="381"/>
      <c r="FAU72" s="381"/>
      <c r="FAV72" s="381"/>
      <c r="FAW72" s="381"/>
      <c r="FAX72" s="381"/>
      <c r="FAY72" s="381"/>
      <c r="FAZ72" s="381"/>
      <c r="FBA72" s="381"/>
      <c r="FBB72" s="381"/>
      <c r="FBC72" s="379"/>
      <c r="FBD72" s="380"/>
      <c r="FBE72" s="380"/>
      <c r="FBF72" s="380"/>
      <c r="FBG72" s="381"/>
      <c r="FBH72" s="381"/>
      <c r="FBI72" s="381"/>
      <c r="FBJ72" s="381"/>
      <c r="FBK72" s="381"/>
      <c r="FBL72" s="381"/>
      <c r="FBM72" s="381"/>
      <c r="FBN72" s="381"/>
      <c r="FBO72" s="381"/>
      <c r="FBP72" s="381"/>
      <c r="FBQ72" s="381"/>
      <c r="FBR72" s="381"/>
      <c r="FBS72" s="381"/>
      <c r="FBT72" s="381"/>
      <c r="FBU72" s="381"/>
      <c r="FBV72" s="381"/>
      <c r="FBW72" s="381"/>
      <c r="FBX72" s="381"/>
      <c r="FBY72" s="381"/>
      <c r="FBZ72" s="381"/>
      <c r="FCA72" s="381"/>
      <c r="FCB72" s="381"/>
      <c r="FCC72" s="381"/>
      <c r="FCD72" s="381"/>
      <c r="FCE72" s="381"/>
      <c r="FCF72" s="381"/>
      <c r="FCG72" s="379"/>
      <c r="FCH72" s="380"/>
      <c r="FCI72" s="380"/>
      <c r="FCJ72" s="380"/>
      <c r="FCK72" s="381"/>
      <c r="FCL72" s="381"/>
      <c r="FCM72" s="381"/>
      <c r="FCN72" s="381"/>
      <c r="FCO72" s="381"/>
      <c r="FCP72" s="381"/>
      <c r="FCQ72" s="381"/>
      <c r="FCR72" s="381"/>
      <c r="FCS72" s="381"/>
      <c r="FCT72" s="381"/>
      <c r="FCU72" s="381"/>
      <c r="FCV72" s="381"/>
      <c r="FCW72" s="381"/>
      <c r="FCX72" s="381"/>
      <c r="FCY72" s="381"/>
      <c r="FCZ72" s="381"/>
      <c r="FDA72" s="381"/>
      <c r="FDB72" s="381"/>
      <c r="FDC72" s="381"/>
      <c r="FDD72" s="381"/>
      <c r="FDE72" s="381"/>
      <c r="FDF72" s="381"/>
      <c r="FDG72" s="381"/>
      <c r="FDH72" s="381"/>
      <c r="FDI72" s="381"/>
      <c r="FDJ72" s="381"/>
      <c r="FDK72" s="379"/>
      <c r="FDL72" s="380"/>
      <c r="FDM72" s="380"/>
      <c r="FDN72" s="380"/>
      <c r="FDO72" s="381"/>
      <c r="FDP72" s="381"/>
      <c r="FDQ72" s="381"/>
      <c r="FDR72" s="381"/>
      <c r="FDS72" s="381"/>
      <c r="FDT72" s="381"/>
      <c r="FDU72" s="381"/>
      <c r="FDV72" s="381"/>
      <c r="FDW72" s="381"/>
      <c r="FDX72" s="381"/>
      <c r="FDY72" s="381"/>
      <c r="FDZ72" s="381"/>
      <c r="FEA72" s="381"/>
      <c r="FEB72" s="381"/>
      <c r="FEC72" s="381"/>
      <c r="FED72" s="381"/>
      <c r="FEE72" s="381"/>
      <c r="FEF72" s="381"/>
      <c r="FEG72" s="381"/>
      <c r="FEH72" s="381"/>
      <c r="FEI72" s="381"/>
      <c r="FEJ72" s="381"/>
      <c r="FEK72" s="381"/>
      <c r="FEL72" s="381"/>
      <c r="FEM72" s="381"/>
      <c r="FEN72" s="381"/>
      <c r="FEO72" s="379"/>
      <c r="FEP72" s="380"/>
      <c r="FEQ72" s="380"/>
      <c r="FER72" s="380"/>
      <c r="FES72" s="381"/>
      <c r="FET72" s="381"/>
      <c r="FEU72" s="381"/>
      <c r="FEV72" s="381"/>
      <c r="FEW72" s="381"/>
      <c r="FEX72" s="381"/>
      <c r="FEY72" s="381"/>
      <c r="FEZ72" s="381"/>
      <c r="FFA72" s="381"/>
      <c r="FFB72" s="381"/>
      <c r="FFC72" s="381"/>
      <c r="FFD72" s="381"/>
      <c r="FFE72" s="381"/>
      <c r="FFF72" s="381"/>
      <c r="FFG72" s="381"/>
      <c r="FFH72" s="381"/>
      <c r="FFI72" s="381"/>
      <c r="FFJ72" s="381"/>
      <c r="FFK72" s="381"/>
      <c r="FFL72" s="381"/>
      <c r="FFM72" s="381"/>
      <c r="FFN72" s="381"/>
      <c r="FFO72" s="381"/>
      <c r="FFP72" s="381"/>
      <c r="FFQ72" s="381"/>
      <c r="FFR72" s="381"/>
      <c r="FFS72" s="379"/>
      <c r="FFT72" s="380"/>
      <c r="FFU72" s="380"/>
      <c r="FFV72" s="380"/>
      <c r="FFW72" s="381"/>
      <c r="FFX72" s="381"/>
      <c r="FFY72" s="381"/>
      <c r="FFZ72" s="381"/>
      <c r="FGA72" s="381"/>
      <c r="FGB72" s="381"/>
      <c r="FGC72" s="381"/>
      <c r="FGD72" s="381"/>
      <c r="FGE72" s="381"/>
      <c r="FGF72" s="381"/>
      <c r="FGG72" s="381"/>
      <c r="FGH72" s="381"/>
      <c r="FGI72" s="381"/>
      <c r="FGJ72" s="381"/>
      <c r="FGK72" s="381"/>
      <c r="FGL72" s="381"/>
      <c r="FGM72" s="381"/>
      <c r="FGN72" s="381"/>
      <c r="FGO72" s="381"/>
      <c r="FGP72" s="381"/>
      <c r="FGQ72" s="381"/>
      <c r="FGR72" s="381"/>
      <c r="FGS72" s="381"/>
      <c r="FGT72" s="381"/>
      <c r="FGU72" s="381"/>
      <c r="FGV72" s="381"/>
      <c r="FGW72" s="379"/>
      <c r="FGX72" s="380"/>
      <c r="FGY72" s="380"/>
      <c r="FGZ72" s="380"/>
      <c r="FHA72" s="381"/>
      <c r="FHB72" s="381"/>
      <c r="FHC72" s="381"/>
      <c r="FHD72" s="381"/>
      <c r="FHE72" s="381"/>
      <c r="FHF72" s="381"/>
      <c r="FHG72" s="381"/>
      <c r="FHH72" s="381"/>
      <c r="FHI72" s="381"/>
      <c r="FHJ72" s="381"/>
      <c r="FHK72" s="381"/>
      <c r="FHL72" s="381"/>
      <c r="FHM72" s="381"/>
      <c r="FHN72" s="381"/>
      <c r="FHO72" s="381"/>
      <c r="FHP72" s="381"/>
      <c r="FHQ72" s="381"/>
      <c r="FHR72" s="381"/>
      <c r="FHS72" s="381"/>
      <c r="FHT72" s="381"/>
      <c r="FHU72" s="381"/>
      <c r="FHV72" s="381"/>
      <c r="FHW72" s="381"/>
      <c r="FHX72" s="381"/>
      <c r="FHY72" s="381"/>
      <c r="FHZ72" s="381"/>
      <c r="FIA72" s="379"/>
      <c r="FIB72" s="380"/>
      <c r="FIC72" s="380"/>
      <c r="FID72" s="380"/>
      <c r="FIE72" s="381"/>
      <c r="FIF72" s="381"/>
      <c r="FIG72" s="381"/>
      <c r="FIH72" s="381"/>
      <c r="FII72" s="381"/>
      <c r="FIJ72" s="381"/>
      <c r="FIK72" s="381"/>
      <c r="FIL72" s="381"/>
      <c r="FIM72" s="381"/>
      <c r="FIN72" s="381"/>
      <c r="FIO72" s="381"/>
      <c r="FIP72" s="381"/>
      <c r="FIQ72" s="381"/>
      <c r="FIR72" s="381"/>
      <c r="FIS72" s="381"/>
      <c r="FIT72" s="381"/>
      <c r="FIU72" s="381"/>
      <c r="FIV72" s="381"/>
      <c r="FIW72" s="381"/>
      <c r="FIX72" s="381"/>
      <c r="FIY72" s="381"/>
      <c r="FIZ72" s="381"/>
      <c r="FJA72" s="381"/>
      <c r="FJB72" s="381"/>
      <c r="FJC72" s="381"/>
      <c r="FJD72" s="381"/>
      <c r="FJE72" s="379"/>
      <c r="FJF72" s="380"/>
      <c r="FJG72" s="380"/>
      <c r="FJH72" s="380"/>
      <c r="FJI72" s="381"/>
      <c r="FJJ72" s="381"/>
      <c r="FJK72" s="381"/>
      <c r="FJL72" s="381"/>
      <c r="FJM72" s="381"/>
      <c r="FJN72" s="381"/>
      <c r="FJO72" s="381"/>
      <c r="FJP72" s="381"/>
      <c r="FJQ72" s="381"/>
      <c r="FJR72" s="381"/>
      <c r="FJS72" s="381"/>
      <c r="FJT72" s="381"/>
      <c r="FJU72" s="381"/>
      <c r="FJV72" s="381"/>
      <c r="FJW72" s="381"/>
      <c r="FJX72" s="381"/>
      <c r="FJY72" s="381"/>
      <c r="FJZ72" s="381"/>
      <c r="FKA72" s="381"/>
      <c r="FKB72" s="381"/>
      <c r="FKC72" s="381"/>
      <c r="FKD72" s="381"/>
      <c r="FKE72" s="381"/>
      <c r="FKF72" s="381"/>
      <c r="FKG72" s="381"/>
      <c r="FKH72" s="381"/>
      <c r="FKI72" s="379"/>
      <c r="FKJ72" s="380"/>
      <c r="FKK72" s="380"/>
      <c r="FKL72" s="380"/>
      <c r="FKM72" s="381"/>
      <c r="FKN72" s="381"/>
      <c r="FKO72" s="381"/>
      <c r="FKP72" s="381"/>
      <c r="FKQ72" s="381"/>
      <c r="FKR72" s="381"/>
      <c r="FKS72" s="381"/>
      <c r="FKT72" s="381"/>
      <c r="FKU72" s="381"/>
      <c r="FKV72" s="381"/>
      <c r="FKW72" s="381"/>
      <c r="FKX72" s="381"/>
      <c r="FKY72" s="381"/>
      <c r="FKZ72" s="381"/>
      <c r="FLA72" s="381"/>
      <c r="FLB72" s="381"/>
      <c r="FLC72" s="381"/>
      <c r="FLD72" s="381"/>
      <c r="FLE72" s="381"/>
      <c r="FLF72" s="381"/>
      <c r="FLG72" s="381"/>
      <c r="FLH72" s="381"/>
      <c r="FLI72" s="381"/>
      <c r="FLJ72" s="381"/>
      <c r="FLK72" s="381"/>
      <c r="FLL72" s="381"/>
      <c r="FLM72" s="379"/>
      <c r="FLN72" s="380"/>
      <c r="FLO72" s="380"/>
      <c r="FLP72" s="380"/>
      <c r="FLQ72" s="381"/>
      <c r="FLR72" s="381"/>
      <c r="FLS72" s="381"/>
      <c r="FLT72" s="381"/>
      <c r="FLU72" s="381"/>
      <c r="FLV72" s="381"/>
      <c r="FLW72" s="381"/>
      <c r="FLX72" s="381"/>
      <c r="FLY72" s="381"/>
      <c r="FLZ72" s="381"/>
      <c r="FMA72" s="381"/>
      <c r="FMB72" s="381"/>
      <c r="FMC72" s="381"/>
      <c r="FMD72" s="381"/>
      <c r="FME72" s="381"/>
      <c r="FMF72" s="381"/>
      <c r="FMG72" s="381"/>
      <c r="FMH72" s="381"/>
      <c r="FMI72" s="381"/>
      <c r="FMJ72" s="381"/>
      <c r="FMK72" s="381"/>
      <c r="FML72" s="381"/>
      <c r="FMM72" s="381"/>
      <c r="FMN72" s="381"/>
      <c r="FMO72" s="381"/>
      <c r="FMP72" s="381"/>
      <c r="FMQ72" s="379"/>
      <c r="FMR72" s="380"/>
      <c r="FMS72" s="380"/>
      <c r="FMT72" s="380"/>
      <c r="FMU72" s="381"/>
      <c r="FMV72" s="381"/>
      <c r="FMW72" s="381"/>
      <c r="FMX72" s="381"/>
      <c r="FMY72" s="381"/>
      <c r="FMZ72" s="381"/>
      <c r="FNA72" s="381"/>
      <c r="FNB72" s="381"/>
      <c r="FNC72" s="381"/>
      <c r="FND72" s="381"/>
      <c r="FNE72" s="381"/>
      <c r="FNF72" s="381"/>
      <c r="FNG72" s="381"/>
      <c r="FNH72" s="381"/>
      <c r="FNI72" s="381"/>
      <c r="FNJ72" s="381"/>
      <c r="FNK72" s="381"/>
      <c r="FNL72" s="381"/>
      <c r="FNM72" s="381"/>
      <c r="FNN72" s="381"/>
      <c r="FNO72" s="381"/>
      <c r="FNP72" s="381"/>
      <c r="FNQ72" s="381"/>
      <c r="FNR72" s="381"/>
      <c r="FNS72" s="381"/>
      <c r="FNT72" s="381"/>
      <c r="FNU72" s="379"/>
      <c r="FNV72" s="380"/>
      <c r="FNW72" s="380"/>
      <c r="FNX72" s="380"/>
      <c r="FNY72" s="381"/>
      <c r="FNZ72" s="381"/>
      <c r="FOA72" s="381"/>
      <c r="FOB72" s="381"/>
      <c r="FOC72" s="381"/>
      <c r="FOD72" s="381"/>
      <c r="FOE72" s="381"/>
      <c r="FOF72" s="381"/>
      <c r="FOG72" s="381"/>
      <c r="FOH72" s="381"/>
      <c r="FOI72" s="381"/>
      <c r="FOJ72" s="381"/>
      <c r="FOK72" s="381"/>
      <c r="FOL72" s="381"/>
      <c r="FOM72" s="381"/>
      <c r="FON72" s="381"/>
      <c r="FOO72" s="381"/>
      <c r="FOP72" s="381"/>
      <c r="FOQ72" s="381"/>
      <c r="FOR72" s="381"/>
      <c r="FOS72" s="381"/>
      <c r="FOT72" s="381"/>
      <c r="FOU72" s="381"/>
      <c r="FOV72" s="381"/>
      <c r="FOW72" s="381"/>
      <c r="FOX72" s="381"/>
      <c r="FOY72" s="379"/>
      <c r="FOZ72" s="380"/>
      <c r="FPA72" s="380"/>
      <c r="FPB72" s="380"/>
      <c r="FPC72" s="381"/>
      <c r="FPD72" s="381"/>
      <c r="FPE72" s="381"/>
      <c r="FPF72" s="381"/>
      <c r="FPG72" s="381"/>
      <c r="FPH72" s="381"/>
      <c r="FPI72" s="381"/>
      <c r="FPJ72" s="381"/>
      <c r="FPK72" s="381"/>
      <c r="FPL72" s="381"/>
      <c r="FPM72" s="381"/>
      <c r="FPN72" s="381"/>
      <c r="FPO72" s="381"/>
      <c r="FPP72" s="381"/>
      <c r="FPQ72" s="381"/>
      <c r="FPR72" s="381"/>
      <c r="FPS72" s="381"/>
      <c r="FPT72" s="381"/>
      <c r="FPU72" s="381"/>
      <c r="FPV72" s="381"/>
      <c r="FPW72" s="381"/>
      <c r="FPX72" s="381"/>
      <c r="FPY72" s="381"/>
      <c r="FPZ72" s="381"/>
      <c r="FQA72" s="381"/>
      <c r="FQB72" s="381"/>
      <c r="FQC72" s="379"/>
      <c r="FQD72" s="380"/>
      <c r="FQE72" s="380"/>
      <c r="FQF72" s="380"/>
      <c r="FQG72" s="381"/>
      <c r="FQH72" s="381"/>
      <c r="FQI72" s="381"/>
      <c r="FQJ72" s="381"/>
      <c r="FQK72" s="381"/>
      <c r="FQL72" s="381"/>
      <c r="FQM72" s="381"/>
      <c r="FQN72" s="381"/>
      <c r="FQO72" s="381"/>
      <c r="FQP72" s="381"/>
      <c r="FQQ72" s="381"/>
      <c r="FQR72" s="381"/>
      <c r="FQS72" s="381"/>
      <c r="FQT72" s="381"/>
      <c r="FQU72" s="381"/>
      <c r="FQV72" s="381"/>
      <c r="FQW72" s="381"/>
      <c r="FQX72" s="381"/>
      <c r="FQY72" s="381"/>
      <c r="FQZ72" s="381"/>
      <c r="FRA72" s="381"/>
      <c r="FRB72" s="381"/>
      <c r="FRC72" s="381"/>
      <c r="FRD72" s="381"/>
      <c r="FRE72" s="381"/>
      <c r="FRF72" s="381"/>
      <c r="FRG72" s="379"/>
      <c r="FRH72" s="380"/>
      <c r="FRI72" s="380"/>
      <c r="FRJ72" s="380"/>
      <c r="FRK72" s="381"/>
      <c r="FRL72" s="381"/>
      <c r="FRM72" s="381"/>
      <c r="FRN72" s="381"/>
      <c r="FRO72" s="381"/>
      <c r="FRP72" s="381"/>
      <c r="FRQ72" s="381"/>
      <c r="FRR72" s="381"/>
      <c r="FRS72" s="381"/>
      <c r="FRT72" s="381"/>
      <c r="FRU72" s="381"/>
      <c r="FRV72" s="381"/>
      <c r="FRW72" s="381"/>
      <c r="FRX72" s="381"/>
      <c r="FRY72" s="381"/>
      <c r="FRZ72" s="381"/>
      <c r="FSA72" s="381"/>
      <c r="FSB72" s="381"/>
      <c r="FSC72" s="381"/>
      <c r="FSD72" s="381"/>
      <c r="FSE72" s="381"/>
      <c r="FSF72" s="381"/>
      <c r="FSG72" s="381"/>
      <c r="FSH72" s="381"/>
      <c r="FSI72" s="381"/>
      <c r="FSJ72" s="381"/>
      <c r="FSK72" s="379"/>
      <c r="FSL72" s="380"/>
      <c r="FSM72" s="380"/>
      <c r="FSN72" s="380"/>
      <c r="FSO72" s="381"/>
      <c r="FSP72" s="381"/>
      <c r="FSQ72" s="381"/>
      <c r="FSR72" s="381"/>
      <c r="FSS72" s="381"/>
      <c r="FST72" s="381"/>
      <c r="FSU72" s="381"/>
      <c r="FSV72" s="381"/>
      <c r="FSW72" s="381"/>
      <c r="FSX72" s="381"/>
      <c r="FSY72" s="381"/>
      <c r="FSZ72" s="381"/>
      <c r="FTA72" s="381"/>
      <c r="FTB72" s="381"/>
      <c r="FTC72" s="381"/>
      <c r="FTD72" s="381"/>
      <c r="FTE72" s="381"/>
      <c r="FTF72" s="381"/>
      <c r="FTG72" s="381"/>
      <c r="FTH72" s="381"/>
      <c r="FTI72" s="381"/>
      <c r="FTJ72" s="381"/>
      <c r="FTK72" s="381"/>
      <c r="FTL72" s="381"/>
      <c r="FTM72" s="381"/>
      <c r="FTN72" s="381"/>
      <c r="FTO72" s="379"/>
      <c r="FTP72" s="380"/>
      <c r="FTQ72" s="380"/>
      <c r="FTR72" s="380"/>
      <c r="FTS72" s="381"/>
      <c r="FTT72" s="381"/>
      <c r="FTU72" s="381"/>
      <c r="FTV72" s="381"/>
      <c r="FTW72" s="381"/>
      <c r="FTX72" s="381"/>
      <c r="FTY72" s="381"/>
      <c r="FTZ72" s="381"/>
      <c r="FUA72" s="381"/>
      <c r="FUB72" s="381"/>
      <c r="FUC72" s="381"/>
      <c r="FUD72" s="381"/>
      <c r="FUE72" s="381"/>
      <c r="FUF72" s="381"/>
      <c r="FUG72" s="381"/>
      <c r="FUH72" s="381"/>
      <c r="FUI72" s="381"/>
      <c r="FUJ72" s="381"/>
      <c r="FUK72" s="381"/>
      <c r="FUL72" s="381"/>
      <c r="FUM72" s="381"/>
      <c r="FUN72" s="381"/>
      <c r="FUO72" s="381"/>
      <c r="FUP72" s="381"/>
      <c r="FUQ72" s="381"/>
      <c r="FUR72" s="381"/>
      <c r="FUS72" s="379"/>
      <c r="FUT72" s="380"/>
      <c r="FUU72" s="380"/>
      <c r="FUV72" s="380"/>
      <c r="FUW72" s="381"/>
      <c r="FUX72" s="381"/>
      <c r="FUY72" s="381"/>
      <c r="FUZ72" s="381"/>
      <c r="FVA72" s="381"/>
      <c r="FVB72" s="381"/>
      <c r="FVC72" s="381"/>
      <c r="FVD72" s="381"/>
      <c r="FVE72" s="381"/>
      <c r="FVF72" s="381"/>
      <c r="FVG72" s="381"/>
      <c r="FVH72" s="381"/>
      <c r="FVI72" s="381"/>
      <c r="FVJ72" s="381"/>
      <c r="FVK72" s="381"/>
      <c r="FVL72" s="381"/>
      <c r="FVM72" s="381"/>
      <c r="FVN72" s="381"/>
      <c r="FVO72" s="381"/>
      <c r="FVP72" s="381"/>
      <c r="FVQ72" s="381"/>
      <c r="FVR72" s="381"/>
      <c r="FVS72" s="381"/>
      <c r="FVT72" s="381"/>
      <c r="FVU72" s="381"/>
      <c r="FVV72" s="381"/>
      <c r="FVW72" s="379"/>
      <c r="FVX72" s="380"/>
      <c r="FVY72" s="380"/>
      <c r="FVZ72" s="380"/>
      <c r="FWA72" s="381"/>
      <c r="FWB72" s="381"/>
      <c r="FWC72" s="381"/>
      <c r="FWD72" s="381"/>
      <c r="FWE72" s="381"/>
      <c r="FWF72" s="381"/>
      <c r="FWG72" s="381"/>
      <c r="FWH72" s="381"/>
      <c r="FWI72" s="381"/>
      <c r="FWJ72" s="381"/>
      <c r="FWK72" s="381"/>
      <c r="FWL72" s="381"/>
      <c r="FWM72" s="381"/>
      <c r="FWN72" s="381"/>
      <c r="FWO72" s="381"/>
      <c r="FWP72" s="381"/>
      <c r="FWQ72" s="381"/>
      <c r="FWR72" s="381"/>
      <c r="FWS72" s="381"/>
      <c r="FWT72" s="381"/>
      <c r="FWU72" s="381"/>
      <c r="FWV72" s="381"/>
      <c r="FWW72" s="381"/>
      <c r="FWX72" s="381"/>
      <c r="FWY72" s="381"/>
      <c r="FWZ72" s="381"/>
      <c r="FXA72" s="379"/>
      <c r="FXB72" s="380"/>
      <c r="FXC72" s="380"/>
      <c r="FXD72" s="380"/>
      <c r="FXE72" s="381"/>
      <c r="FXF72" s="381"/>
      <c r="FXG72" s="381"/>
      <c r="FXH72" s="381"/>
      <c r="FXI72" s="381"/>
      <c r="FXJ72" s="381"/>
      <c r="FXK72" s="381"/>
      <c r="FXL72" s="381"/>
      <c r="FXM72" s="381"/>
      <c r="FXN72" s="381"/>
      <c r="FXO72" s="381"/>
      <c r="FXP72" s="381"/>
      <c r="FXQ72" s="381"/>
      <c r="FXR72" s="381"/>
      <c r="FXS72" s="381"/>
      <c r="FXT72" s="381"/>
      <c r="FXU72" s="381"/>
      <c r="FXV72" s="381"/>
      <c r="FXW72" s="381"/>
      <c r="FXX72" s="381"/>
      <c r="FXY72" s="381"/>
      <c r="FXZ72" s="381"/>
      <c r="FYA72" s="381"/>
      <c r="FYB72" s="381"/>
      <c r="FYC72" s="381"/>
      <c r="FYD72" s="381"/>
      <c r="FYE72" s="379"/>
      <c r="FYF72" s="380"/>
      <c r="FYG72" s="380"/>
      <c r="FYH72" s="380"/>
      <c r="FYI72" s="381"/>
      <c r="FYJ72" s="381"/>
      <c r="FYK72" s="381"/>
      <c r="FYL72" s="381"/>
      <c r="FYM72" s="381"/>
      <c r="FYN72" s="381"/>
      <c r="FYO72" s="381"/>
      <c r="FYP72" s="381"/>
      <c r="FYQ72" s="381"/>
      <c r="FYR72" s="381"/>
      <c r="FYS72" s="381"/>
      <c r="FYT72" s="381"/>
      <c r="FYU72" s="381"/>
      <c r="FYV72" s="381"/>
      <c r="FYW72" s="381"/>
      <c r="FYX72" s="381"/>
      <c r="FYY72" s="381"/>
      <c r="FYZ72" s="381"/>
      <c r="FZA72" s="381"/>
      <c r="FZB72" s="381"/>
      <c r="FZC72" s="381"/>
      <c r="FZD72" s="381"/>
      <c r="FZE72" s="381"/>
      <c r="FZF72" s="381"/>
      <c r="FZG72" s="381"/>
      <c r="FZH72" s="381"/>
      <c r="FZI72" s="379"/>
      <c r="FZJ72" s="380"/>
      <c r="FZK72" s="380"/>
      <c r="FZL72" s="380"/>
      <c r="FZM72" s="381"/>
      <c r="FZN72" s="381"/>
      <c r="FZO72" s="381"/>
      <c r="FZP72" s="381"/>
      <c r="FZQ72" s="381"/>
      <c r="FZR72" s="381"/>
      <c r="FZS72" s="381"/>
      <c r="FZT72" s="381"/>
      <c r="FZU72" s="381"/>
      <c r="FZV72" s="381"/>
      <c r="FZW72" s="381"/>
      <c r="FZX72" s="381"/>
      <c r="FZY72" s="381"/>
      <c r="FZZ72" s="381"/>
      <c r="GAA72" s="381"/>
      <c r="GAB72" s="381"/>
      <c r="GAC72" s="381"/>
      <c r="GAD72" s="381"/>
      <c r="GAE72" s="381"/>
      <c r="GAF72" s="381"/>
      <c r="GAG72" s="381"/>
      <c r="GAH72" s="381"/>
      <c r="GAI72" s="381"/>
      <c r="GAJ72" s="381"/>
      <c r="GAK72" s="381"/>
      <c r="GAL72" s="381"/>
      <c r="GAM72" s="379"/>
      <c r="GAN72" s="380"/>
      <c r="GAO72" s="380"/>
      <c r="GAP72" s="380"/>
      <c r="GAQ72" s="381"/>
      <c r="GAR72" s="381"/>
      <c r="GAS72" s="381"/>
      <c r="GAT72" s="381"/>
      <c r="GAU72" s="381"/>
      <c r="GAV72" s="381"/>
      <c r="GAW72" s="381"/>
      <c r="GAX72" s="381"/>
      <c r="GAY72" s="381"/>
      <c r="GAZ72" s="381"/>
      <c r="GBA72" s="381"/>
      <c r="GBB72" s="381"/>
      <c r="GBC72" s="381"/>
      <c r="GBD72" s="381"/>
      <c r="GBE72" s="381"/>
      <c r="GBF72" s="381"/>
      <c r="GBG72" s="381"/>
      <c r="GBH72" s="381"/>
      <c r="GBI72" s="381"/>
      <c r="GBJ72" s="381"/>
      <c r="GBK72" s="381"/>
      <c r="GBL72" s="381"/>
      <c r="GBM72" s="381"/>
      <c r="GBN72" s="381"/>
      <c r="GBO72" s="381"/>
      <c r="GBP72" s="381"/>
      <c r="GBQ72" s="379"/>
      <c r="GBR72" s="380"/>
      <c r="GBS72" s="380"/>
      <c r="GBT72" s="380"/>
      <c r="GBU72" s="381"/>
      <c r="GBV72" s="381"/>
      <c r="GBW72" s="381"/>
      <c r="GBX72" s="381"/>
      <c r="GBY72" s="381"/>
      <c r="GBZ72" s="381"/>
      <c r="GCA72" s="381"/>
      <c r="GCB72" s="381"/>
      <c r="GCC72" s="381"/>
      <c r="GCD72" s="381"/>
      <c r="GCE72" s="381"/>
      <c r="GCF72" s="381"/>
      <c r="GCG72" s="381"/>
      <c r="GCH72" s="381"/>
      <c r="GCI72" s="381"/>
      <c r="GCJ72" s="381"/>
      <c r="GCK72" s="381"/>
      <c r="GCL72" s="381"/>
      <c r="GCM72" s="381"/>
      <c r="GCN72" s="381"/>
      <c r="GCO72" s="381"/>
      <c r="GCP72" s="381"/>
      <c r="GCQ72" s="381"/>
      <c r="GCR72" s="381"/>
      <c r="GCS72" s="381"/>
      <c r="GCT72" s="381"/>
      <c r="GCU72" s="379"/>
      <c r="GCV72" s="380"/>
      <c r="GCW72" s="380"/>
      <c r="GCX72" s="380"/>
      <c r="GCY72" s="381"/>
      <c r="GCZ72" s="381"/>
      <c r="GDA72" s="381"/>
      <c r="GDB72" s="381"/>
      <c r="GDC72" s="381"/>
      <c r="GDD72" s="381"/>
      <c r="GDE72" s="381"/>
      <c r="GDF72" s="381"/>
      <c r="GDG72" s="381"/>
      <c r="GDH72" s="381"/>
      <c r="GDI72" s="381"/>
      <c r="GDJ72" s="381"/>
      <c r="GDK72" s="381"/>
      <c r="GDL72" s="381"/>
      <c r="GDM72" s="381"/>
      <c r="GDN72" s="381"/>
      <c r="GDO72" s="381"/>
      <c r="GDP72" s="381"/>
      <c r="GDQ72" s="381"/>
      <c r="GDR72" s="381"/>
      <c r="GDS72" s="381"/>
      <c r="GDT72" s="381"/>
      <c r="GDU72" s="381"/>
      <c r="GDV72" s="381"/>
      <c r="GDW72" s="381"/>
      <c r="GDX72" s="381"/>
      <c r="GDY72" s="379"/>
      <c r="GDZ72" s="380"/>
      <c r="GEA72" s="380"/>
      <c r="GEB72" s="380"/>
      <c r="GEC72" s="381"/>
      <c r="GED72" s="381"/>
      <c r="GEE72" s="381"/>
      <c r="GEF72" s="381"/>
      <c r="GEG72" s="381"/>
      <c r="GEH72" s="381"/>
      <c r="GEI72" s="381"/>
      <c r="GEJ72" s="381"/>
      <c r="GEK72" s="381"/>
      <c r="GEL72" s="381"/>
      <c r="GEM72" s="381"/>
      <c r="GEN72" s="381"/>
      <c r="GEO72" s="381"/>
      <c r="GEP72" s="381"/>
      <c r="GEQ72" s="381"/>
      <c r="GER72" s="381"/>
      <c r="GES72" s="381"/>
      <c r="GET72" s="381"/>
      <c r="GEU72" s="381"/>
      <c r="GEV72" s="381"/>
      <c r="GEW72" s="381"/>
      <c r="GEX72" s="381"/>
      <c r="GEY72" s="381"/>
      <c r="GEZ72" s="381"/>
      <c r="GFA72" s="381"/>
      <c r="GFB72" s="381"/>
      <c r="GFC72" s="379"/>
      <c r="GFD72" s="380"/>
      <c r="GFE72" s="380"/>
      <c r="GFF72" s="380"/>
      <c r="GFG72" s="381"/>
      <c r="GFH72" s="381"/>
      <c r="GFI72" s="381"/>
      <c r="GFJ72" s="381"/>
      <c r="GFK72" s="381"/>
      <c r="GFL72" s="381"/>
      <c r="GFM72" s="381"/>
      <c r="GFN72" s="381"/>
      <c r="GFO72" s="381"/>
      <c r="GFP72" s="381"/>
      <c r="GFQ72" s="381"/>
      <c r="GFR72" s="381"/>
      <c r="GFS72" s="381"/>
      <c r="GFT72" s="381"/>
      <c r="GFU72" s="381"/>
      <c r="GFV72" s="381"/>
      <c r="GFW72" s="381"/>
      <c r="GFX72" s="381"/>
      <c r="GFY72" s="381"/>
      <c r="GFZ72" s="381"/>
      <c r="GGA72" s="381"/>
      <c r="GGB72" s="381"/>
      <c r="GGC72" s="381"/>
      <c r="GGD72" s="381"/>
      <c r="GGE72" s="381"/>
      <c r="GGF72" s="381"/>
      <c r="GGG72" s="379"/>
      <c r="GGH72" s="380"/>
      <c r="GGI72" s="380"/>
      <c r="GGJ72" s="380"/>
      <c r="GGK72" s="381"/>
      <c r="GGL72" s="381"/>
      <c r="GGM72" s="381"/>
      <c r="GGN72" s="381"/>
      <c r="GGO72" s="381"/>
      <c r="GGP72" s="381"/>
      <c r="GGQ72" s="381"/>
      <c r="GGR72" s="381"/>
      <c r="GGS72" s="381"/>
      <c r="GGT72" s="381"/>
      <c r="GGU72" s="381"/>
      <c r="GGV72" s="381"/>
      <c r="GGW72" s="381"/>
      <c r="GGX72" s="381"/>
      <c r="GGY72" s="381"/>
      <c r="GGZ72" s="381"/>
      <c r="GHA72" s="381"/>
      <c r="GHB72" s="381"/>
      <c r="GHC72" s="381"/>
      <c r="GHD72" s="381"/>
      <c r="GHE72" s="381"/>
      <c r="GHF72" s="381"/>
      <c r="GHG72" s="381"/>
      <c r="GHH72" s="381"/>
      <c r="GHI72" s="381"/>
      <c r="GHJ72" s="381"/>
      <c r="GHK72" s="379"/>
      <c r="GHL72" s="380"/>
      <c r="GHM72" s="380"/>
      <c r="GHN72" s="380"/>
      <c r="GHO72" s="381"/>
      <c r="GHP72" s="381"/>
      <c r="GHQ72" s="381"/>
      <c r="GHR72" s="381"/>
      <c r="GHS72" s="381"/>
      <c r="GHT72" s="381"/>
      <c r="GHU72" s="381"/>
      <c r="GHV72" s="381"/>
      <c r="GHW72" s="381"/>
      <c r="GHX72" s="381"/>
      <c r="GHY72" s="381"/>
      <c r="GHZ72" s="381"/>
      <c r="GIA72" s="381"/>
      <c r="GIB72" s="381"/>
      <c r="GIC72" s="381"/>
      <c r="GID72" s="381"/>
      <c r="GIE72" s="381"/>
      <c r="GIF72" s="381"/>
      <c r="GIG72" s="381"/>
      <c r="GIH72" s="381"/>
      <c r="GII72" s="381"/>
      <c r="GIJ72" s="381"/>
      <c r="GIK72" s="381"/>
      <c r="GIL72" s="381"/>
      <c r="GIM72" s="381"/>
      <c r="GIN72" s="381"/>
      <c r="GIO72" s="379"/>
      <c r="GIP72" s="380"/>
      <c r="GIQ72" s="380"/>
      <c r="GIR72" s="380"/>
      <c r="GIS72" s="381"/>
      <c r="GIT72" s="381"/>
      <c r="GIU72" s="381"/>
      <c r="GIV72" s="381"/>
      <c r="GIW72" s="381"/>
      <c r="GIX72" s="381"/>
      <c r="GIY72" s="381"/>
      <c r="GIZ72" s="381"/>
      <c r="GJA72" s="381"/>
      <c r="GJB72" s="381"/>
      <c r="GJC72" s="381"/>
      <c r="GJD72" s="381"/>
      <c r="GJE72" s="381"/>
      <c r="GJF72" s="381"/>
      <c r="GJG72" s="381"/>
      <c r="GJH72" s="381"/>
      <c r="GJI72" s="381"/>
      <c r="GJJ72" s="381"/>
      <c r="GJK72" s="381"/>
      <c r="GJL72" s="381"/>
      <c r="GJM72" s="381"/>
      <c r="GJN72" s="381"/>
      <c r="GJO72" s="381"/>
      <c r="GJP72" s="381"/>
      <c r="GJQ72" s="381"/>
      <c r="GJR72" s="381"/>
      <c r="GJS72" s="379"/>
      <c r="GJT72" s="380"/>
      <c r="GJU72" s="380"/>
      <c r="GJV72" s="380"/>
      <c r="GJW72" s="381"/>
      <c r="GJX72" s="381"/>
      <c r="GJY72" s="381"/>
      <c r="GJZ72" s="381"/>
      <c r="GKA72" s="381"/>
      <c r="GKB72" s="381"/>
      <c r="GKC72" s="381"/>
      <c r="GKD72" s="381"/>
      <c r="GKE72" s="381"/>
      <c r="GKF72" s="381"/>
      <c r="GKG72" s="381"/>
      <c r="GKH72" s="381"/>
      <c r="GKI72" s="381"/>
      <c r="GKJ72" s="381"/>
      <c r="GKK72" s="381"/>
      <c r="GKL72" s="381"/>
      <c r="GKM72" s="381"/>
      <c r="GKN72" s="381"/>
      <c r="GKO72" s="381"/>
      <c r="GKP72" s="381"/>
      <c r="GKQ72" s="381"/>
      <c r="GKR72" s="381"/>
      <c r="GKS72" s="381"/>
      <c r="GKT72" s="381"/>
      <c r="GKU72" s="381"/>
      <c r="GKV72" s="381"/>
      <c r="GKW72" s="379"/>
      <c r="GKX72" s="380"/>
      <c r="GKY72" s="380"/>
      <c r="GKZ72" s="380"/>
      <c r="GLA72" s="381"/>
      <c r="GLB72" s="381"/>
      <c r="GLC72" s="381"/>
      <c r="GLD72" s="381"/>
      <c r="GLE72" s="381"/>
      <c r="GLF72" s="381"/>
      <c r="GLG72" s="381"/>
      <c r="GLH72" s="381"/>
      <c r="GLI72" s="381"/>
      <c r="GLJ72" s="381"/>
      <c r="GLK72" s="381"/>
      <c r="GLL72" s="381"/>
      <c r="GLM72" s="381"/>
      <c r="GLN72" s="381"/>
      <c r="GLO72" s="381"/>
      <c r="GLP72" s="381"/>
      <c r="GLQ72" s="381"/>
      <c r="GLR72" s="381"/>
      <c r="GLS72" s="381"/>
      <c r="GLT72" s="381"/>
      <c r="GLU72" s="381"/>
      <c r="GLV72" s="381"/>
      <c r="GLW72" s="381"/>
      <c r="GLX72" s="381"/>
      <c r="GLY72" s="381"/>
      <c r="GLZ72" s="381"/>
      <c r="GMA72" s="379"/>
      <c r="GMB72" s="380"/>
      <c r="GMC72" s="380"/>
      <c r="GMD72" s="380"/>
      <c r="GME72" s="381"/>
      <c r="GMF72" s="381"/>
      <c r="GMG72" s="381"/>
      <c r="GMH72" s="381"/>
      <c r="GMI72" s="381"/>
      <c r="GMJ72" s="381"/>
      <c r="GMK72" s="381"/>
      <c r="GML72" s="381"/>
      <c r="GMM72" s="381"/>
      <c r="GMN72" s="381"/>
      <c r="GMO72" s="381"/>
      <c r="GMP72" s="381"/>
      <c r="GMQ72" s="381"/>
      <c r="GMR72" s="381"/>
      <c r="GMS72" s="381"/>
      <c r="GMT72" s="381"/>
      <c r="GMU72" s="381"/>
      <c r="GMV72" s="381"/>
      <c r="GMW72" s="381"/>
      <c r="GMX72" s="381"/>
      <c r="GMY72" s="381"/>
      <c r="GMZ72" s="381"/>
      <c r="GNA72" s="381"/>
      <c r="GNB72" s="381"/>
      <c r="GNC72" s="381"/>
      <c r="GND72" s="381"/>
      <c r="GNE72" s="379"/>
      <c r="GNF72" s="380"/>
      <c r="GNG72" s="380"/>
      <c r="GNH72" s="380"/>
      <c r="GNI72" s="381"/>
      <c r="GNJ72" s="381"/>
      <c r="GNK72" s="381"/>
      <c r="GNL72" s="381"/>
      <c r="GNM72" s="381"/>
      <c r="GNN72" s="381"/>
      <c r="GNO72" s="381"/>
      <c r="GNP72" s="381"/>
      <c r="GNQ72" s="381"/>
      <c r="GNR72" s="381"/>
      <c r="GNS72" s="381"/>
      <c r="GNT72" s="381"/>
      <c r="GNU72" s="381"/>
      <c r="GNV72" s="381"/>
      <c r="GNW72" s="381"/>
      <c r="GNX72" s="381"/>
      <c r="GNY72" s="381"/>
      <c r="GNZ72" s="381"/>
      <c r="GOA72" s="381"/>
      <c r="GOB72" s="381"/>
      <c r="GOC72" s="381"/>
      <c r="GOD72" s="381"/>
      <c r="GOE72" s="381"/>
      <c r="GOF72" s="381"/>
      <c r="GOG72" s="381"/>
      <c r="GOH72" s="381"/>
      <c r="GOI72" s="379"/>
      <c r="GOJ72" s="380"/>
      <c r="GOK72" s="380"/>
      <c r="GOL72" s="380"/>
      <c r="GOM72" s="381"/>
      <c r="GON72" s="381"/>
      <c r="GOO72" s="381"/>
      <c r="GOP72" s="381"/>
      <c r="GOQ72" s="381"/>
      <c r="GOR72" s="381"/>
      <c r="GOS72" s="381"/>
      <c r="GOT72" s="381"/>
      <c r="GOU72" s="381"/>
      <c r="GOV72" s="381"/>
      <c r="GOW72" s="381"/>
      <c r="GOX72" s="381"/>
      <c r="GOY72" s="381"/>
      <c r="GOZ72" s="381"/>
      <c r="GPA72" s="381"/>
      <c r="GPB72" s="381"/>
      <c r="GPC72" s="381"/>
      <c r="GPD72" s="381"/>
      <c r="GPE72" s="381"/>
      <c r="GPF72" s="381"/>
      <c r="GPG72" s="381"/>
      <c r="GPH72" s="381"/>
      <c r="GPI72" s="381"/>
      <c r="GPJ72" s="381"/>
      <c r="GPK72" s="381"/>
      <c r="GPL72" s="381"/>
      <c r="GPM72" s="379"/>
      <c r="GPN72" s="380"/>
      <c r="GPO72" s="380"/>
      <c r="GPP72" s="380"/>
      <c r="GPQ72" s="381"/>
      <c r="GPR72" s="381"/>
      <c r="GPS72" s="381"/>
      <c r="GPT72" s="381"/>
      <c r="GPU72" s="381"/>
      <c r="GPV72" s="381"/>
      <c r="GPW72" s="381"/>
      <c r="GPX72" s="381"/>
      <c r="GPY72" s="381"/>
      <c r="GPZ72" s="381"/>
      <c r="GQA72" s="381"/>
      <c r="GQB72" s="381"/>
      <c r="GQC72" s="381"/>
      <c r="GQD72" s="381"/>
      <c r="GQE72" s="381"/>
      <c r="GQF72" s="381"/>
      <c r="GQG72" s="381"/>
      <c r="GQH72" s="381"/>
      <c r="GQI72" s="381"/>
      <c r="GQJ72" s="381"/>
      <c r="GQK72" s="381"/>
      <c r="GQL72" s="381"/>
      <c r="GQM72" s="381"/>
      <c r="GQN72" s="381"/>
      <c r="GQO72" s="381"/>
      <c r="GQP72" s="381"/>
      <c r="GQQ72" s="379"/>
      <c r="GQR72" s="380"/>
      <c r="GQS72" s="380"/>
      <c r="GQT72" s="380"/>
      <c r="GQU72" s="381"/>
      <c r="GQV72" s="381"/>
      <c r="GQW72" s="381"/>
      <c r="GQX72" s="381"/>
      <c r="GQY72" s="381"/>
      <c r="GQZ72" s="381"/>
      <c r="GRA72" s="381"/>
      <c r="GRB72" s="381"/>
      <c r="GRC72" s="381"/>
      <c r="GRD72" s="381"/>
      <c r="GRE72" s="381"/>
      <c r="GRF72" s="381"/>
      <c r="GRG72" s="381"/>
      <c r="GRH72" s="381"/>
      <c r="GRI72" s="381"/>
      <c r="GRJ72" s="381"/>
      <c r="GRK72" s="381"/>
      <c r="GRL72" s="381"/>
      <c r="GRM72" s="381"/>
      <c r="GRN72" s="381"/>
      <c r="GRO72" s="381"/>
      <c r="GRP72" s="381"/>
      <c r="GRQ72" s="381"/>
      <c r="GRR72" s="381"/>
      <c r="GRS72" s="381"/>
      <c r="GRT72" s="381"/>
      <c r="GRU72" s="379"/>
      <c r="GRV72" s="380"/>
      <c r="GRW72" s="380"/>
      <c r="GRX72" s="380"/>
      <c r="GRY72" s="381"/>
      <c r="GRZ72" s="381"/>
      <c r="GSA72" s="381"/>
      <c r="GSB72" s="381"/>
      <c r="GSC72" s="381"/>
      <c r="GSD72" s="381"/>
      <c r="GSE72" s="381"/>
      <c r="GSF72" s="381"/>
      <c r="GSG72" s="381"/>
      <c r="GSH72" s="381"/>
      <c r="GSI72" s="381"/>
      <c r="GSJ72" s="381"/>
      <c r="GSK72" s="381"/>
      <c r="GSL72" s="381"/>
      <c r="GSM72" s="381"/>
      <c r="GSN72" s="381"/>
      <c r="GSO72" s="381"/>
      <c r="GSP72" s="381"/>
      <c r="GSQ72" s="381"/>
      <c r="GSR72" s="381"/>
      <c r="GSS72" s="381"/>
      <c r="GST72" s="381"/>
      <c r="GSU72" s="381"/>
      <c r="GSV72" s="381"/>
      <c r="GSW72" s="381"/>
      <c r="GSX72" s="381"/>
      <c r="GSY72" s="379"/>
      <c r="GSZ72" s="380"/>
      <c r="GTA72" s="380"/>
      <c r="GTB72" s="380"/>
      <c r="GTC72" s="381"/>
      <c r="GTD72" s="381"/>
      <c r="GTE72" s="381"/>
      <c r="GTF72" s="381"/>
      <c r="GTG72" s="381"/>
      <c r="GTH72" s="381"/>
      <c r="GTI72" s="381"/>
      <c r="GTJ72" s="381"/>
      <c r="GTK72" s="381"/>
      <c r="GTL72" s="381"/>
      <c r="GTM72" s="381"/>
      <c r="GTN72" s="381"/>
      <c r="GTO72" s="381"/>
      <c r="GTP72" s="381"/>
      <c r="GTQ72" s="381"/>
      <c r="GTR72" s="381"/>
      <c r="GTS72" s="381"/>
      <c r="GTT72" s="381"/>
      <c r="GTU72" s="381"/>
      <c r="GTV72" s="381"/>
      <c r="GTW72" s="381"/>
      <c r="GTX72" s="381"/>
      <c r="GTY72" s="381"/>
      <c r="GTZ72" s="381"/>
      <c r="GUA72" s="381"/>
      <c r="GUB72" s="381"/>
      <c r="GUC72" s="379"/>
      <c r="GUD72" s="380"/>
      <c r="GUE72" s="380"/>
      <c r="GUF72" s="380"/>
      <c r="GUG72" s="381"/>
      <c r="GUH72" s="381"/>
      <c r="GUI72" s="381"/>
      <c r="GUJ72" s="381"/>
      <c r="GUK72" s="381"/>
      <c r="GUL72" s="381"/>
      <c r="GUM72" s="381"/>
      <c r="GUN72" s="381"/>
      <c r="GUO72" s="381"/>
      <c r="GUP72" s="381"/>
      <c r="GUQ72" s="381"/>
      <c r="GUR72" s="381"/>
      <c r="GUS72" s="381"/>
      <c r="GUT72" s="381"/>
      <c r="GUU72" s="381"/>
      <c r="GUV72" s="381"/>
      <c r="GUW72" s="381"/>
      <c r="GUX72" s="381"/>
      <c r="GUY72" s="381"/>
      <c r="GUZ72" s="381"/>
      <c r="GVA72" s="381"/>
      <c r="GVB72" s="381"/>
      <c r="GVC72" s="381"/>
      <c r="GVD72" s="381"/>
      <c r="GVE72" s="381"/>
      <c r="GVF72" s="381"/>
      <c r="GVG72" s="379"/>
      <c r="GVH72" s="380"/>
      <c r="GVI72" s="380"/>
      <c r="GVJ72" s="380"/>
      <c r="GVK72" s="381"/>
      <c r="GVL72" s="381"/>
      <c r="GVM72" s="381"/>
      <c r="GVN72" s="381"/>
      <c r="GVO72" s="381"/>
      <c r="GVP72" s="381"/>
      <c r="GVQ72" s="381"/>
      <c r="GVR72" s="381"/>
      <c r="GVS72" s="381"/>
      <c r="GVT72" s="381"/>
      <c r="GVU72" s="381"/>
      <c r="GVV72" s="381"/>
      <c r="GVW72" s="381"/>
      <c r="GVX72" s="381"/>
      <c r="GVY72" s="381"/>
      <c r="GVZ72" s="381"/>
      <c r="GWA72" s="381"/>
      <c r="GWB72" s="381"/>
      <c r="GWC72" s="381"/>
      <c r="GWD72" s="381"/>
      <c r="GWE72" s="381"/>
      <c r="GWF72" s="381"/>
      <c r="GWG72" s="381"/>
      <c r="GWH72" s="381"/>
      <c r="GWI72" s="381"/>
      <c r="GWJ72" s="381"/>
      <c r="GWK72" s="379"/>
      <c r="GWL72" s="380"/>
      <c r="GWM72" s="380"/>
      <c r="GWN72" s="380"/>
      <c r="GWO72" s="381"/>
      <c r="GWP72" s="381"/>
      <c r="GWQ72" s="381"/>
      <c r="GWR72" s="381"/>
      <c r="GWS72" s="381"/>
      <c r="GWT72" s="381"/>
      <c r="GWU72" s="381"/>
      <c r="GWV72" s="381"/>
      <c r="GWW72" s="381"/>
      <c r="GWX72" s="381"/>
      <c r="GWY72" s="381"/>
      <c r="GWZ72" s="381"/>
      <c r="GXA72" s="381"/>
      <c r="GXB72" s="381"/>
      <c r="GXC72" s="381"/>
      <c r="GXD72" s="381"/>
      <c r="GXE72" s="381"/>
      <c r="GXF72" s="381"/>
      <c r="GXG72" s="381"/>
      <c r="GXH72" s="381"/>
      <c r="GXI72" s="381"/>
      <c r="GXJ72" s="381"/>
      <c r="GXK72" s="381"/>
      <c r="GXL72" s="381"/>
      <c r="GXM72" s="381"/>
      <c r="GXN72" s="381"/>
      <c r="GXO72" s="379"/>
      <c r="GXP72" s="380"/>
      <c r="GXQ72" s="380"/>
      <c r="GXR72" s="380"/>
      <c r="GXS72" s="381"/>
      <c r="GXT72" s="381"/>
      <c r="GXU72" s="381"/>
      <c r="GXV72" s="381"/>
      <c r="GXW72" s="381"/>
      <c r="GXX72" s="381"/>
      <c r="GXY72" s="381"/>
      <c r="GXZ72" s="381"/>
      <c r="GYA72" s="381"/>
      <c r="GYB72" s="381"/>
      <c r="GYC72" s="381"/>
      <c r="GYD72" s="381"/>
      <c r="GYE72" s="381"/>
      <c r="GYF72" s="381"/>
      <c r="GYG72" s="381"/>
      <c r="GYH72" s="381"/>
      <c r="GYI72" s="381"/>
      <c r="GYJ72" s="381"/>
      <c r="GYK72" s="381"/>
      <c r="GYL72" s="381"/>
      <c r="GYM72" s="381"/>
      <c r="GYN72" s="381"/>
      <c r="GYO72" s="381"/>
      <c r="GYP72" s="381"/>
      <c r="GYQ72" s="381"/>
      <c r="GYR72" s="381"/>
      <c r="GYS72" s="379"/>
      <c r="GYT72" s="380"/>
      <c r="GYU72" s="380"/>
      <c r="GYV72" s="380"/>
      <c r="GYW72" s="381"/>
      <c r="GYX72" s="381"/>
      <c r="GYY72" s="381"/>
      <c r="GYZ72" s="381"/>
      <c r="GZA72" s="381"/>
      <c r="GZB72" s="381"/>
      <c r="GZC72" s="381"/>
      <c r="GZD72" s="381"/>
      <c r="GZE72" s="381"/>
      <c r="GZF72" s="381"/>
      <c r="GZG72" s="381"/>
      <c r="GZH72" s="381"/>
      <c r="GZI72" s="381"/>
      <c r="GZJ72" s="381"/>
      <c r="GZK72" s="381"/>
      <c r="GZL72" s="381"/>
      <c r="GZM72" s="381"/>
      <c r="GZN72" s="381"/>
      <c r="GZO72" s="381"/>
      <c r="GZP72" s="381"/>
      <c r="GZQ72" s="381"/>
      <c r="GZR72" s="381"/>
      <c r="GZS72" s="381"/>
      <c r="GZT72" s="381"/>
      <c r="GZU72" s="381"/>
      <c r="GZV72" s="381"/>
      <c r="GZW72" s="379"/>
      <c r="GZX72" s="380"/>
      <c r="GZY72" s="380"/>
      <c r="GZZ72" s="380"/>
      <c r="HAA72" s="381"/>
      <c r="HAB72" s="381"/>
      <c r="HAC72" s="381"/>
      <c r="HAD72" s="381"/>
      <c r="HAE72" s="381"/>
      <c r="HAF72" s="381"/>
      <c r="HAG72" s="381"/>
      <c r="HAH72" s="381"/>
      <c r="HAI72" s="381"/>
      <c r="HAJ72" s="381"/>
      <c r="HAK72" s="381"/>
      <c r="HAL72" s="381"/>
      <c r="HAM72" s="381"/>
      <c r="HAN72" s="381"/>
      <c r="HAO72" s="381"/>
      <c r="HAP72" s="381"/>
      <c r="HAQ72" s="381"/>
      <c r="HAR72" s="381"/>
      <c r="HAS72" s="381"/>
      <c r="HAT72" s="381"/>
      <c r="HAU72" s="381"/>
      <c r="HAV72" s="381"/>
      <c r="HAW72" s="381"/>
      <c r="HAX72" s="381"/>
      <c r="HAY72" s="381"/>
      <c r="HAZ72" s="381"/>
      <c r="HBA72" s="379"/>
      <c r="HBB72" s="380"/>
      <c r="HBC72" s="380"/>
      <c r="HBD72" s="380"/>
      <c r="HBE72" s="381"/>
      <c r="HBF72" s="381"/>
      <c r="HBG72" s="381"/>
      <c r="HBH72" s="381"/>
      <c r="HBI72" s="381"/>
      <c r="HBJ72" s="381"/>
      <c r="HBK72" s="381"/>
      <c r="HBL72" s="381"/>
      <c r="HBM72" s="381"/>
      <c r="HBN72" s="381"/>
      <c r="HBO72" s="381"/>
      <c r="HBP72" s="381"/>
      <c r="HBQ72" s="381"/>
      <c r="HBR72" s="381"/>
      <c r="HBS72" s="381"/>
      <c r="HBT72" s="381"/>
      <c r="HBU72" s="381"/>
      <c r="HBV72" s="381"/>
      <c r="HBW72" s="381"/>
      <c r="HBX72" s="381"/>
      <c r="HBY72" s="381"/>
      <c r="HBZ72" s="381"/>
      <c r="HCA72" s="381"/>
      <c r="HCB72" s="381"/>
      <c r="HCC72" s="381"/>
      <c r="HCD72" s="381"/>
      <c r="HCE72" s="379"/>
      <c r="HCF72" s="380"/>
      <c r="HCG72" s="380"/>
      <c r="HCH72" s="380"/>
      <c r="HCI72" s="381"/>
      <c r="HCJ72" s="381"/>
      <c r="HCK72" s="381"/>
      <c r="HCL72" s="381"/>
      <c r="HCM72" s="381"/>
      <c r="HCN72" s="381"/>
      <c r="HCO72" s="381"/>
      <c r="HCP72" s="381"/>
      <c r="HCQ72" s="381"/>
      <c r="HCR72" s="381"/>
      <c r="HCS72" s="381"/>
      <c r="HCT72" s="381"/>
      <c r="HCU72" s="381"/>
      <c r="HCV72" s="381"/>
      <c r="HCW72" s="381"/>
      <c r="HCX72" s="381"/>
      <c r="HCY72" s="381"/>
      <c r="HCZ72" s="381"/>
      <c r="HDA72" s="381"/>
      <c r="HDB72" s="381"/>
      <c r="HDC72" s="381"/>
      <c r="HDD72" s="381"/>
      <c r="HDE72" s="381"/>
      <c r="HDF72" s="381"/>
      <c r="HDG72" s="381"/>
      <c r="HDH72" s="381"/>
      <c r="HDI72" s="379"/>
      <c r="HDJ72" s="380"/>
      <c r="HDK72" s="380"/>
      <c r="HDL72" s="380"/>
      <c r="HDM72" s="381"/>
      <c r="HDN72" s="381"/>
      <c r="HDO72" s="381"/>
      <c r="HDP72" s="381"/>
      <c r="HDQ72" s="381"/>
      <c r="HDR72" s="381"/>
      <c r="HDS72" s="381"/>
      <c r="HDT72" s="381"/>
      <c r="HDU72" s="381"/>
      <c r="HDV72" s="381"/>
      <c r="HDW72" s="381"/>
      <c r="HDX72" s="381"/>
      <c r="HDY72" s="381"/>
      <c r="HDZ72" s="381"/>
      <c r="HEA72" s="381"/>
      <c r="HEB72" s="381"/>
      <c r="HEC72" s="381"/>
      <c r="HED72" s="381"/>
      <c r="HEE72" s="381"/>
      <c r="HEF72" s="381"/>
      <c r="HEG72" s="381"/>
      <c r="HEH72" s="381"/>
      <c r="HEI72" s="381"/>
      <c r="HEJ72" s="381"/>
      <c r="HEK72" s="381"/>
      <c r="HEL72" s="381"/>
      <c r="HEM72" s="379"/>
      <c r="HEN72" s="380"/>
      <c r="HEO72" s="380"/>
      <c r="HEP72" s="380"/>
      <c r="HEQ72" s="381"/>
      <c r="HER72" s="381"/>
      <c r="HES72" s="381"/>
      <c r="HET72" s="381"/>
      <c r="HEU72" s="381"/>
      <c r="HEV72" s="381"/>
      <c r="HEW72" s="381"/>
      <c r="HEX72" s="381"/>
      <c r="HEY72" s="381"/>
      <c r="HEZ72" s="381"/>
      <c r="HFA72" s="381"/>
      <c r="HFB72" s="381"/>
      <c r="HFC72" s="381"/>
      <c r="HFD72" s="381"/>
      <c r="HFE72" s="381"/>
      <c r="HFF72" s="381"/>
      <c r="HFG72" s="381"/>
      <c r="HFH72" s="381"/>
      <c r="HFI72" s="381"/>
      <c r="HFJ72" s="381"/>
      <c r="HFK72" s="381"/>
      <c r="HFL72" s="381"/>
      <c r="HFM72" s="381"/>
      <c r="HFN72" s="381"/>
      <c r="HFO72" s="381"/>
      <c r="HFP72" s="381"/>
      <c r="HFQ72" s="379"/>
      <c r="HFR72" s="380"/>
      <c r="HFS72" s="380"/>
      <c r="HFT72" s="380"/>
      <c r="HFU72" s="381"/>
      <c r="HFV72" s="381"/>
      <c r="HFW72" s="381"/>
      <c r="HFX72" s="381"/>
      <c r="HFY72" s="381"/>
      <c r="HFZ72" s="381"/>
      <c r="HGA72" s="381"/>
      <c r="HGB72" s="381"/>
      <c r="HGC72" s="381"/>
      <c r="HGD72" s="381"/>
      <c r="HGE72" s="381"/>
      <c r="HGF72" s="381"/>
      <c r="HGG72" s="381"/>
      <c r="HGH72" s="381"/>
      <c r="HGI72" s="381"/>
      <c r="HGJ72" s="381"/>
      <c r="HGK72" s="381"/>
      <c r="HGL72" s="381"/>
      <c r="HGM72" s="381"/>
      <c r="HGN72" s="381"/>
      <c r="HGO72" s="381"/>
      <c r="HGP72" s="381"/>
      <c r="HGQ72" s="381"/>
      <c r="HGR72" s="381"/>
      <c r="HGS72" s="381"/>
      <c r="HGT72" s="381"/>
      <c r="HGU72" s="379"/>
      <c r="HGV72" s="380"/>
      <c r="HGW72" s="380"/>
      <c r="HGX72" s="380"/>
      <c r="HGY72" s="381"/>
      <c r="HGZ72" s="381"/>
      <c r="HHA72" s="381"/>
      <c r="HHB72" s="381"/>
      <c r="HHC72" s="381"/>
      <c r="HHD72" s="381"/>
      <c r="HHE72" s="381"/>
      <c r="HHF72" s="381"/>
      <c r="HHG72" s="381"/>
      <c r="HHH72" s="381"/>
      <c r="HHI72" s="381"/>
      <c r="HHJ72" s="381"/>
      <c r="HHK72" s="381"/>
      <c r="HHL72" s="381"/>
      <c r="HHM72" s="381"/>
      <c r="HHN72" s="381"/>
      <c r="HHO72" s="381"/>
      <c r="HHP72" s="381"/>
      <c r="HHQ72" s="381"/>
      <c r="HHR72" s="381"/>
      <c r="HHS72" s="381"/>
      <c r="HHT72" s="381"/>
      <c r="HHU72" s="381"/>
      <c r="HHV72" s="381"/>
      <c r="HHW72" s="381"/>
      <c r="HHX72" s="381"/>
      <c r="HHY72" s="379"/>
      <c r="HHZ72" s="380"/>
      <c r="HIA72" s="380"/>
      <c r="HIB72" s="380"/>
      <c r="HIC72" s="381"/>
      <c r="HID72" s="381"/>
      <c r="HIE72" s="381"/>
      <c r="HIF72" s="381"/>
      <c r="HIG72" s="381"/>
      <c r="HIH72" s="381"/>
      <c r="HII72" s="381"/>
      <c r="HIJ72" s="381"/>
      <c r="HIK72" s="381"/>
      <c r="HIL72" s="381"/>
      <c r="HIM72" s="381"/>
      <c r="HIN72" s="381"/>
      <c r="HIO72" s="381"/>
      <c r="HIP72" s="381"/>
      <c r="HIQ72" s="381"/>
      <c r="HIR72" s="381"/>
      <c r="HIS72" s="381"/>
      <c r="HIT72" s="381"/>
      <c r="HIU72" s="381"/>
      <c r="HIV72" s="381"/>
      <c r="HIW72" s="381"/>
      <c r="HIX72" s="381"/>
      <c r="HIY72" s="381"/>
      <c r="HIZ72" s="381"/>
      <c r="HJA72" s="381"/>
      <c r="HJB72" s="381"/>
      <c r="HJC72" s="379"/>
      <c r="HJD72" s="380"/>
      <c r="HJE72" s="380"/>
      <c r="HJF72" s="380"/>
      <c r="HJG72" s="381"/>
      <c r="HJH72" s="381"/>
      <c r="HJI72" s="381"/>
      <c r="HJJ72" s="381"/>
      <c r="HJK72" s="381"/>
      <c r="HJL72" s="381"/>
      <c r="HJM72" s="381"/>
      <c r="HJN72" s="381"/>
      <c r="HJO72" s="381"/>
      <c r="HJP72" s="381"/>
      <c r="HJQ72" s="381"/>
      <c r="HJR72" s="381"/>
      <c r="HJS72" s="381"/>
      <c r="HJT72" s="381"/>
      <c r="HJU72" s="381"/>
      <c r="HJV72" s="381"/>
      <c r="HJW72" s="381"/>
      <c r="HJX72" s="381"/>
      <c r="HJY72" s="381"/>
      <c r="HJZ72" s="381"/>
      <c r="HKA72" s="381"/>
      <c r="HKB72" s="381"/>
      <c r="HKC72" s="381"/>
      <c r="HKD72" s="381"/>
      <c r="HKE72" s="381"/>
      <c r="HKF72" s="381"/>
      <c r="HKG72" s="379"/>
      <c r="HKH72" s="380"/>
      <c r="HKI72" s="380"/>
      <c r="HKJ72" s="380"/>
      <c r="HKK72" s="381"/>
      <c r="HKL72" s="381"/>
      <c r="HKM72" s="381"/>
      <c r="HKN72" s="381"/>
      <c r="HKO72" s="381"/>
      <c r="HKP72" s="381"/>
      <c r="HKQ72" s="381"/>
      <c r="HKR72" s="381"/>
      <c r="HKS72" s="381"/>
      <c r="HKT72" s="381"/>
      <c r="HKU72" s="381"/>
      <c r="HKV72" s="381"/>
      <c r="HKW72" s="381"/>
      <c r="HKX72" s="381"/>
      <c r="HKY72" s="381"/>
      <c r="HKZ72" s="381"/>
      <c r="HLA72" s="381"/>
      <c r="HLB72" s="381"/>
      <c r="HLC72" s="381"/>
      <c r="HLD72" s="381"/>
      <c r="HLE72" s="381"/>
      <c r="HLF72" s="381"/>
      <c r="HLG72" s="381"/>
      <c r="HLH72" s="381"/>
      <c r="HLI72" s="381"/>
      <c r="HLJ72" s="381"/>
      <c r="HLK72" s="379"/>
      <c r="HLL72" s="380"/>
      <c r="HLM72" s="380"/>
      <c r="HLN72" s="380"/>
      <c r="HLO72" s="381"/>
      <c r="HLP72" s="381"/>
      <c r="HLQ72" s="381"/>
      <c r="HLR72" s="381"/>
      <c r="HLS72" s="381"/>
      <c r="HLT72" s="381"/>
      <c r="HLU72" s="381"/>
      <c r="HLV72" s="381"/>
      <c r="HLW72" s="381"/>
      <c r="HLX72" s="381"/>
      <c r="HLY72" s="381"/>
      <c r="HLZ72" s="381"/>
      <c r="HMA72" s="381"/>
      <c r="HMB72" s="381"/>
      <c r="HMC72" s="381"/>
      <c r="HMD72" s="381"/>
      <c r="HME72" s="381"/>
      <c r="HMF72" s="381"/>
      <c r="HMG72" s="381"/>
      <c r="HMH72" s="381"/>
      <c r="HMI72" s="381"/>
      <c r="HMJ72" s="381"/>
      <c r="HMK72" s="381"/>
      <c r="HML72" s="381"/>
      <c r="HMM72" s="381"/>
      <c r="HMN72" s="381"/>
      <c r="HMO72" s="379"/>
      <c r="HMP72" s="380"/>
      <c r="HMQ72" s="380"/>
      <c r="HMR72" s="380"/>
      <c r="HMS72" s="381"/>
      <c r="HMT72" s="381"/>
      <c r="HMU72" s="381"/>
      <c r="HMV72" s="381"/>
      <c r="HMW72" s="381"/>
      <c r="HMX72" s="381"/>
      <c r="HMY72" s="381"/>
      <c r="HMZ72" s="381"/>
      <c r="HNA72" s="381"/>
      <c r="HNB72" s="381"/>
      <c r="HNC72" s="381"/>
      <c r="HND72" s="381"/>
      <c r="HNE72" s="381"/>
      <c r="HNF72" s="381"/>
      <c r="HNG72" s="381"/>
      <c r="HNH72" s="381"/>
      <c r="HNI72" s="381"/>
      <c r="HNJ72" s="381"/>
      <c r="HNK72" s="381"/>
      <c r="HNL72" s="381"/>
      <c r="HNM72" s="381"/>
      <c r="HNN72" s="381"/>
      <c r="HNO72" s="381"/>
      <c r="HNP72" s="381"/>
      <c r="HNQ72" s="381"/>
      <c r="HNR72" s="381"/>
      <c r="HNS72" s="379"/>
      <c r="HNT72" s="380"/>
      <c r="HNU72" s="380"/>
      <c r="HNV72" s="380"/>
      <c r="HNW72" s="381"/>
      <c r="HNX72" s="381"/>
      <c r="HNY72" s="381"/>
      <c r="HNZ72" s="381"/>
      <c r="HOA72" s="381"/>
      <c r="HOB72" s="381"/>
      <c r="HOC72" s="381"/>
      <c r="HOD72" s="381"/>
      <c r="HOE72" s="381"/>
      <c r="HOF72" s="381"/>
      <c r="HOG72" s="381"/>
      <c r="HOH72" s="381"/>
      <c r="HOI72" s="381"/>
      <c r="HOJ72" s="381"/>
      <c r="HOK72" s="381"/>
      <c r="HOL72" s="381"/>
      <c r="HOM72" s="381"/>
      <c r="HON72" s="381"/>
      <c r="HOO72" s="381"/>
      <c r="HOP72" s="381"/>
      <c r="HOQ72" s="381"/>
      <c r="HOR72" s="381"/>
      <c r="HOS72" s="381"/>
      <c r="HOT72" s="381"/>
      <c r="HOU72" s="381"/>
      <c r="HOV72" s="381"/>
      <c r="HOW72" s="379"/>
      <c r="HOX72" s="380"/>
      <c r="HOY72" s="380"/>
      <c r="HOZ72" s="380"/>
      <c r="HPA72" s="381"/>
      <c r="HPB72" s="381"/>
      <c r="HPC72" s="381"/>
      <c r="HPD72" s="381"/>
      <c r="HPE72" s="381"/>
      <c r="HPF72" s="381"/>
      <c r="HPG72" s="381"/>
      <c r="HPH72" s="381"/>
      <c r="HPI72" s="381"/>
      <c r="HPJ72" s="381"/>
      <c r="HPK72" s="381"/>
      <c r="HPL72" s="381"/>
      <c r="HPM72" s="381"/>
      <c r="HPN72" s="381"/>
      <c r="HPO72" s="381"/>
      <c r="HPP72" s="381"/>
      <c r="HPQ72" s="381"/>
      <c r="HPR72" s="381"/>
      <c r="HPS72" s="381"/>
      <c r="HPT72" s="381"/>
      <c r="HPU72" s="381"/>
      <c r="HPV72" s="381"/>
      <c r="HPW72" s="381"/>
      <c r="HPX72" s="381"/>
      <c r="HPY72" s="381"/>
      <c r="HPZ72" s="381"/>
      <c r="HQA72" s="379"/>
      <c r="HQB72" s="380"/>
      <c r="HQC72" s="380"/>
      <c r="HQD72" s="380"/>
      <c r="HQE72" s="381"/>
      <c r="HQF72" s="381"/>
      <c r="HQG72" s="381"/>
      <c r="HQH72" s="381"/>
      <c r="HQI72" s="381"/>
      <c r="HQJ72" s="381"/>
      <c r="HQK72" s="381"/>
      <c r="HQL72" s="381"/>
      <c r="HQM72" s="381"/>
      <c r="HQN72" s="381"/>
      <c r="HQO72" s="381"/>
      <c r="HQP72" s="381"/>
      <c r="HQQ72" s="381"/>
      <c r="HQR72" s="381"/>
      <c r="HQS72" s="381"/>
      <c r="HQT72" s="381"/>
      <c r="HQU72" s="381"/>
      <c r="HQV72" s="381"/>
      <c r="HQW72" s="381"/>
      <c r="HQX72" s="381"/>
      <c r="HQY72" s="381"/>
      <c r="HQZ72" s="381"/>
      <c r="HRA72" s="381"/>
      <c r="HRB72" s="381"/>
      <c r="HRC72" s="381"/>
      <c r="HRD72" s="381"/>
      <c r="HRE72" s="379"/>
      <c r="HRF72" s="380"/>
      <c r="HRG72" s="380"/>
      <c r="HRH72" s="380"/>
      <c r="HRI72" s="381"/>
      <c r="HRJ72" s="381"/>
      <c r="HRK72" s="381"/>
      <c r="HRL72" s="381"/>
      <c r="HRM72" s="381"/>
      <c r="HRN72" s="381"/>
      <c r="HRO72" s="381"/>
      <c r="HRP72" s="381"/>
      <c r="HRQ72" s="381"/>
      <c r="HRR72" s="381"/>
      <c r="HRS72" s="381"/>
      <c r="HRT72" s="381"/>
      <c r="HRU72" s="381"/>
      <c r="HRV72" s="381"/>
      <c r="HRW72" s="381"/>
      <c r="HRX72" s="381"/>
      <c r="HRY72" s="381"/>
      <c r="HRZ72" s="381"/>
      <c r="HSA72" s="381"/>
      <c r="HSB72" s="381"/>
      <c r="HSC72" s="381"/>
      <c r="HSD72" s="381"/>
      <c r="HSE72" s="381"/>
      <c r="HSF72" s="381"/>
      <c r="HSG72" s="381"/>
      <c r="HSH72" s="381"/>
      <c r="HSI72" s="379"/>
      <c r="HSJ72" s="380"/>
      <c r="HSK72" s="380"/>
      <c r="HSL72" s="380"/>
      <c r="HSM72" s="381"/>
      <c r="HSN72" s="381"/>
      <c r="HSO72" s="381"/>
      <c r="HSP72" s="381"/>
      <c r="HSQ72" s="381"/>
      <c r="HSR72" s="381"/>
      <c r="HSS72" s="381"/>
      <c r="HST72" s="381"/>
      <c r="HSU72" s="381"/>
      <c r="HSV72" s="381"/>
      <c r="HSW72" s="381"/>
      <c r="HSX72" s="381"/>
      <c r="HSY72" s="381"/>
      <c r="HSZ72" s="381"/>
      <c r="HTA72" s="381"/>
      <c r="HTB72" s="381"/>
      <c r="HTC72" s="381"/>
      <c r="HTD72" s="381"/>
      <c r="HTE72" s="381"/>
      <c r="HTF72" s="381"/>
      <c r="HTG72" s="381"/>
      <c r="HTH72" s="381"/>
      <c r="HTI72" s="381"/>
      <c r="HTJ72" s="381"/>
      <c r="HTK72" s="381"/>
      <c r="HTL72" s="381"/>
      <c r="HTM72" s="379"/>
      <c r="HTN72" s="380"/>
      <c r="HTO72" s="380"/>
      <c r="HTP72" s="380"/>
      <c r="HTQ72" s="381"/>
      <c r="HTR72" s="381"/>
      <c r="HTS72" s="381"/>
      <c r="HTT72" s="381"/>
      <c r="HTU72" s="381"/>
      <c r="HTV72" s="381"/>
      <c r="HTW72" s="381"/>
      <c r="HTX72" s="381"/>
      <c r="HTY72" s="381"/>
      <c r="HTZ72" s="381"/>
      <c r="HUA72" s="381"/>
      <c r="HUB72" s="381"/>
      <c r="HUC72" s="381"/>
      <c r="HUD72" s="381"/>
      <c r="HUE72" s="381"/>
      <c r="HUF72" s="381"/>
      <c r="HUG72" s="381"/>
      <c r="HUH72" s="381"/>
      <c r="HUI72" s="381"/>
      <c r="HUJ72" s="381"/>
      <c r="HUK72" s="381"/>
      <c r="HUL72" s="381"/>
      <c r="HUM72" s="381"/>
      <c r="HUN72" s="381"/>
      <c r="HUO72" s="381"/>
      <c r="HUP72" s="381"/>
      <c r="HUQ72" s="379"/>
      <c r="HUR72" s="380"/>
      <c r="HUS72" s="380"/>
      <c r="HUT72" s="380"/>
      <c r="HUU72" s="381"/>
      <c r="HUV72" s="381"/>
      <c r="HUW72" s="381"/>
      <c r="HUX72" s="381"/>
      <c r="HUY72" s="381"/>
      <c r="HUZ72" s="381"/>
      <c r="HVA72" s="381"/>
      <c r="HVB72" s="381"/>
      <c r="HVC72" s="381"/>
      <c r="HVD72" s="381"/>
      <c r="HVE72" s="381"/>
      <c r="HVF72" s="381"/>
      <c r="HVG72" s="381"/>
      <c r="HVH72" s="381"/>
      <c r="HVI72" s="381"/>
      <c r="HVJ72" s="381"/>
      <c r="HVK72" s="381"/>
      <c r="HVL72" s="381"/>
      <c r="HVM72" s="381"/>
      <c r="HVN72" s="381"/>
      <c r="HVO72" s="381"/>
      <c r="HVP72" s="381"/>
      <c r="HVQ72" s="381"/>
      <c r="HVR72" s="381"/>
      <c r="HVS72" s="381"/>
      <c r="HVT72" s="381"/>
      <c r="HVU72" s="379"/>
      <c r="HVV72" s="380"/>
      <c r="HVW72" s="380"/>
      <c r="HVX72" s="380"/>
      <c r="HVY72" s="381"/>
      <c r="HVZ72" s="381"/>
      <c r="HWA72" s="381"/>
      <c r="HWB72" s="381"/>
      <c r="HWC72" s="381"/>
      <c r="HWD72" s="381"/>
      <c r="HWE72" s="381"/>
      <c r="HWF72" s="381"/>
      <c r="HWG72" s="381"/>
      <c r="HWH72" s="381"/>
      <c r="HWI72" s="381"/>
      <c r="HWJ72" s="381"/>
      <c r="HWK72" s="381"/>
      <c r="HWL72" s="381"/>
      <c r="HWM72" s="381"/>
      <c r="HWN72" s="381"/>
      <c r="HWO72" s="381"/>
      <c r="HWP72" s="381"/>
      <c r="HWQ72" s="381"/>
      <c r="HWR72" s="381"/>
      <c r="HWS72" s="381"/>
      <c r="HWT72" s="381"/>
      <c r="HWU72" s="381"/>
      <c r="HWV72" s="381"/>
      <c r="HWW72" s="381"/>
      <c r="HWX72" s="381"/>
      <c r="HWY72" s="379"/>
      <c r="HWZ72" s="380"/>
      <c r="HXA72" s="380"/>
      <c r="HXB72" s="380"/>
      <c r="HXC72" s="381"/>
      <c r="HXD72" s="381"/>
      <c r="HXE72" s="381"/>
      <c r="HXF72" s="381"/>
      <c r="HXG72" s="381"/>
      <c r="HXH72" s="381"/>
      <c r="HXI72" s="381"/>
      <c r="HXJ72" s="381"/>
      <c r="HXK72" s="381"/>
      <c r="HXL72" s="381"/>
      <c r="HXM72" s="381"/>
      <c r="HXN72" s="381"/>
      <c r="HXO72" s="381"/>
      <c r="HXP72" s="381"/>
      <c r="HXQ72" s="381"/>
      <c r="HXR72" s="381"/>
      <c r="HXS72" s="381"/>
      <c r="HXT72" s="381"/>
      <c r="HXU72" s="381"/>
      <c r="HXV72" s="381"/>
      <c r="HXW72" s="381"/>
      <c r="HXX72" s="381"/>
      <c r="HXY72" s="381"/>
      <c r="HXZ72" s="381"/>
      <c r="HYA72" s="381"/>
      <c r="HYB72" s="381"/>
      <c r="HYC72" s="379"/>
      <c r="HYD72" s="380"/>
      <c r="HYE72" s="380"/>
      <c r="HYF72" s="380"/>
      <c r="HYG72" s="381"/>
      <c r="HYH72" s="381"/>
      <c r="HYI72" s="381"/>
      <c r="HYJ72" s="381"/>
      <c r="HYK72" s="381"/>
      <c r="HYL72" s="381"/>
      <c r="HYM72" s="381"/>
      <c r="HYN72" s="381"/>
      <c r="HYO72" s="381"/>
      <c r="HYP72" s="381"/>
      <c r="HYQ72" s="381"/>
      <c r="HYR72" s="381"/>
      <c r="HYS72" s="381"/>
      <c r="HYT72" s="381"/>
      <c r="HYU72" s="381"/>
      <c r="HYV72" s="381"/>
      <c r="HYW72" s="381"/>
      <c r="HYX72" s="381"/>
      <c r="HYY72" s="381"/>
      <c r="HYZ72" s="381"/>
      <c r="HZA72" s="381"/>
      <c r="HZB72" s="381"/>
      <c r="HZC72" s="381"/>
      <c r="HZD72" s="381"/>
      <c r="HZE72" s="381"/>
      <c r="HZF72" s="381"/>
      <c r="HZG72" s="379"/>
      <c r="HZH72" s="380"/>
      <c r="HZI72" s="380"/>
      <c r="HZJ72" s="380"/>
      <c r="HZK72" s="381"/>
      <c r="HZL72" s="381"/>
      <c r="HZM72" s="381"/>
      <c r="HZN72" s="381"/>
      <c r="HZO72" s="381"/>
      <c r="HZP72" s="381"/>
      <c r="HZQ72" s="381"/>
      <c r="HZR72" s="381"/>
      <c r="HZS72" s="381"/>
      <c r="HZT72" s="381"/>
      <c r="HZU72" s="381"/>
      <c r="HZV72" s="381"/>
      <c r="HZW72" s="381"/>
      <c r="HZX72" s="381"/>
      <c r="HZY72" s="381"/>
      <c r="HZZ72" s="381"/>
      <c r="IAA72" s="381"/>
      <c r="IAB72" s="381"/>
      <c r="IAC72" s="381"/>
      <c r="IAD72" s="381"/>
      <c r="IAE72" s="381"/>
      <c r="IAF72" s="381"/>
      <c r="IAG72" s="381"/>
      <c r="IAH72" s="381"/>
      <c r="IAI72" s="381"/>
      <c r="IAJ72" s="381"/>
      <c r="IAK72" s="379"/>
      <c r="IAL72" s="380"/>
      <c r="IAM72" s="380"/>
      <c r="IAN72" s="380"/>
      <c r="IAO72" s="381"/>
      <c r="IAP72" s="381"/>
      <c r="IAQ72" s="381"/>
      <c r="IAR72" s="381"/>
      <c r="IAS72" s="381"/>
      <c r="IAT72" s="381"/>
      <c r="IAU72" s="381"/>
      <c r="IAV72" s="381"/>
      <c r="IAW72" s="381"/>
      <c r="IAX72" s="381"/>
      <c r="IAY72" s="381"/>
      <c r="IAZ72" s="381"/>
      <c r="IBA72" s="381"/>
      <c r="IBB72" s="381"/>
      <c r="IBC72" s="381"/>
      <c r="IBD72" s="381"/>
      <c r="IBE72" s="381"/>
      <c r="IBF72" s="381"/>
      <c r="IBG72" s="381"/>
      <c r="IBH72" s="381"/>
      <c r="IBI72" s="381"/>
      <c r="IBJ72" s="381"/>
      <c r="IBK72" s="381"/>
      <c r="IBL72" s="381"/>
      <c r="IBM72" s="381"/>
      <c r="IBN72" s="381"/>
      <c r="IBO72" s="379"/>
      <c r="IBP72" s="380"/>
      <c r="IBQ72" s="380"/>
      <c r="IBR72" s="380"/>
      <c r="IBS72" s="381"/>
      <c r="IBT72" s="381"/>
      <c r="IBU72" s="381"/>
      <c r="IBV72" s="381"/>
      <c r="IBW72" s="381"/>
      <c r="IBX72" s="381"/>
      <c r="IBY72" s="381"/>
      <c r="IBZ72" s="381"/>
      <c r="ICA72" s="381"/>
      <c r="ICB72" s="381"/>
      <c r="ICC72" s="381"/>
      <c r="ICD72" s="381"/>
      <c r="ICE72" s="381"/>
      <c r="ICF72" s="381"/>
      <c r="ICG72" s="381"/>
      <c r="ICH72" s="381"/>
      <c r="ICI72" s="381"/>
      <c r="ICJ72" s="381"/>
      <c r="ICK72" s="381"/>
      <c r="ICL72" s="381"/>
      <c r="ICM72" s="381"/>
      <c r="ICN72" s="381"/>
      <c r="ICO72" s="381"/>
      <c r="ICP72" s="381"/>
      <c r="ICQ72" s="381"/>
      <c r="ICR72" s="381"/>
      <c r="ICS72" s="379"/>
      <c r="ICT72" s="380"/>
      <c r="ICU72" s="380"/>
      <c r="ICV72" s="380"/>
      <c r="ICW72" s="381"/>
      <c r="ICX72" s="381"/>
      <c r="ICY72" s="381"/>
      <c r="ICZ72" s="381"/>
      <c r="IDA72" s="381"/>
      <c r="IDB72" s="381"/>
      <c r="IDC72" s="381"/>
      <c r="IDD72" s="381"/>
      <c r="IDE72" s="381"/>
      <c r="IDF72" s="381"/>
      <c r="IDG72" s="381"/>
      <c r="IDH72" s="381"/>
      <c r="IDI72" s="381"/>
      <c r="IDJ72" s="381"/>
      <c r="IDK72" s="381"/>
      <c r="IDL72" s="381"/>
      <c r="IDM72" s="381"/>
      <c r="IDN72" s="381"/>
      <c r="IDO72" s="381"/>
      <c r="IDP72" s="381"/>
      <c r="IDQ72" s="381"/>
      <c r="IDR72" s="381"/>
      <c r="IDS72" s="381"/>
      <c r="IDT72" s="381"/>
      <c r="IDU72" s="381"/>
      <c r="IDV72" s="381"/>
      <c r="IDW72" s="379"/>
      <c r="IDX72" s="380"/>
      <c r="IDY72" s="380"/>
      <c r="IDZ72" s="380"/>
      <c r="IEA72" s="381"/>
      <c r="IEB72" s="381"/>
      <c r="IEC72" s="381"/>
      <c r="IED72" s="381"/>
      <c r="IEE72" s="381"/>
      <c r="IEF72" s="381"/>
      <c r="IEG72" s="381"/>
      <c r="IEH72" s="381"/>
      <c r="IEI72" s="381"/>
      <c r="IEJ72" s="381"/>
      <c r="IEK72" s="381"/>
      <c r="IEL72" s="381"/>
      <c r="IEM72" s="381"/>
      <c r="IEN72" s="381"/>
      <c r="IEO72" s="381"/>
      <c r="IEP72" s="381"/>
      <c r="IEQ72" s="381"/>
      <c r="IER72" s="381"/>
      <c r="IES72" s="381"/>
      <c r="IET72" s="381"/>
      <c r="IEU72" s="381"/>
      <c r="IEV72" s="381"/>
      <c r="IEW72" s="381"/>
      <c r="IEX72" s="381"/>
      <c r="IEY72" s="381"/>
      <c r="IEZ72" s="381"/>
      <c r="IFA72" s="379"/>
      <c r="IFB72" s="380"/>
      <c r="IFC72" s="380"/>
      <c r="IFD72" s="380"/>
      <c r="IFE72" s="381"/>
      <c r="IFF72" s="381"/>
      <c r="IFG72" s="381"/>
      <c r="IFH72" s="381"/>
      <c r="IFI72" s="381"/>
      <c r="IFJ72" s="381"/>
      <c r="IFK72" s="381"/>
      <c r="IFL72" s="381"/>
      <c r="IFM72" s="381"/>
      <c r="IFN72" s="381"/>
      <c r="IFO72" s="381"/>
      <c r="IFP72" s="381"/>
      <c r="IFQ72" s="381"/>
      <c r="IFR72" s="381"/>
      <c r="IFS72" s="381"/>
      <c r="IFT72" s="381"/>
      <c r="IFU72" s="381"/>
      <c r="IFV72" s="381"/>
      <c r="IFW72" s="381"/>
      <c r="IFX72" s="381"/>
      <c r="IFY72" s="381"/>
      <c r="IFZ72" s="381"/>
      <c r="IGA72" s="381"/>
      <c r="IGB72" s="381"/>
      <c r="IGC72" s="381"/>
      <c r="IGD72" s="381"/>
      <c r="IGE72" s="379"/>
      <c r="IGF72" s="380"/>
      <c r="IGG72" s="380"/>
      <c r="IGH72" s="380"/>
      <c r="IGI72" s="381"/>
      <c r="IGJ72" s="381"/>
      <c r="IGK72" s="381"/>
      <c r="IGL72" s="381"/>
      <c r="IGM72" s="381"/>
      <c r="IGN72" s="381"/>
      <c r="IGO72" s="381"/>
      <c r="IGP72" s="381"/>
      <c r="IGQ72" s="381"/>
      <c r="IGR72" s="381"/>
      <c r="IGS72" s="381"/>
      <c r="IGT72" s="381"/>
      <c r="IGU72" s="381"/>
      <c r="IGV72" s="381"/>
      <c r="IGW72" s="381"/>
      <c r="IGX72" s="381"/>
      <c r="IGY72" s="381"/>
      <c r="IGZ72" s="381"/>
      <c r="IHA72" s="381"/>
      <c r="IHB72" s="381"/>
      <c r="IHC72" s="381"/>
      <c r="IHD72" s="381"/>
      <c r="IHE72" s="381"/>
      <c r="IHF72" s="381"/>
      <c r="IHG72" s="381"/>
      <c r="IHH72" s="381"/>
      <c r="IHI72" s="379"/>
      <c r="IHJ72" s="380"/>
      <c r="IHK72" s="380"/>
      <c r="IHL72" s="380"/>
      <c r="IHM72" s="381"/>
      <c r="IHN72" s="381"/>
      <c r="IHO72" s="381"/>
      <c r="IHP72" s="381"/>
      <c r="IHQ72" s="381"/>
      <c r="IHR72" s="381"/>
      <c r="IHS72" s="381"/>
      <c r="IHT72" s="381"/>
      <c r="IHU72" s="381"/>
      <c r="IHV72" s="381"/>
      <c r="IHW72" s="381"/>
      <c r="IHX72" s="381"/>
      <c r="IHY72" s="381"/>
      <c r="IHZ72" s="381"/>
      <c r="IIA72" s="381"/>
      <c r="IIB72" s="381"/>
      <c r="IIC72" s="381"/>
      <c r="IID72" s="381"/>
      <c r="IIE72" s="381"/>
      <c r="IIF72" s="381"/>
      <c r="IIG72" s="381"/>
      <c r="IIH72" s="381"/>
      <c r="III72" s="381"/>
      <c r="IIJ72" s="381"/>
      <c r="IIK72" s="381"/>
      <c r="IIL72" s="381"/>
      <c r="IIM72" s="379"/>
      <c r="IIN72" s="380"/>
      <c r="IIO72" s="380"/>
      <c r="IIP72" s="380"/>
      <c r="IIQ72" s="381"/>
      <c r="IIR72" s="381"/>
      <c r="IIS72" s="381"/>
      <c r="IIT72" s="381"/>
      <c r="IIU72" s="381"/>
      <c r="IIV72" s="381"/>
      <c r="IIW72" s="381"/>
      <c r="IIX72" s="381"/>
      <c r="IIY72" s="381"/>
      <c r="IIZ72" s="381"/>
      <c r="IJA72" s="381"/>
      <c r="IJB72" s="381"/>
      <c r="IJC72" s="381"/>
      <c r="IJD72" s="381"/>
      <c r="IJE72" s="381"/>
      <c r="IJF72" s="381"/>
      <c r="IJG72" s="381"/>
      <c r="IJH72" s="381"/>
      <c r="IJI72" s="381"/>
      <c r="IJJ72" s="381"/>
      <c r="IJK72" s="381"/>
      <c r="IJL72" s="381"/>
      <c r="IJM72" s="381"/>
      <c r="IJN72" s="381"/>
      <c r="IJO72" s="381"/>
      <c r="IJP72" s="381"/>
      <c r="IJQ72" s="379"/>
      <c r="IJR72" s="380"/>
      <c r="IJS72" s="380"/>
      <c r="IJT72" s="380"/>
      <c r="IJU72" s="381"/>
      <c r="IJV72" s="381"/>
      <c r="IJW72" s="381"/>
      <c r="IJX72" s="381"/>
      <c r="IJY72" s="381"/>
      <c r="IJZ72" s="381"/>
      <c r="IKA72" s="381"/>
      <c r="IKB72" s="381"/>
      <c r="IKC72" s="381"/>
      <c r="IKD72" s="381"/>
      <c r="IKE72" s="381"/>
      <c r="IKF72" s="381"/>
      <c r="IKG72" s="381"/>
      <c r="IKH72" s="381"/>
      <c r="IKI72" s="381"/>
      <c r="IKJ72" s="381"/>
      <c r="IKK72" s="381"/>
      <c r="IKL72" s="381"/>
      <c r="IKM72" s="381"/>
      <c r="IKN72" s="381"/>
      <c r="IKO72" s="381"/>
      <c r="IKP72" s="381"/>
      <c r="IKQ72" s="381"/>
      <c r="IKR72" s="381"/>
      <c r="IKS72" s="381"/>
      <c r="IKT72" s="381"/>
      <c r="IKU72" s="379"/>
      <c r="IKV72" s="380"/>
      <c r="IKW72" s="380"/>
      <c r="IKX72" s="380"/>
      <c r="IKY72" s="381"/>
      <c r="IKZ72" s="381"/>
      <c r="ILA72" s="381"/>
      <c r="ILB72" s="381"/>
      <c r="ILC72" s="381"/>
      <c r="ILD72" s="381"/>
      <c r="ILE72" s="381"/>
      <c r="ILF72" s="381"/>
      <c r="ILG72" s="381"/>
      <c r="ILH72" s="381"/>
      <c r="ILI72" s="381"/>
      <c r="ILJ72" s="381"/>
      <c r="ILK72" s="381"/>
      <c r="ILL72" s="381"/>
      <c r="ILM72" s="381"/>
      <c r="ILN72" s="381"/>
      <c r="ILO72" s="381"/>
      <c r="ILP72" s="381"/>
      <c r="ILQ72" s="381"/>
      <c r="ILR72" s="381"/>
      <c r="ILS72" s="381"/>
      <c r="ILT72" s="381"/>
      <c r="ILU72" s="381"/>
      <c r="ILV72" s="381"/>
      <c r="ILW72" s="381"/>
      <c r="ILX72" s="381"/>
      <c r="ILY72" s="379"/>
      <c r="ILZ72" s="380"/>
      <c r="IMA72" s="380"/>
      <c r="IMB72" s="380"/>
      <c r="IMC72" s="381"/>
      <c r="IMD72" s="381"/>
      <c r="IME72" s="381"/>
      <c r="IMF72" s="381"/>
      <c r="IMG72" s="381"/>
      <c r="IMH72" s="381"/>
      <c r="IMI72" s="381"/>
      <c r="IMJ72" s="381"/>
      <c r="IMK72" s="381"/>
      <c r="IML72" s="381"/>
      <c r="IMM72" s="381"/>
      <c r="IMN72" s="381"/>
      <c r="IMO72" s="381"/>
      <c r="IMP72" s="381"/>
      <c r="IMQ72" s="381"/>
      <c r="IMR72" s="381"/>
      <c r="IMS72" s="381"/>
      <c r="IMT72" s="381"/>
      <c r="IMU72" s="381"/>
      <c r="IMV72" s="381"/>
      <c r="IMW72" s="381"/>
      <c r="IMX72" s="381"/>
      <c r="IMY72" s="381"/>
      <c r="IMZ72" s="381"/>
      <c r="INA72" s="381"/>
      <c r="INB72" s="381"/>
      <c r="INC72" s="379"/>
      <c r="IND72" s="380"/>
      <c r="INE72" s="380"/>
      <c r="INF72" s="380"/>
      <c r="ING72" s="381"/>
      <c r="INH72" s="381"/>
      <c r="INI72" s="381"/>
      <c r="INJ72" s="381"/>
      <c r="INK72" s="381"/>
      <c r="INL72" s="381"/>
      <c r="INM72" s="381"/>
      <c r="INN72" s="381"/>
      <c r="INO72" s="381"/>
      <c r="INP72" s="381"/>
      <c r="INQ72" s="381"/>
      <c r="INR72" s="381"/>
      <c r="INS72" s="381"/>
      <c r="INT72" s="381"/>
      <c r="INU72" s="381"/>
      <c r="INV72" s="381"/>
      <c r="INW72" s="381"/>
      <c r="INX72" s="381"/>
      <c r="INY72" s="381"/>
      <c r="INZ72" s="381"/>
      <c r="IOA72" s="381"/>
      <c r="IOB72" s="381"/>
      <c r="IOC72" s="381"/>
      <c r="IOD72" s="381"/>
      <c r="IOE72" s="381"/>
      <c r="IOF72" s="381"/>
      <c r="IOG72" s="379"/>
      <c r="IOH72" s="380"/>
      <c r="IOI72" s="380"/>
      <c r="IOJ72" s="380"/>
      <c r="IOK72" s="381"/>
      <c r="IOL72" s="381"/>
      <c r="IOM72" s="381"/>
      <c r="ION72" s="381"/>
      <c r="IOO72" s="381"/>
      <c r="IOP72" s="381"/>
      <c r="IOQ72" s="381"/>
      <c r="IOR72" s="381"/>
      <c r="IOS72" s="381"/>
      <c r="IOT72" s="381"/>
      <c r="IOU72" s="381"/>
      <c r="IOV72" s="381"/>
      <c r="IOW72" s="381"/>
      <c r="IOX72" s="381"/>
      <c r="IOY72" s="381"/>
      <c r="IOZ72" s="381"/>
      <c r="IPA72" s="381"/>
      <c r="IPB72" s="381"/>
      <c r="IPC72" s="381"/>
      <c r="IPD72" s="381"/>
      <c r="IPE72" s="381"/>
      <c r="IPF72" s="381"/>
      <c r="IPG72" s="381"/>
      <c r="IPH72" s="381"/>
      <c r="IPI72" s="381"/>
      <c r="IPJ72" s="381"/>
      <c r="IPK72" s="379"/>
      <c r="IPL72" s="380"/>
      <c r="IPM72" s="380"/>
      <c r="IPN72" s="380"/>
      <c r="IPO72" s="381"/>
      <c r="IPP72" s="381"/>
      <c r="IPQ72" s="381"/>
      <c r="IPR72" s="381"/>
      <c r="IPS72" s="381"/>
      <c r="IPT72" s="381"/>
      <c r="IPU72" s="381"/>
      <c r="IPV72" s="381"/>
      <c r="IPW72" s="381"/>
      <c r="IPX72" s="381"/>
      <c r="IPY72" s="381"/>
      <c r="IPZ72" s="381"/>
      <c r="IQA72" s="381"/>
      <c r="IQB72" s="381"/>
      <c r="IQC72" s="381"/>
      <c r="IQD72" s="381"/>
      <c r="IQE72" s="381"/>
      <c r="IQF72" s="381"/>
      <c r="IQG72" s="381"/>
      <c r="IQH72" s="381"/>
      <c r="IQI72" s="381"/>
      <c r="IQJ72" s="381"/>
      <c r="IQK72" s="381"/>
      <c r="IQL72" s="381"/>
      <c r="IQM72" s="381"/>
      <c r="IQN72" s="381"/>
      <c r="IQO72" s="379"/>
      <c r="IQP72" s="380"/>
      <c r="IQQ72" s="380"/>
      <c r="IQR72" s="380"/>
      <c r="IQS72" s="381"/>
      <c r="IQT72" s="381"/>
      <c r="IQU72" s="381"/>
      <c r="IQV72" s="381"/>
      <c r="IQW72" s="381"/>
      <c r="IQX72" s="381"/>
      <c r="IQY72" s="381"/>
      <c r="IQZ72" s="381"/>
      <c r="IRA72" s="381"/>
      <c r="IRB72" s="381"/>
      <c r="IRC72" s="381"/>
      <c r="IRD72" s="381"/>
      <c r="IRE72" s="381"/>
      <c r="IRF72" s="381"/>
      <c r="IRG72" s="381"/>
      <c r="IRH72" s="381"/>
      <c r="IRI72" s="381"/>
      <c r="IRJ72" s="381"/>
      <c r="IRK72" s="381"/>
      <c r="IRL72" s="381"/>
      <c r="IRM72" s="381"/>
      <c r="IRN72" s="381"/>
      <c r="IRO72" s="381"/>
      <c r="IRP72" s="381"/>
      <c r="IRQ72" s="381"/>
      <c r="IRR72" s="381"/>
      <c r="IRS72" s="379"/>
      <c r="IRT72" s="380"/>
      <c r="IRU72" s="380"/>
      <c r="IRV72" s="380"/>
      <c r="IRW72" s="381"/>
      <c r="IRX72" s="381"/>
      <c r="IRY72" s="381"/>
      <c r="IRZ72" s="381"/>
      <c r="ISA72" s="381"/>
      <c r="ISB72" s="381"/>
      <c r="ISC72" s="381"/>
      <c r="ISD72" s="381"/>
      <c r="ISE72" s="381"/>
      <c r="ISF72" s="381"/>
      <c r="ISG72" s="381"/>
      <c r="ISH72" s="381"/>
      <c r="ISI72" s="381"/>
      <c r="ISJ72" s="381"/>
      <c r="ISK72" s="381"/>
      <c r="ISL72" s="381"/>
      <c r="ISM72" s="381"/>
      <c r="ISN72" s="381"/>
      <c r="ISO72" s="381"/>
      <c r="ISP72" s="381"/>
      <c r="ISQ72" s="381"/>
      <c r="ISR72" s="381"/>
      <c r="ISS72" s="381"/>
      <c r="IST72" s="381"/>
      <c r="ISU72" s="381"/>
      <c r="ISV72" s="381"/>
      <c r="ISW72" s="379"/>
      <c r="ISX72" s="380"/>
      <c r="ISY72" s="380"/>
      <c r="ISZ72" s="380"/>
      <c r="ITA72" s="381"/>
      <c r="ITB72" s="381"/>
      <c r="ITC72" s="381"/>
      <c r="ITD72" s="381"/>
      <c r="ITE72" s="381"/>
      <c r="ITF72" s="381"/>
      <c r="ITG72" s="381"/>
      <c r="ITH72" s="381"/>
      <c r="ITI72" s="381"/>
      <c r="ITJ72" s="381"/>
      <c r="ITK72" s="381"/>
      <c r="ITL72" s="381"/>
      <c r="ITM72" s="381"/>
      <c r="ITN72" s="381"/>
      <c r="ITO72" s="381"/>
      <c r="ITP72" s="381"/>
      <c r="ITQ72" s="381"/>
      <c r="ITR72" s="381"/>
      <c r="ITS72" s="381"/>
      <c r="ITT72" s="381"/>
      <c r="ITU72" s="381"/>
      <c r="ITV72" s="381"/>
      <c r="ITW72" s="381"/>
      <c r="ITX72" s="381"/>
      <c r="ITY72" s="381"/>
      <c r="ITZ72" s="381"/>
      <c r="IUA72" s="379"/>
      <c r="IUB72" s="380"/>
      <c r="IUC72" s="380"/>
      <c r="IUD72" s="380"/>
      <c r="IUE72" s="381"/>
      <c r="IUF72" s="381"/>
      <c r="IUG72" s="381"/>
      <c r="IUH72" s="381"/>
      <c r="IUI72" s="381"/>
      <c r="IUJ72" s="381"/>
      <c r="IUK72" s="381"/>
      <c r="IUL72" s="381"/>
      <c r="IUM72" s="381"/>
      <c r="IUN72" s="381"/>
      <c r="IUO72" s="381"/>
      <c r="IUP72" s="381"/>
      <c r="IUQ72" s="381"/>
      <c r="IUR72" s="381"/>
      <c r="IUS72" s="381"/>
      <c r="IUT72" s="381"/>
      <c r="IUU72" s="381"/>
      <c r="IUV72" s="381"/>
      <c r="IUW72" s="381"/>
      <c r="IUX72" s="381"/>
      <c r="IUY72" s="381"/>
      <c r="IUZ72" s="381"/>
      <c r="IVA72" s="381"/>
      <c r="IVB72" s="381"/>
      <c r="IVC72" s="381"/>
      <c r="IVD72" s="381"/>
      <c r="IVE72" s="379"/>
      <c r="IVF72" s="380"/>
      <c r="IVG72" s="380"/>
      <c r="IVH72" s="380"/>
      <c r="IVI72" s="381"/>
      <c r="IVJ72" s="381"/>
      <c r="IVK72" s="381"/>
      <c r="IVL72" s="381"/>
      <c r="IVM72" s="381"/>
      <c r="IVN72" s="381"/>
      <c r="IVO72" s="381"/>
      <c r="IVP72" s="381"/>
      <c r="IVQ72" s="381"/>
      <c r="IVR72" s="381"/>
      <c r="IVS72" s="381"/>
      <c r="IVT72" s="381"/>
      <c r="IVU72" s="381"/>
      <c r="IVV72" s="381"/>
      <c r="IVW72" s="381"/>
      <c r="IVX72" s="381"/>
      <c r="IVY72" s="381"/>
      <c r="IVZ72" s="381"/>
      <c r="IWA72" s="381"/>
      <c r="IWB72" s="381"/>
      <c r="IWC72" s="381"/>
      <c r="IWD72" s="381"/>
      <c r="IWE72" s="381"/>
      <c r="IWF72" s="381"/>
      <c r="IWG72" s="381"/>
      <c r="IWH72" s="381"/>
      <c r="IWI72" s="379"/>
      <c r="IWJ72" s="380"/>
      <c r="IWK72" s="380"/>
      <c r="IWL72" s="380"/>
      <c r="IWM72" s="381"/>
      <c r="IWN72" s="381"/>
      <c r="IWO72" s="381"/>
      <c r="IWP72" s="381"/>
      <c r="IWQ72" s="381"/>
      <c r="IWR72" s="381"/>
      <c r="IWS72" s="381"/>
      <c r="IWT72" s="381"/>
      <c r="IWU72" s="381"/>
      <c r="IWV72" s="381"/>
      <c r="IWW72" s="381"/>
      <c r="IWX72" s="381"/>
      <c r="IWY72" s="381"/>
      <c r="IWZ72" s="381"/>
      <c r="IXA72" s="381"/>
      <c r="IXB72" s="381"/>
      <c r="IXC72" s="381"/>
      <c r="IXD72" s="381"/>
      <c r="IXE72" s="381"/>
      <c r="IXF72" s="381"/>
      <c r="IXG72" s="381"/>
      <c r="IXH72" s="381"/>
      <c r="IXI72" s="381"/>
      <c r="IXJ72" s="381"/>
      <c r="IXK72" s="381"/>
      <c r="IXL72" s="381"/>
      <c r="IXM72" s="379"/>
      <c r="IXN72" s="380"/>
      <c r="IXO72" s="380"/>
      <c r="IXP72" s="380"/>
      <c r="IXQ72" s="381"/>
      <c r="IXR72" s="381"/>
      <c r="IXS72" s="381"/>
      <c r="IXT72" s="381"/>
      <c r="IXU72" s="381"/>
      <c r="IXV72" s="381"/>
      <c r="IXW72" s="381"/>
      <c r="IXX72" s="381"/>
      <c r="IXY72" s="381"/>
      <c r="IXZ72" s="381"/>
      <c r="IYA72" s="381"/>
      <c r="IYB72" s="381"/>
      <c r="IYC72" s="381"/>
      <c r="IYD72" s="381"/>
      <c r="IYE72" s="381"/>
      <c r="IYF72" s="381"/>
      <c r="IYG72" s="381"/>
      <c r="IYH72" s="381"/>
      <c r="IYI72" s="381"/>
      <c r="IYJ72" s="381"/>
      <c r="IYK72" s="381"/>
      <c r="IYL72" s="381"/>
      <c r="IYM72" s="381"/>
      <c r="IYN72" s="381"/>
      <c r="IYO72" s="381"/>
      <c r="IYP72" s="381"/>
      <c r="IYQ72" s="379"/>
      <c r="IYR72" s="380"/>
      <c r="IYS72" s="380"/>
      <c r="IYT72" s="380"/>
      <c r="IYU72" s="381"/>
      <c r="IYV72" s="381"/>
      <c r="IYW72" s="381"/>
      <c r="IYX72" s="381"/>
      <c r="IYY72" s="381"/>
      <c r="IYZ72" s="381"/>
      <c r="IZA72" s="381"/>
      <c r="IZB72" s="381"/>
      <c r="IZC72" s="381"/>
      <c r="IZD72" s="381"/>
      <c r="IZE72" s="381"/>
      <c r="IZF72" s="381"/>
      <c r="IZG72" s="381"/>
      <c r="IZH72" s="381"/>
      <c r="IZI72" s="381"/>
      <c r="IZJ72" s="381"/>
      <c r="IZK72" s="381"/>
      <c r="IZL72" s="381"/>
      <c r="IZM72" s="381"/>
      <c r="IZN72" s="381"/>
      <c r="IZO72" s="381"/>
      <c r="IZP72" s="381"/>
      <c r="IZQ72" s="381"/>
      <c r="IZR72" s="381"/>
      <c r="IZS72" s="381"/>
      <c r="IZT72" s="381"/>
      <c r="IZU72" s="379"/>
      <c r="IZV72" s="380"/>
      <c r="IZW72" s="380"/>
      <c r="IZX72" s="380"/>
      <c r="IZY72" s="381"/>
      <c r="IZZ72" s="381"/>
      <c r="JAA72" s="381"/>
      <c r="JAB72" s="381"/>
      <c r="JAC72" s="381"/>
      <c r="JAD72" s="381"/>
      <c r="JAE72" s="381"/>
      <c r="JAF72" s="381"/>
      <c r="JAG72" s="381"/>
      <c r="JAH72" s="381"/>
      <c r="JAI72" s="381"/>
      <c r="JAJ72" s="381"/>
      <c r="JAK72" s="381"/>
      <c r="JAL72" s="381"/>
      <c r="JAM72" s="381"/>
      <c r="JAN72" s="381"/>
      <c r="JAO72" s="381"/>
      <c r="JAP72" s="381"/>
      <c r="JAQ72" s="381"/>
      <c r="JAR72" s="381"/>
      <c r="JAS72" s="381"/>
      <c r="JAT72" s="381"/>
      <c r="JAU72" s="381"/>
      <c r="JAV72" s="381"/>
      <c r="JAW72" s="381"/>
      <c r="JAX72" s="381"/>
      <c r="JAY72" s="379"/>
      <c r="JAZ72" s="380"/>
      <c r="JBA72" s="380"/>
      <c r="JBB72" s="380"/>
      <c r="JBC72" s="381"/>
      <c r="JBD72" s="381"/>
      <c r="JBE72" s="381"/>
      <c r="JBF72" s="381"/>
      <c r="JBG72" s="381"/>
      <c r="JBH72" s="381"/>
      <c r="JBI72" s="381"/>
      <c r="JBJ72" s="381"/>
      <c r="JBK72" s="381"/>
      <c r="JBL72" s="381"/>
      <c r="JBM72" s="381"/>
      <c r="JBN72" s="381"/>
      <c r="JBO72" s="381"/>
      <c r="JBP72" s="381"/>
      <c r="JBQ72" s="381"/>
      <c r="JBR72" s="381"/>
      <c r="JBS72" s="381"/>
      <c r="JBT72" s="381"/>
      <c r="JBU72" s="381"/>
      <c r="JBV72" s="381"/>
      <c r="JBW72" s="381"/>
      <c r="JBX72" s="381"/>
      <c r="JBY72" s="381"/>
      <c r="JBZ72" s="381"/>
      <c r="JCA72" s="381"/>
      <c r="JCB72" s="381"/>
      <c r="JCC72" s="379"/>
      <c r="JCD72" s="380"/>
      <c r="JCE72" s="380"/>
      <c r="JCF72" s="380"/>
      <c r="JCG72" s="381"/>
      <c r="JCH72" s="381"/>
      <c r="JCI72" s="381"/>
      <c r="JCJ72" s="381"/>
      <c r="JCK72" s="381"/>
      <c r="JCL72" s="381"/>
      <c r="JCM72" s="381"/>
      <c r="JCN72" s="381"/>
      <c r="JCO72" s="381"/>
      <c r="JCP72" s="381"/>
      <c r="JCQ72" s="381"/>
      <c r="JCR72" s="381"/>
      <c r="JCS72" s="381"/>
      <c r="JCT72" s="381"/>
      <c r="JCU72" s="381"/>
      <c r="JCV72" s="381"/>
      <c r="JCW72" s="381"/>
      <c r="JCX72" s="381"/>
      <c r="JCY72" s="381"/>
      <c r="JCZ72" s="381"/>
      <c r="JDA72" s="381"/>
      <c r="JDB72" s="381"/>
      <c r="JDC72" s="381"/>
      <c r="JDD72" s="381"/>
      <c r="JDE72" s="381"/>
      <c r="JDF72" s="381"/>
      <c r="JDG72" s="379"/>
      <c r="JDH72" s="380"/>
      <c r="JDI72" s="380"/>
      <c r="JDJ72" s="380"/>
      <c r="JDK72" s="381"/>
      <c r="JDL72" s="381"/>
      <c r="JDM72" s="381"/>
      <c r="JDN72" s="381"/>
      <c r="JDO72" s="381"/>
      <c r="JDP72" s="381"/>
      <c r="JDQ72" s="381"/>
      <c r="JDR72" s="381"/>
      <c r="JDS72" s="381"/>
      <c r="JDT72" s="381"/>
      <c r="JDU72" s="381"/>
      <c r="JDV72" s="381"/>
      <c r="JDW72" s="381"/>
      <c r="JDX72" s="381"/>
      <c r="JDY72" s="381"/>
      <c r="JDZ72" s="381"/>
      <c r="JEA72" s="381"/>
      <c r="JEB72" s="381"/>
      <c r="JEC72" s="381"/>
      <c r="JED72" s="381"/>
      <c r="JEE72" s="381"/>
      <c r="JEF72" s="381"/>
      <c r="JEG72" s="381"/>
      <c r="JEH72" s="381"/>
      <c r="JEI72" s="381"/>
      <c r="JEJ72" s="381"/>
      <c r="JEK72" s="379"/>
      <c r="JEL72" s="380"/>
      <c r="JEM72" s="380"/>
      <c r="JEN72" s="380"/>
      <c r="JEO72" s="381"/>
      <c r="JEP72" s="381"/>
      <c r="JEQ72" s="381"/>
      <c r="JER72" s="381"/>
      <c r="JES72" s="381"/>
      <c r="JET72" s="381"/>
      <c r="JEU72" s="381"/>
      <c r="JEV72" s="381"/>
      <c r="JEW72" s="381"/>
      <c r="JEX72" s="381"/>
      <c r="JEY72" s="381"/>
      <c r="JEZ72" s="381"/>
      <c r="JFA72" s="381"/>
      <c r="JFB72" s="381"/>
      <c r="JFC72" s="381"/>
      <c r="JFD72" s="381"/>
      <c r="JFE72" s="381"/>
      <c r="JFF72" s="381"/>
      <c r="JFG72" s="381"/>
      <c r="JFH72" s="381"/>
      <c r="JFI72" s="381"/>
      <c r="JFJ72" s="381"/>
      <c r="JFK72" s="381"/>
      <c r="JFL72" s="381"/>
      <c r="JFM72" s="381"/>
      <c r="JFN72" s="381"/>
      <c r="JFO72" s="379"/>
      <c r="JFP72" s="380"/>
      <c r="JFQ72" s="380"/>
      <c r="JFR72" s="380"/>
      <c r="JFS72" s="381"/>
      <c r="JFT72" s="381"/>
      <c r="JFU72" s="381"/>
      <c r="JFV72" s="381"/>
      <c r="JFW72" s="381"/>
      <c r="JFX72" s="381"/>
      <c r="JFY72" s="381"/>
      <c r="JFZ72" s="381"/>
      <c r="JGA72" s="381"/>
      <c r="JGB72" s="381"/>
      <c r="JGC72" s="381"/>
      <c r="JGD72" s="381"/>
      <c r="JGE72" s="381"/>
      <c r="JGF72" s="381"/>
      <c r="JGG72" s="381"/>
      <c r="JGH72" s="381"/>
      <c r="JGI72" s="381"/>
      <c r="JGJ72" s="381"/>
      <c r="JGK72" s="381"/>
      <c r="JGL72" s="381"/>
      <c r="JGM72" s="381"/>
      <c r="JGN72" s="381"/>
      <c r="JGO72" s="381"/>
      <c r="JGP72" s="381"/>
      <c r="JGQ72" s="381"/>
      <c r="JGR72" s="381"/>
      <c r="JGS72" s="379"/>
      <c r="JGT72" s="380"/>
      <c r="JGU72" s="380"/>
      <c r="JGV72" s="380"/>
      <c r="JGW72" s="381"/>
      <c r="JGX72" s="381"/>
      <c r="JGY72" s="381"/>
      <c r="JGZ72" s="381"/>
      <c r="JHA72" s="381"/>
      <c r="JHB72" s="381"/>
      <c r="JHC72" s="381"/>
      <c r="JHD72" s="381"/>
      <c r="JHE72" s="381"/>
      <c r="JHF72" s="381"/>
      <c r="JHG72" s="381"/>
      <c r="JHH72" s="381"/>
      <c r="JHI72" s="381"/>
      <c r="JHJ72" s="381"/>
      <c r="JHK72" s="381"/>
      <c r="JHL72" s="381"/>
      <c r="JHM72" s="381"/>
      <c r="JHN72" s="381"/>
      <c r="JHO72" s="381"/>
      <c r="JHP72" s="381"/>
      <c r="JHQ72" s="381"/>
      <c r="JHR72" s="381"/>
      <c r="JHS72" s="381"/>
      <c r="JHT72" s="381"/>
      <c r="JHU72" s="381"/>
      <c r="JHV72" s="381"/>
      <c r="JHW72" s="379"/>
      <c r="JHX72" s="380"/>
      <c r="JHY72" s="380"/>
      <c r="JHZ72" s="380"/>
      <c r="JIA72" s="381"/>
      <c r="JIB72" s="381"/>
      <c r="JIC72" s="381"/>
      <c r="JID72" s="381"/>
      <c r="JIE72" s="381"/>
      <c r="JIF72" s="381"/>
      <c r="JIG72" s="381"/>
      <c r="JIH72" s="381"/>
      <c r="JII72" s="381"/>
      <c r="JIJ72" s="381"/>
      <c r="JIK72" s="381"/>
      <c r="JIL72" s="381"/>
      <c r="JIM72" s="381"/>
      <c r="JIN72" s="381"/>
      <c r="JIO72" s="381"/>
      <c r="JIP72" s="381"/>
      <c r="JIQ72" s="381"/>
      <c r="JIR72" s="381"/>
      <c r="JIS72" s="381"/>
      <c r="JIT72" s="381"/>
      <c r="JIU72" s="381"/>
      <c r="JIV72" s="381"/>
      <c r="JIW72" s="381"/>
      <c r="JIX72" s="381"/>
      <c r="JIY72" s="381"/>
      <c r="JIZ72" s="381"/>
      <c r="JJA72" s="379"/>
      <c r="JJB72" s="380"/>
      <c r="JJC72" s="380"/>
      <c r="JJD72" s="380"/>
      <c r="JJE72" s="381"/>
      <c r="JJF72" s="381"/>
      <c r="JJG72" s="381"/>
      <c r="JJH72" s="381"/>
      <c r="JJI72" s="381"/>
      <c r="JJJ72" s="381"/>
      <c r="JJK72" s="381"/>
      <c r="JJL72" s="381"/>
      <c r="JJM72" s="381"/>
      <c r="JJN72" s="381"/>
      <c r="JJO72" s="381"/>
      <c r="JJP72" s="381"/>
      <c r="JJQ72" s="381"/>
      <c r="JJR72" s="381"/>
      <c r="JJS72" s="381"/>
      <c r="JJT72" s="381"/>
      <c r="JJU72" s="381"/>
      <c r="JJV72" s="381"/>
      <c r="JJW72" s="381"/>
      <c r="JJX72" s="381"/>
      <c r="JJY72" s="381"/>
      <c r="JJZ72" s="381"/>
      <c r="JKA72" s="381"/>
      <c r="JKB72" s="381"/>
      <c r="JKC72" s="381"/>
      <c r="JKD72" s="381"/>
      <c r="JKE72" s="379"/>
      <c r="JKF72" s="380"/>
      <c r="JKG72" s="380"/>
      <c r="JKH72" s="380"/>
      <c r="JKI72" s="381"/>
      <c r="JKJ72" s="381"/>
      <c r="JKK72" s="381"/>
      <c r="JKL72" s="381"/>
      <c r="JKM72" s="381"/>
      <c r="JKN72" s="381"/>
      <c r="JKO72" s="381"/>
      <c r="JKP72" s="381"/>
      <c r="JKQ72" s="381"/>
      <c r="JKR72" s="381"/>
      <c r="JKS72" s="381"/>
      <c r="JKT72" s="381"/>
      <c r="JKU72" s="381"/>
      <c r="JKV72" s="381"/>
      <c r="JKW72" s="381"/>
      <c r="JKX72" s="381"/>
      <c r="JKY72" s="381"/>
      <c r="JKZ72" s="381"/>
      <c r="JLA72" s="381"/>
      <c r="JLB72" s="381"/>
      <c r="JLC72" s="381"/>
      <c r="JLD72" s="381"/>
      <c r="JLE72" s="381"/>
      <c r="JLF72" s="381"/>
      <c r="JLG72" s="381"/>
      <c r="JLH72" s="381"/>
      <c r="JLI72" s="379"/>
      <c r="JLJ72" s="380"/>
      <c r="JLK72" s="380"/>
      <c r="JLL72" s="380"/>
      <c r="JLM72" s="381"/>
      <c r="JLN72" s="381"/>
      <c r="JLO72" s="381"/>
      <c r="JLP72" s="381"/>
      <c r="JLQ72" s="381"/>
      <c r="JLR72" s="381"/>
      <c r="JLS72" s="381"/>
      <c r="JLT72" s="381"/>
      <c r="JLU72" s="381"/>
      <c r="JLV72" s="381"/>
      <c r="JLW72" s="381"/>
      <c r="JLX72" s="381"/>
      <c r="JLY72" s="381"/>
      <c r="JLZ72" s="381"/>
      <c r="JMA72" s="381"/>
      <c r="JMB72" s="381"/>
      <c r="JMC72" s="381"/>
      <c r="JMD72" s="381"/>
      <c r="JME72" s="381"/>
      <c r="JMF72" s="381"/>
      <c r="JMG72" s="381"/>
      <c r="JMH72" s="381"/>
      <c r="JMI72" s="381"/>
      <c r="JMJ72" s="381"/>
      <c r="JMK72" s="381"/>
      <c r="JML72" s="381"/>
      <c r="JMM72" s="379"/>
      <c r="JMN72" s="380"/>
      <c r="JMO72" s="380"/>
      <c r="JMP72" s="380"/>
      <c r="JMQ72" s="381"/>
      <c r="JMR72" s="381"/>
      <c r="JMS72" s="381"/>
      <c r="JMT72" s="381"/>
      <c r="JMU72" s="381"/>
      <c r="JMV72" s="381"/>
      <c r="JMW72" s="381"/>
      <c r="JMX72" s="381"/>
      <c r="JMY72" s="381"/>
      <c r="JMZ72" s="381"/>
      <c r="JNA72" s="381"/>
      <c r="JNB72" s="381"/>
      <c r="JNC72" s="381"/>
      <c r="JND72" s="381"/>
      <c r="JNE72" s="381"/>
      <c r="JNF72" s="381"/>
      <c r="JNG72" s="381"/>
      <c r="JNH72" s="381"/>
      <c r="JNI72" s="381"/>
      <c r="JNJ72" s="381"/>
      <c r="JNK72" s="381"/>
      <c r="JNL72" s="381"/>
      <c r="JNM72" s="381"/>
      <c r="JNN72" s="381"/>
      <c r="JNO72" s="381"/>
      <c r="JNP72" s="381"/>
      <c r="JNQ72" s="379"/>
      <c r="JNR72" s="380"/>
      <c r="JNS72" s="380"/>
      <c r="JNT72" s="380"/>
      <c r="JNU72" s="381"/>
      <c r="JNV72" s="381"/>
      <c r="JNW72" s="381"/>
      <c r="JNX72" s="381"/>
      <c r="JNY72" s="381"/>
      <c r="JNZ72" s="381"/>
      <c r="JOA72" s="381"/>
      <c r="JOB72" s="381"/>
      <c r="JOC72" s="381"/>
      <c r="JOD72" s="381"/>
      <c r="JOE72" s="381"/>
      <c r="JOF72" s="381"/>
      <c r="JOG72" s="381"/>
      <c r="JOH72" s="381"/>
      <c r="JOI72" s="381"/>
      <c r="JOJ72" s="381"/>
      <c r="JOK72" s="381"/>
      <c r="JOL72" s="381"/>
      <c r="JOM72" s="381"/>
      <c r="JON72" s="381"/>
      <c r="JOO72" s="381"/>
      <c r="JOP72" s="381"/>
      <c r="JOQ72" s="381"/>
      <c r="JOR72" s="381"/>
      <c r="JOS72" s="381"/>
      <c r="JOT72" s="381"/>
      <c r="JOU72" s="379"/>
      <c r="JOV72" s="380"/>
      <c r="JOW72" s="380"/>
      <c r="JOX72" s="380"/>
      <c r="JOY72" s="381"/>
      <c r="JOZ72" s="381"/>
      <c r="JPA72" s="381"/>
      <c r="JPB72" s="381"/>
      <c r="JPC72" s="381"/>
      <c r="JPD72" s="381"/>
      <c r="JPE72" s="381"/>
      <c r="JPF72" s="381"/>
      <c r="JPG72" s="381"/>
      <c r="JPH72" s="381"/>
      <c r="JPI72" s="381"/>
      <c r="JPJ72" s="381"/>
      <c r="JPK72" s="381"/>
      <c r="JPL72" s="381"/>
      <c r="JPM72" s="381"/>
      <c r="JPN72" s="381"/>
      <c r="JPO72" s="381"/>
      <c r="JPP72" s="381"/>
      <c r="JPQ72" s="381"/>
      <c r="JPR72" s="381"/>
      <c r="JPS72" s="381"/>
      <c r="JPT72" s="381"/>
      <c r="JPU72" s="381"/>
      <c r="JPV72" s="381"/>
      <c r="JPW72" s="381"/>
      <c r="JPX72" s="381"/>
      <c r="JPY72" s="379"/>
      <c r="JPZ72" s="380"/>
      <c r="JQA72" s="380"/>
      <c r="JQB72" s="380"/>
      <c r="JQC72" s="381"/>
      <c r="JQD72" s="381"/>
      <c r="JQE72" s="381"/>
      <c r="JQF72" s="381"/>
      <c r="JQG72" s="381"/>
      <c r="JQH72" s="381"/>
      <c r="JQI72" s="381"/>
      <c r="JQJ72" s="381"/>
      <c r="JQK72" s="381"/>
      <c r="JQL72" s="381"/>
      <c r="JQM72" s="381"/>
      <c r="JQN72" s="381"/>
      <c r="JQO72" s="381"/>
      <c r="JQP72" s="381"/>
      <c r="JQQ72" s="381"/>
      <c r="JQR72" s="381"/>
      <c r="JQS72" s="381"/>
      <c r="JQT72" s="381"/>
      <c r="JQU72" s="381"/>
      <c r="JQV72" s="381"/>
      <c r="JQW72" s="381"/>
      <c r="JQX72" s="381"/>
      <c r="JQY72" s="381"/>
      <c r="JQZ72" s="381"/>
      <c r="JRA72" s="381"/>
      <c r="JRB72" s="381"/>
      <c r="JRC72" s="379"/>
      <c r="JRD72" s="380"/>
      <c r="JRE72" s="380"/>
      <c r="JRF72" s="380"/>
      <c r="JRG72" s="381"/>
      <c r="JRH72" s="381"/>
      <c r="JRI72" s="381"/>
      <c r="JRJ72" s="381"/>
      <c r="JRK72" s="381"/>
      <c r="JRL72" s="381"/>
      <c r="JRM72" s="381"/>
      <c r="JRN72" s="381"/>
      <c r="JRO72" s="381"/>
      <c r="JRP72" s="381"/>
      <c r="JRQ72" s="381"/>
      <c r="JRR72" s="381"/>
      <c r="JRS72" s="381"/>
      <c r="JRT72" s="381"/>
      <c r="JRU72" s="381"/>
      <c r="JRV72" s="381"/>
      <c r="JRW72" s="381"/>
      <c r="JRX72" s="381"/>
      <c r="JRY72" s="381"/>
      <c r="JRZ72" s="381"/>
      <c r="JSA72" s="381"/>
      <c r="JSB72" s="381"/>
      <c r="JSC72" s="381"/>
      <c r="JSD72" s="381"/>
      <c r="JSE72" s="381"/>
      <c r="JSF72" s="381"/>
      <c r="JSG72" s="379"/>
      <c r="JSH72" s="380"/>
      <c r="JSI72" s="380"/>
      <c r="JSJ72" s="380"/>
      <c r="JSK72" s="381"/>
      <c r="JSL72" s="381"/>
      <c r="JSM72" s="381"/>
      <c r="JSN72" s="381"/>
      <c r="JSO72" s="381"/>
      <c r="JSP72" s="381"/>
      <c r="JSQ72" s="381"/>
      <c r="JSR72" s="381"/>
      <c r="JSS72" s="381"/>
      <c r="JST72" s="381"/>
      <c r="JSU72" s="381"/>
      <c r="JSV72" s="381"/>
      <c r="JSW72" s="381"/>
      <c r="JSX72" s="381"/>
      <c r="JSY72" s="381"/>
      <c r="JSZ72" s="381"/>
      <c r="JTA72" s="381"/>
      <c r="JTB72" s="381"/>
      <c r="JTC72" s="381"/>
      <c r="JTD72" s="381"/>
      <c r="JTE72" s="381"/>
      <c r="JTF72" s="381"/>
      <c r="JTG72" s="381"/>
      <c r="JTH72" s="381"/>
      <c r="JTI72" s="381"/>
      <c r="JTJ72" s="381"/>
      <c r="JTK72" s="379"/>
      <c r="JTL72" s="380"/>
      <c r="JTM72" s="380"/>
      <c r="JTN72" s="380"/>
      <c r="JTO72" s="381"/>
      <c r="JTP72" s="381"/>
      <c r="JTQ72" s="381"/>
      <c r="JTR72" s="381"/>
      <c r="JTS72" s="381"/>
      <c r="JTT72" s="381"/>
      <c r="JTU72" s="381"/>
      <c r="JTV72" s="381"/>
      <c r="JTW72" s="381"/>
      <c r="JTX72" s="381"/>
      <c r="JTY72" s="381"/>
      <c r="JTZ72" s="381"/>
      <c r="JUA72" s="381"/>
      <c r="JUB72" s="381"/>
      <c r="JUC72" s="381"/>
      <c r="JUD72" s="381"/>
      <c r="JUE72" s="381"/>
      <c r="JUF72" s="381"/>
      <c r="JUG72" s="381"/>
      <c r="JUH72" s="381"/>
      <c r="JUI72" s="381"/>
      <c r="JUJ72" s="381"/>
      <c r="JUK72" s="381"/>
      <c r="JUL72" s="381"/>
      <c r="JUM72" s="381"/>
      <c r="JUN72" s="381"/>
      <c r="JUO72" s="379"/>
      <c r="JUP72" s="380"/>
      <c r="JUQ72" s="380"/>
      <c r="JUR72" s="380"/>
      <c r="JUS72" s="381"/>
      <c r="JUT72" s="381"/>
      <c r="JUU72" s="381"/>
      <c r="JUV72" s="381"/>
      <c r="JUW72" s="381"/>
      <c r="JUX72" s="381"/>
      <c r="JUY72" s="381"/>
      <c r="JUZ72" s="381"/>
      <c r="JVA72" s="381"/>
      <c r="JVB72" s="381"/>
      <c r="JVC72" s="381"/>
      <c r="JVD72" s="381"/>
      <c r="JVE72" s="381"/>
      <c r="JVF72" s="381"/>
      <c r="JVG72" s="381"/>
      <c r="JVH72" s="381"/>
      <c r="JVI72" s="381"/>
      <c r="JVJ72" s="381"/>
      <c r="JVK72" s="381"/>
      <c r="JVL72" s="381"/>
      <c r="JVM72" s="381"/>
      <c r="JVN72" s="381"/>
      <c r="JVO72" s="381"/>
      <c r="JVP72" s="381"/>
      <c r="JVQ72" s="381"/>
      <c r="JVR72" s="381"/>
      <c r="JVS72" s="379"/>
      <c r="JVT72" s="380"/>
      <c r="JVU72" s="380"/>
      <c r="JVV72" s="380"/>
      <c r="JVW72" s="381"/>
      <c r="JVX72" s="381"/>
      <c r="JVY72" s="381"/>
      <c r="JVZ72" s="381"/>
      <c r="JWA72" s="381"/>
      <c r="JWB72" s="381"/>
      <c r="JWC72" s="381"/>
      <c r="JWD72" s="381"/>
      <c r="JWE72" s="381"/>
      <c r="JWF72" s="381"/>
      <c r="JWG72" s="381"/>
      <c r="JWH72" s="381"/>
      <c r="JWI72" s="381"/>
      <c r="JWJ72" s="381"/>
      <c r="JWK72" s="381"/>
      <c r="JWL72" s="381"/>
      <c r="JWM72" s="381"/>
      <c r="JWN72" s="381"/>
      <c r="JWO72" s="381"/>
      <c r="JWP72" s="381"/>
      <c r="JWQ72" s="381"/>
      <c r="JWR72" s="381"/>
      <c r="JWS72" s="381"/>
      <c r="JWT72" s="381"/>
      <c r="JWU72" s="381"/>
      <c r="JWV72" s="381"/>
      <c r="JWW72" s="379"/>
      <c r="JWX72" s="380"/>
      <c r="JWY72" s="380"/>
      <c r="JWZ72" s="380"/>
      <c r="JXA72" s="381"/>
      <c r="JXB72" s="381"/>
      <c r="JXC72" s="381"/>
      <c r="JXD72" s="381"/>
      <c r="JXE72" s="381"/>
      <c r="JXF72" s="381"/>
      <c r="JXG72" s="381"/>
      <c r="JXH72" s="381"/>
      <c r="JXI72" s="381"/>
      <c r="JXJ72" s="381"/>
      <c r="JXK72" s="381"/>
      <c r="JXL72" s="381"/>
      <c r="JXM72" s="381"/>
      <c r="JXN72" s="381"/>
      <c r="JXO72" s="381"/>
      <c r="JXP72" s="381"/>
      <c r="JXQ72" s="381"/>
      <c r="JXR72" s="381"/>
      <c r="JXS72" s="381"/>
      <c r="JXT72" s="381"/>
      <c r="JXU72" s="381"/>
      <c r="JXV72" s="381"/>
      <c r="JXW72" s="381"/>
      <c r="JXX72" s="381"/>
      <c r="JXY72" s="381"/>
      <c r="JXZ72" s="381"/>
      <c r="JYA72" s="379"/>
      <c r="JYB72" s="380"/>
      <c r="JYC72" s="380"/>
      <c r="JYD72" s="380"/>
      <c r="JYE72" s="381"/>
      <c r="JYF72" s="381"/>
      <c r="JYG72" s="381"/>
      <c r="JYH72" s="381"/>
      <c r="JYI72" s="381"/>
      <c r="JYJ72" s="381"/>
      <c r="JYK72" s="381"/>
      <c r="JYL72" s="381"/>
      <c r="JYM72" s="381"/>
      <c r="JYN72" s="381"/>
      <c r="JYO72" s="381"/>
      <c r="JYP72" s="381"/>
      <c r="JYQ72" s="381"/>
      <c r="JYR72" s="381"/>
      <c r="JYS72" s="381"/>
      <c r="JYT72" s="381"/>
      <c r="JYU72" s="381"/>
      <c r="JYV72" s="381"/>
      <c r="JYW72" s="381"/>
      <c r="JYX72" s="381"/>
      <c r="JYY72" s="381"/>
      <c r="JYZ72" s="381"/>
      <c r="JZA72" s="381"/>
      <c r="JZB72" s="381"/>
      <c r="JZC72" s="381"/>
      <c r="JZD72" s="381"/>
      <c r="JZE72" s="379"/>
      <c r="JZF72" s="380"/>
      <c r="JZG72" s="380"/>
      <c r="JZH72" s="380"/>
      <c r="JZI72" s="381"/>
      <c r="JZJ72" s="381"/>
      <c r="JZK72" s="381"/>
      <c r="JZL72" s="381"/>
      <c r="JZM72" s="381"/>
      <c r="JZN72" s="381"/>
      <c r="JZO72" s="381"/>
      <c r="JZP72" s="381"/>
      <c r="JZQ72" s="381"/>
      <c r="JZR72" s="381"/>
      <c r="JZS72" s="381"/>
      <c r="JZT72" s="381"/>
      <c r="JZU72" s="381"/>
      <c r="JZV72" s="381"/>
      <c r="JZW72" s="381"/>
      <c r="JZX72" s="381"/>
      <c r="JZY72" s="381"/>
      <c r="JZZ72" s="381"/>
      <c r="KAA72" s="381"/>
      <c r="KAB72" s="381"/>
      <c r="KAC72" s="381"/>
      <c r="KAD72" s="381"/>
      <c r="KAE72" s="381"/>
      <c r="KAF72" s="381"/>
      <c r="KAG72" s="381"/>
      <c r="KAH72" s="381"/>
      <c r="KAI72" s="379"/>
      <c r="KAJ72" s="380"/>
      <c r="KAK72" s="380"/>
      <c r="KAL72" s="380"/>
      <c r="KAM72" s="381"/>
      <c r="KAN72" s="381"/>
      <c r="KAO72" s="381"/>
      <c r="KAP72" s="381"/>
      <c r="KAQ72" s="381"/>
      <c r="KAR72" s="381"/>
      <c r="KAS72" s="381"/>
      <c r="KAT72" s="381"/>
      <c r="KAU72" s="381"/>
      <c r="KAV72" s="381"/>
      <c r="KAW72" s="381"/>
      <c r="KAX72" s="381"/>
      <c r="KAY72" s="381"/>
      <c r="KAZ72" s="381"/>
      <c r="KBA72" s="381"/>
      <c r="KBB72" s="381"/>
      <c r="KBC72" s="381"/>
      <c r="KBD72" s="381"/>
      <c r="KBE72" s="381"/>
      <c r="KBF72" s="381"/>
      <c r="KBG72" s="381"/>
      <c r="KBH72" s="381"/>
      <c r="KBI72" s="381"/>
      <c r="KBJ72" s="381"/>
      <c r="KBK72" s="381"/>
      <c r="KBL72" s="381"/>
      <c r="KBM72" s="379"/>
      <c r="KBN72" s="380"/>
      <c r="KBO72" s="380"/>
      <c r="KBP72" s="380"/>
      <c r="KBQ72" s="381"/>
      <c r="KBR72" s="381"/>
      <c r="KBS72" s="381"/>
      <c r="KBT72" s="381"/>
      <c r="KBU72" s="381"/>
      <c r="KBV72" s="381"/>
      <c r="KBW72" s="381"/>
      <c r="KBX72" s="381"/>
      <c r="KBY72" s="381"/>
      <c r="KBZ72" s="381"/>
      <c r="KCA72" s="381"/>
      <c r="KCB72" s="381"/>
      <c r="KCC72" s="381"/>
      <c r="KCD72" s="381"/>
      <c r="KCE72" s="381"/>
      <c r="KCF72" s="381"/>
      <c r="KCG72" s="381"/>
      <c r="KCH72" s="381"/>
      <c r="KCI72" s="381"/>
      <c r="KCJ72" s="381"/>
      <c r="KCK72" s="381"/>
      <c r="KCL72" s="381"/>
      <c r="KCM72" s="381"/>
      <c r="KCN72" s="381"/>
      <c r="KCO72" s="381"/>
      <c r="KCP72" s="381"/>
      <c r="KCQ72" s="379"/>
      <c r="KCR72" s="380"/>
      <c r="KCS72" s="380"/>
      <c r="KCT72" s="380"/>
      <c r="KCU72" s="381"/>
      <c r="KCV72" s="381"/>
      <c r="KCW72" s="381"/>
      <c r="KCX72" s="381"/>
      <c r="KCY72" s="381"/>
      <c r="KCZ72" s="381"/>
      <c r="KDA72" s="381"/>
      <c r="KDB72" s="381"/>
      <c r="KDC72" s="381"/>
      <c r="KDD72" s="381"/>
      <c r="KDE72" s="381"/>
      <c r="KDF72" s="381"/>
      <c r="KDG72" s="381"/>
      <c r="KDH72" s="381"/>
      <c r="KDI72" s="381"/>
      <c r="KDJ72" s="381"/>
      <c r="KDK72" s="381"/>
      <c r="KDL72" s="381"/>
      <c r="KDM72" s="381"/>
      <c r="KDN72" s="381"/>
      <c r="KDO72" s="381"/>
      <c r="KDP72" s="381"/>
      <c r="KDQ72" s="381"/>
      <c r="KDR72" s="381"/>
      <c r="KDS72" s="381"/>
      <c r="KDT72" s="381"/>
      <c r="KDU72" s="379"/>
      <c r="KDV72" s="380"/>
      <c r="KDW72" s="380"/>
      <c r="KDX72" s="380"/>
      <c r="KDY72" s="381"/>
      <c r="KDZ72" s="381"/>
      <c r="KEA72" s="381"/>
      <c r="KEB72" s="381"/>
      <c r="KEC72" s="381"/>
      <c r="KED72" s="381"/>
      <c r="KEE72" s="381"/>
      <c r="KEF72" s="381"/>
      <c r="KEG72" s="381"/>
      <c r="KEH72" s="381"/>
      <c r="KEI72" s="381"/>
      <c r="KEJ72" s="381"/>
      <c r="KEK72" s="381"/>
      <c r="KEL72" s="381"/>
      <c r="KEM72" s="381"/>
      <c r="KEN72" s="381"/>
      <c r="KEO72" s="381"/>
      <c r="KEP72" s="381"/>
      <c r="KEQ72" s="381"/>
      <c r="KER72" s="381"/>
      <c r="KES72" s="381"/>
      <c r="KET72" s="381"/>
      <c r="KEU72" s="381"/>
      <c r="KEV72" s="381"/>
      <c r="KEW72" s="381"/>
      <c r="KEX72" s="381"/>
      <c r="KEY72" s="379"/>
      <c r="KEZ72" s="380"/>
      <c r="KFA72" s="380"/>
      <c r="KFB72" s="380"/>
      <c r="KFC72" s="381"/>
      <c r="KFD72" s="381"/>
      <c r="KFE72" s="381"/>
      <c r="KFF72" s="381"/>
      <c r="KFG72" s="381"/>
      <c r="KFH72" s="381"/>
      <c r="KFI72" s="381"/>
      <c r="KFJ72" s="381"/>
      <c r="KFK72" s="381"/>
      <c r="KFL72" s="381"/>
      <c r="KFM72" s="381"/>
      <c r="KFN72" s="381"/>
      <c r="KFO72" s="381"/>
      <c r="KFP72" s="381"/>
      <c r="KFQ72" s="381"/>
      <c r="KFR72" s="381"/>
      <c r="KFS72" s="381"/>
      <c r="KFT72" s="381"/>
      <c r="KFU72" s="381"/>
      <c r="KFV72" s="381"/>
      <c r="KFW72" s="381"/>
      <c r="KFX72" s="381"/>
      <c r="KFY72" s="381"/>
      <c r="KFZ72" s="381"/>
      <c r="KGA72" s="381"/>
      <c r="KGB72" s="381"/>
      <c r="KGC72" s="379"/>
      <c r="KGD72" s="380"/>
      <c r="KGE72" s="380"/>
      <c r="KGF72" s="380"/>
      <c r="KGG72" s="381"/>
      <c r="KGH72" s="381"/>
      <c r="KGI72" s="381"/>
      <c r="KGJ72" s="381"/>
      <c r="KGK72" s="381"/>
      <c r="KGL72" s="381"/>
      <c r="KGM72" s="381"/>
      <c r="KGN72" s="381"/>
      <c r="KGO72" s="381"/>
      <c r="KGP72" s="381"/>
      <c r="KGQ72" s="381"/>
      <c r="KGR72" s="381"/>
      <c r="KGS72" s="381"/>
      <c r="KGT72" s="381"/>
      <c r="KGU72" s="381"/>
      <c r="KGV72" s="381"/>
      <c r="KGW72" s="381"/>
      <c r="KGX72" s="381"/>
      <c r="KGY72" s="381"/>
      <c r="KGZ72" s="381"/>
      <c r="KHA72" s="381"/>
      <c r="KHB72" s="381"/>
      <c r="KHC72" s="381"/>
      <c r="KHD72" s="381"/>
      <c r="KHE72" s="381"/>
      <c r="KHF72" s="381"/>
      <c r="KHG72" s="379"/>
      <c r="KHH72" s="380"/>
      <c r="KHI72" s="380"/>
      <c r="KHJ72" s="380"/>
      <c r="KHK72" s="381"/>
      <c r="KHL72" s="381"/>
      <c r="KHM72" s="381"/>
      <c r="KHN72" s="381"/>
      <c r="KHO72" s="381"/>
      <c r="KHP72" s="381"/>
      <c r="KHQ72" s="381"/>
      <c r="KHR72" s="381"/>
      <c r="KHS72" s="381"/>
      <c r="KHT72" s="381"/>
      <c r="KHU72" s="381"/>
      <c r="KHV72" s="381"/>
      <c r="KHW72" s="381"/>
      <c r="KHX72" s="381"/>
      <c r="KHY72" s="381"/>
      <c r="KHZ72" s="381"/>
      <c r="KIA72" s="381"/>
      <c r="KIB72" s="381"/>
      <c r="KIC72" s="381"/>
      <c r="KID72" s="381"/>
      <c r="KIE72" s="381"/>
      <c r="KIF72" s="381"/>
      <c r="KIG72" s="381"/>
      <c r="KIH72" s="381"/>
      <c r="KII72" s="381"/>
      <c r="KIJ72" s="381"/>
      <c r="KIK72" s="379"/>
      <c r="KIL72" s="380"/>
      <c r="KIM72" s="380"/>
      <c r="KIN72" s="380"/>
      <c r="KIO72" s="381"/>
      <c r="KIP72" s="381"/>
      <c r="KIQ72" s="381"/>
      <c r="KIR72" s="381"/>
      <c r="KIS72" s="381"/>
      <c r="KIT72" s="381"/>
      <c r="KIU72" s="381"/>
      <c r="KIV72" s="381"/>
      <c r="KIW72" s="381"/>
      <c r="KIX72" s="381"/>
      <c r="KIY72" s="381"/>
      <c r="KIZ72" s="381"/>
      <c r="KJA72" s="381"/>
      <c r="KJB72" s="381"/>
      <c r="KJC72" s="381"/>
      <c r="KJD72" s="381"/>
      <c r="KJE72" s="381"/>
      <c r="KJF72" s="381"/>
      <c r="KJG72" s="381"/>
      <c r="KJH72" s="381"/>
      <c r="KJI72" s="381"/>
      <c r="KJJ72" s="381"/>
      <c r="KJK72" s="381"/>
      <c r="KJL72" s="381"/>
      <c r="KJM72" s="381"/>
      <c r="KJN72" s="381"/>
      <c r="KJO72" s="379"/>
      <c r="KJP72" s="380"/>
      <c r="KJQ72" s="380"/>
      <c r="KJR72" s="380"/>
      <c r="KJS72" s="381"/>
      <c r="KJT72" s="381"/>
      <c r="KJU72" s="381"/>
      <c r="KJV72" s="381"/>
      <c r="KJW72" s="381"/>
      <c r="KJX72" s="381"/>
      <c r="KJY72" s="381"/>
      <c r="KJZ72" s="381"/>
      <c r="KKA72" s="381"/>
      <c r="KKB72" s="381"/>
      <c r="KKC72" s="381"/>
      <c r="KKD72" s="381"/>
      <c r="KKE72" s="381"/>
      <c r="KKF72" s="381"/>
      <c r="KKG72" s="381"/>
      <c r="KKH72" s="381"/>
      <c r="KKI72" s="381"/>
      <c r="KKJ72" s="381"/>
      <c r="KKK72" s="381"/>
      <c r="KKL72" s="381"/>
      <c r="KKM72" s="381"/>
      <c r="KKN72" s="381"/>
      <c r="KKO72" s="381"/>
      <c r="KKP72" s="381"/>
      <c r="KKQ72" s="381"/>
      <c r="KKR72" s="381"/>
      <c r="KKS72" s="379"/>
      <c r="KKT72" s="380"/>
      <c r="KKU72" s="380"/>
      <c r="KKV72" s="380"/>
      <c r="KKW72" s="381"/>
      <c r="KKX72" s="381"/>
      <c r="KKY72" s="381"/>
      <c r="KKZ72" s="381"/>
      <c r="KLA72" s="381"/>
      <c r="KLB72" s="381"/>
      <c r="KLC72" s="381"/>
      <c r="KLD72" s="381"/>
      <c r="KLE72" s="381"/>
      <c r="KLF72" s="381"/>
      <c r="KLG72" s="381"/>
      <c r="KLH72" s="381"/>
      <c r="KLI72" s="381"/>
      <c r="KLJ72" s="381"/>
      <c r="KLK72" s="381"/>
      <c r="KLL72" s="381"/>
      <c r="KLM72" s="381"/>
      <c r="KLN72" s="381"/>
      <c r="KLO72" s="381"/>
      <c r="KLP72" s="381"/>
      <c r="KLQ72" s="381"/>
      <c r="KLR72" s="381"/>
      <c r="KLS72" s="381"/>
      <c r="KLT72" s="381"/>
      <c r="KLU72" s="381"/>
      <c r="KLV72" s="381"/>
      <c r="KLW72" s="379"/>
      <c r="KLX72" s="380"/>
      <c r="KLY72" s="380"/>
      <c r="KLZ72" s="380"/>
      <c r="KMA72" s="381"/>
      <c r="KMB72" s="381"/>
      <c r="KMC72" s="381"/>
      <c r="KMD72" s="381"/>
      <c r="KME72" s="381"/>
      <c r="KMF72" s="381"/>
      <c r="KMG72" s="381"/>
      <c r="KMH72" s="381"/>
      <c r="KMI72" s="381"/>
      <c r="KMJ72" s="381"/>
      <c r="KMK72" s="381"/>
      <c r="KML72" s="381"/>
      <c r="KMM72" s="381"/>
      <c r="KMN72" s="381"/>
      <c r="KMO72" s="381"/>
      <c r="KMP72" s="381"/>
      <c r="KMQ72" s="381"/>
      <c r="KMR72" s="381"/>
      <c r="KMS72" s="381"/>
      <c r="KMT72" s="381"/>
      <c r="KMU72" s="381"/>
      <c r="KMV72" s="381"/>
      <c r="KMW72" s="381"/>
      <c r="KMX72" s="381"/>
      <c r="KMY72" s="381"/>
      <c r="KMZ72" s="381"/>
      <c r="KNA72" s="379"/>
      <c r="KNB72" s="380"/>
      <c r="KNC72" s="380"/>
      <c r="KND72" s="380"/>
      <c r="KNE72" s="381"/>
      <c r="KNF72" s="381"/>
      <c r="KNG72" s="381"/>
      <c r="KNH72" s="381"/>
      <c r="KNI72" s="381"/>
      <c r="KNJ72" s="381"/>
      <c r="KNK72" s="381"/>
      <c r="KNL72" s="381"/>
      <c r="KNM72" s="381"/>
      <c r="KNN72" s="381"/>
      <c r="KNO72" s="381"/>
      <c r="KNP72" s="381"/>
      <c r="KNQ72" s="381"/>
      <c r="KNR72" s="381"/>
      <c r="KNS72" s="381"/>
      <c r="KNT72" s="381"/>
      <c r="KNU72" s="381"/>
      <c r="KNV72" s="381"/>
      <c r="KNW72" s="381"/>
      <c r="KNX72" s="381"/>
      <c r="KNY72" s="381"/>
      <c r="KNZ72" s="381"/>
      <c r="KOA72" s="381"/>
      <c r="KOB72" s="381"/>
      <c r="KOC72" s="381"/>
      <c r="KOD72" s="381"/>
      <c r="KOE72" s="379"/>
      <c r="KOF72" s="380"/>
      <c r="KOG72" s="380"/>
      <c r="KOH72" s="380"/>
      <c r="KOI72" s="381"/>
      <c r="KOJ72" s="381"/>
      <c r="KOK72" s="381"/>
      <c r="KOL72" s="381"/>
      <c r="KOM72" s="381"/>
      <c r="KON72" s="381"/>
      <c r="KOO72" s="381"/>
      <c r="KOP72" s="381"/>
      <c r="KOQ72" s="381"/>
      <c r="KOR72" s="381"/>
      <c r="KOS72" s="381"/>
      <c r="KOT72" s="381"/>
      <c r="KOU72" s="381"/>
      <c r="KOV72" s="381"/>
      <c r="KOW72" s="381"/>
      <c r="KOX72" s="381"/>
      <c r="KOY72" s="381"/>
      <c r="KOZ72" s="381"/>
      <c r="KPA72" s="381"/>
      <c r="KPB72" s="381"/>
      <c r="KPC72" s="381"/>
      <c r="KPD72" s="381"/>
      <c r="KPE72" s="381"/>
      <c r="KPF72" s="381"/>
      <c r="KPG72" s="381"/>
      <c r="KPH72" s="381"/>
      <c r="KPI72" s="379"/>
      <c r="KPJ72" s="380"/>
      <c r="KPK72" s="380"/>
      <c r="KPL72" s="380"/>
      <c r="KPM72" s="381"/>
      <c r="KPN72" s="381"/>
      <c r="KPO72" s="381"/>
      <c r="KPP72" s="381"/>
      <c r="KPQ72" s="381"/>
      <c r="KPR72" s="381"/>
      <c r="KPS72" s="381"/>
      <c r="KPT72" s="381"/>
      <c r="KPU72" s="381"/>
      <c r="KPV72" s="381"/>
      <c r="KPW72" s="381"/>
      <c r="KPX72" s="381"/>
      <c r="KPY72" s="381"/>
      <c r="KPZ72" s="381"/>
      <c r="KQA72" s="381"/>
      <c r="KQB72" s="381"/>
      <c r="KQC72" s="381"/>
      <c r="KQD72" s="381"/>
      <c r="KQE72" s="381"/>
      <c r="KQF72" s="381"/>
      <c r="KQG72" s="381"/>
      <c r="KQH72" s="381"/>
      <c r="KQI72" s="381"/>
      <c r="KQJ72" s="381"/>
      <c r="KQK72" s="381"/>
      <c r="KQL72" s="381"/>
      <c r="KQM72" s="379"/>
      <c r="KQN72" s="380"/>
      <c r="KQO72" s="380"/>
      <c r="KQP72" s="380"/>
      <c r="KQQ72" s="381"/>
      <c r="KQR72" s="381"/>
      <c r="KQS72" s="381"/>
      <c r="KQT72" s="381"/>
      <c r="KQU72" s="381"/>
      <c r="KQV72" s="381"/>
      <c r="KQW72" s="381"/>
      <c r="KQX72" s="381"/>
      <c r="KQY72" s="381"/>
      <c r="KQZ72" s="381"/>
      <c r="KRA72" s="381"/>
      <c r="KRB72" s="381"/>
      <c r="KRC72" s="381"/>
      <c r="KRD72" s="381"/>
      <c r="KRE72" s="381"/>
      <c r="KRF72" s="381"/>
      <c r="KRG72" s="381"/>
      <c r="KRH72" s="381"/>
      <c r="KRI72" s="381"/>
      <c r="KRJ72" s="381"/>
      <c r="KRK72" s="381"/>
      <c r="KRL72" s="381"/>
      <c r="KRM72" s="381"/>
      <c r="KRN72" s="381"/>
      <c r="KRO72" s="381"/>
      <c r="KRP72" s="381"/>
      <c r="KRQ72" s="379"/>
      <c r="KRR72" s="380"/>
      <c r="KRS72" s="380"/>
      <c r="KRT72" s="380"/>
      <c r="KRU72" s="381"/>
      <c r="KRV72" s="381"/>
      <c r="KRW72" s="381"/>
      <c r="KRX72" s="381"/>
      <c r="KRY72" s="381"/>
      <c r="KRZ72" s="381"/>
      <c r="KSA72" s="381"/>
      <c r="KSB72" s="381"/>
      <c r="KSC72" s="381"/>
      <c r="KSD72" s="381"/>
      <c r="KSE72" s="381"/>
      <c r="KSF72" s="381"/>
      <c r="KSG72" s="381"/>
      <c r="KSH72" s="381"/>
      <c r="KSI72" s="381"/>
      <c r="KSJ72" s="381"/>
      <c r="KSK72" s="381"/>
      <c r="KSL72" s="381"/>
      <c r="KSM72" s="381"/>
      <c r="KSN72" s="381"/>
      <c r="KSO72" s="381"/>
      <c r="KSP72" s="381"/>
      <c r="KSQ72" s="381"/>
      <c r="KSR72" s="381"/>
      <c r="KSS72" s="381"/>
      <c r="KST72" s="381"/>
      <c r="KSU72" s="379"/>
      <c r="KSV72" s="380"/>
      <c r="KSW72" s="380"/>
      <c r="KSX72" s="380"/>
      <c r="KSY72" s="381"/>
      <c r="KSZ72" s="381"/>
      <c r="KTA72" s="381"/>
      <c r="KTB72" s="381"/>
      <c r="KTC72" s="381"/>
      <c r="KTD72" s="381"/>
      <c r="KTE72" s="381"/>
      <c r="KTF72" s="381"/>
      <c r="KTG72" s="381"/>
      <c r="KTH72" s="381"/>
      <c r="KTI72" s="381"/>
      <c r="KTJ72" s="381"/>
      <c r="KTK72" s="381"/>
      <c r="KTL72" s="381"/>
      <c r="KTM72" s="381"/>
      <c r="KTN72" s="381"/>
      <c r="KTO72" s="381"/>
      <c r="KTP72" s="381"/>
      <c r="KTQ72" s="381"/>
      <c r="KTR72" s="381"/>
      <c r="KTS72" s="381"/>
      <c r="KTT72" s="381"/>
      <c r="KTU72" s="381"/>
      <c r="KTV72" s="381"/>
      <c r="KTW72" s="381"/>
      <c r="KTX72" s="381"/>
      <c r="KTY72" s="379"/>
      <c r="KTZ72" s="380"/>
      <c r="KUA72" s="380"/>
      <c r="KUB72" s="380"/>
      <c r="KUC72" s="381"/>
      <c r="KUD72" s="381"/>
      <c r="KUE72" s="381"/>
      <c r="KUF72" s="381"/>
      <c r="KUG72" s="381"/>
      <c r="KUH72" s="381"/>
      <c r="KUI72" s="381"/>
      <c r="KUJ72" s="381"/>
      <c r="KUK72" s="381"/>
      <c r="KUL72" s="381"/>
      <c r="KUM72" s="381"/>
      <c r="KUN72" s="381"/>
      <c r="KUO72" s="381"/>
      <c r="KUP72" s="381"/>
      <c r="KUQ72" s="381"/>
      <c r="KUR72" s="381"/>
      <c r="KUS72" s="381"/>
      <c r="KUT72" s="381"/>
      <c r="KUU72" s="381"/>
      <c r="KUV72" s="381"/>
      <c r="KUW72" s="381"/>
      <c r="KUX72" s="381"/>
      <c r="KUY72" s="381"/>
      <c r="KUZ72" s="381"/>
      <c r="KVA72" s="381"/>
      <c r="KVB72" s="381"/>
      <c r="KVC72" s="379"/>
      <c r="KVD72" s="380"/>
      <c r="KVE72" s="380"/>
      <c r="KVF72" s="380"/>
      <c r="KVG72" s="381"/>
      <c r="KVH72" s="381"/>
      <c r="KVI72" s="381"/>
      <c r="KVJ72" s="381"/>
      <c r="KVK72" s="381"/>
      <c r="KVL72" s="381"/>
      <c r="KVM72" s="381"/>
      <c r="KVN72" s="381"/>
      <c r="KVO72" s="381"/>
      <c r="KVP72" s="381"/>
      <c r="KVQ72" s="381"/>
      <c r="KVR72" s="381"/>
      <c r="KVS72" s="381"/>
      <c r="KVT72" s="381"/>
      <c r="KVU72" s="381"/>
      <c r="KVV72" s="381"/>
      <c r="KVW72" s="381"/>
      <c r="KVX72" s="381"/>
      <c r="KVY72" s="381"/>
      <c r="KVZ72" s="381"/>
      <c r="KWA72" s="381"/>
      <c r="KWB72" s="381"/>
      <c r="KWC72" s="381"/>
      <c r="KWD72" s="381"/>
      <c r="KWE72" s="381"/>
      <c r="KWF72" s="381"/>
      <c r="KWG72" s="379"/>
      <c r="KWH72" s="380"/>
      <c r="KWI72" s="380"/>
      <c r="KWJ72" s="380"/>
      <c r="KWK72" s="381"/>
      <c r="KWL72" s="381"/>
      <c r="KWM72" s="381"/>
      <c r="KWN72" s="381"/>
      <c r="KWO72" s="381"/>
      <c r="KWP72" s="381"/>
      <c r="KWQ72" s="381"/>
      <c r="KWR72" s="381"/>
      <c r="KWS72" s="381"/>
      <c r="KWT72" s="381"/>
      <c r="KWU72" s="381"/>
      <c r="KWV72" s="381"/>
      <c r="KWW72" s="381"/>
      <c r="KWX72" s="381"/>
      <c r="KWY72" s="381"/>
      <c r="KWZ72" s="381"/>
      <c r="KXA72" s="381"/>
      <c r="KXB72" s="381"/>
      <c r="KXC72" s="381"/>
      <c r="KXD72" s="381"/>
      <c r="KXE72" s="381"/>
      <c r="KXF72" s="381"/>
      <c r="KXG72" s="381"/>
      <c r="KXH72" s="381"/>
      <c r="KXI72" s="381"/>
      <c r="KXJ72" s="381"/>
      <c r="KXK72" s="379"/>
      <c r="KXL72" s="380"/>
      <c r="KXM72" s="380"/>
      <c r="KXN72" s="380"/>
      <c r="KXO72" s="381"/>
      <c r="KXP72" s="381"/>
      <c r="KXQ72" s="381"/>
      <c r="KXR72" s="381"/>
      <c r="KXS72" s="381"/>
      <c r="KXT72" s="381"/>
      <c r="KXU72" s="381"/>
      <c r="KXV72" s="381"/>
      <c r="KXW72" s="381"/>
      <c r="KXX72" s="381"/>
      <c r="KXY72" s="381"/>
      <c r="KXZ72" s="381"/>
      <c r="KYA72" s="381"/>
      <c r="KYB72" s="381"/>
      <c r="KYC72" s="381"/>
      <c r="KYD72" s="381"/>
      <c r="KYE72" s="381"/>
      <c r="KYF72" s="381"/>
      <c r="KYG72" s="381"/>
      <c r="KYH72" s="381"/>
      <c r="KYI72" s="381"/>
      <c r="KYJ72" s="381"/>
      <c r="KYK72" s="381"/>
      <c r="KYL72" s="381"/>
      <c r="KYM72" s="381"/>
      <c r="KYN72" s="381"/>
      <c r="KYO72" s="379"/>
      <c r="KYP72" s="380"/>
      <c r="KYQ72" s="380"/>
      <c r="KYR72" s="380"/>
      <c r="KYS72" s="381"/>
      <c r="KYT72" s="381"/>
      <c r="KYU72" s="381"/>
      <c r="KYV72" s="381"/>
      <c r="KYW72" s="381"/>
      <c r="KYX72" s="381"/>
      <c r="KYY72" s="381"/>
      <c r="KYZ72" s="381"/>
      <c r="KZA72" s="381"/>
      <c r="KZB72" s="381"/>
      <c r="KZC72" s="381"/>
      <c r="KZD72" s="381"/>
      <c r="KZE72" s="381"/>
      <c r="KZF72" s="381"/>
      <c r="KZG72" s="381"/>
      <c r="KZH72" s="381"/>
      <c r="KZI72" s="381"/>
      <c r="KZJ72" s="381"/>
      <c r="KZK72" s="381"/>
      <c r="KZL72" s="381"/>
      <c r="KZM72" s="381"/>
      <c r="KZN72" s="381"/>
      <c r="KZO72" s="381"/>
      <c r="KZP72" s="381"/>
      <c r="KZQ72" s="381"/>
      <c r="KZR72" s="381"/>
      <c r="KZS72" s="379"/>
      <c r="KZT72" s="380"/>
      <c r="KZU72" s="380"/>
      <c r="KZV72" s="380"/>
      <c r="KZW72" s="381"/>
      <c r="KZX72" s="381"/>
      <c r="KZY72" s="381"/>
      <c r="KZZ72" s="381"/>
      <c r="LAA72" s="381"/>
      <c r="LAB72" s="381"/>
      <c r="LAC72" s="381"/>
      <c r="LAD72" s="381"/>
      <c r="LAE72" s="381"/>
      <c r="LAF72" s="381"/>
      <c r="LAG72" s="381"/>
      <c r="LAH72" s="381"/>
      <c r="LAI72" s="381"/>
      <c r="LAJ72" s="381"/>
      <c r="LAK72" s="381"/>
      <c r="LAL72" s="381"/>
      <c r="LAM72" s="381"/>
      <c r="LAN72" s="381"/>
      <c r="LAO72" s="381"/>
      <c r="LAP72" s="381"/>
      <c r="LAQ72" s="381"/>
      <c r="LAR72" s="381"/>
      <c r="LAS72" s="381"/>
      <c r="LAT72" s="381"/>
      <c r="LAU72" s="381"/>
      <c r="LAV72" s="381"/>
      <c r="LAW72" s="379"/>
      <c r="LAX72" s="380"/>
      <c r="LAY72" s="380"/>
      <c r="LAZ72" s="380"/>
      <c r="LBA72" s="381"/>
      <c r="LBB72" s="381"/>
      <c r="LBC72" s="381"/>
      <c r="LBD72" s="381"/>
      <c r="LBE72" s="381"/>
      <c r="LBF72" s="381"/>
      <c r="LBG72" s="381"/>
      <c r="LBH72" s="381"/>
      <c r="LBI72" s="381"/>
      <c r="LBJ72" s="381"/>
      <c r="LBK72" s="381"/>
      <c r="LBL72" s="381"/>
      <c r="LBM72" s="381"/>
      <c r="LBN72" s="381"/>
      <c r="LBO72" s="381"/>
      <c r="LBP72" s="381"/>
      <c r="LBQ72" s="381"/>
      <c r="LBR72" s="381"/>
      <c r="LBS72" s="381"/>
      <c r="LBT72" s="381"/>
      <c r="LBU72" s="381"/>
      <c r="LBV72" s="381"/>
      <c r="LBW72" s="381"/>
      <c r="LBX72" s="381"/>
      <c r="LBY72" s="381"/>
      <c r="LBZ72" s="381"/>
      <c r="LCA72" s="379"/>
      <c r="LCB72" s="380"/>
      <c r="LCC72" s="380"/>
      <c r="LCD72" s="380"/>
      <c r="LCE72" s="381"/>
      <c r="LCF72" s="381"/>
      <c r="LCG72" s="381"/>
      <c r="LCH72" s="381"/>
      <c r="LCI72" s="381"/>
      <c r="LCJ72" s="381"/>
      <c r="LCK72" s="381"/>
      <c r="LCL72" s="381"/>
      <c r="LCM72" s="381"/>
      <c r="LCN72" s="381"/>
      <c r="LCO72" s="381"/>
      <c r="LCP72" s="381"/>
      <c r="LCQ72" s="381"/>
      <c r="LCR72" s="381"/>
      <c r="LCS72" s="381"/>
      <c r="LCT72" s="381"/>
      <c r="LCU72" s="381"/>
      <c r="LCV72" s="381"/>
      <c r="LCW72" s="381"/>
      <c r="LCX72" s="381"/>
      <c r="LCY72" s="381"/>
      <c r="LCZ72" s="381"/>
      <c r="LDA72" s="381"/>
      <c r="LDB72" s="381"/>
      <c r="LDC72" s="381"/>
      <c r="LDD72" s="381"/>
      <c r="LDE72" s="379"/>
      <c r="LDF72" s="380"/>
      <c r="LDG72" s="380"/>
      <c r="LDH72" s="380"/>
      <c r="LDI72" s="381"/>
      <c r="LDJ72" s="381"/>
      <c r="LDK72" s="381"/>
      <c r="LDL72" s="381"/>
      <c r="LDM72" s="381"/>
      <c r="LDN72" s="381"/>
      <c r="LDO72" s="381"/>
      <c r="LDP72" s="381"/>
      <c r="LDQ72" s="381"/>
      <c r="LDR72" s="381"/>
      <c r="LDS72" s="381"/>
      <c r="LDT72" s="381"/>
      <c r="LDU72" s="381"/>
      <c r="LDV72" s="381"/>
      <c r="LDW72" s="381"/>
      <c r="LDX72" s="381"/>
      <c r="LDY72" s="381"/>
      <c r="LDZ72" s="381"/>
      <c r="LEA72" s="381"/>
      <c r="LEB72" s="381"/>
      <c r="LEC72" s="381"/>
      <c r="LED72" s="381"/>
      <c r="LEE72" s="381"/>
      <c r="LEF72" s="381"/>
      <c r="LEG72" s="381"/>
      <c r="LEH72" s="381"/>
      <c r="LEI72" s="379"/>
      <c r="LEJ72" s="380"/>
      <c r="LEK72" s="380"/>
      <c r="LEL72" s="380"/>
      <c r="LEM72" s="381"/>
      <c r="LEN72" s="381"/>
      <c r="LEO72" s="381"/>
      <c r="LEP72" s="381"/>
      <c r="LEQ72" s="381"/>
      <c r="LER72" s="381"/>
      <c r="LES72" s="381"/>
      <c r="LET72" s="381"/>
      <c r="LEU72" s="381"/>
      <c r="LEV72" s="381"/>
      <c r="LEW72" s="381"/>
      <c r="LEX72" s="381"/>
      <c r="LEY72" s="381"/>
      <c r="LEZ72" s="381"/>
      <c r="LFA72" s="381"/>
      <c r="LFB72" s="381"/>
      <c r="LFC72" s="381"/>
      <c r="LFD72" s="381"/>
      <c r="LFE72" s="381"/>
      <c r="LFF72" s="381"/>
      <c r="LFG72" s="381"/>
      <c r="LFH72" s="381"/>
      <c r="LFI72" s="381"/>
      <c r="LFJ72" s="381"/>
      <c r="LFK72" s="381"/>
      <c r="LFL72" s="381"/>
      <c r="LFM72" s="379"/>
      <c r="LFN72" s="380"/>
      <c r="LFO72" s="380"/>
      <c r="LFP72" s="380"/>
      <c r="LFQ72" s="381"/>
      <c r="LFR72" s="381"/>
      <c r="LFS72" s="381"/>
      <c r="LFT72" s="381"/>
      <c r="LFU72" s="381"/>
      <c r="LFV72" s="381"/>
      <c r="LFW72" s="381"/>
      <c r="LFX72" s="381"/>
      <c r="LFY72" s="381"/>
      <c r="LFZ72" s="381"/>
      <c r="LGA72" s="381"/>
      <c r="LGB72" s="381"/>
      <c r="LGC72" s="381"/>
      <c r="LGD72" s="381"/>
      <c r="LGE72" s="381"/>
      <c r="LGF72" s="381"/>
      <c r="LGG72" s="381"/>
      <c r="LGH72" s="381"/>
      <c r="LGI72" s="381"/>
      <c r="LGJ72" s="381"/>
      <c r="LGK72" s="381"/>
      <c r="LGL72" s="381"/>
      <c r="LGM72" s="381"/>
      <c r="LGN72" s="381"/>
      <c r="LGO72" s="381"/>
      <c r="LGP72" s="381"/>
      <c r="LGQ72" s="379"/>
      <c r="LGR72" s="380"/>
      <c r="LGS72" s="380"/>
      <c r="LGT72" s="380"/>
      <c r="LGU72" s="381"/>
      <c r="LGV72" s="381"/>
      <c r="LGW72" s="381"/>
      <c r="LGX72" s="381"/>
      <c r="LGY72" s="381"/>
      <c r="LGZ72" s="381"/>
      <c r="LHA72" s="381"/>
      <c r="LHB72" s="381"/>
      <c r="LHC72" s="381"/>
      <c r="LHD72" s="381"/>
      <c r="LHE72" s="381"/>
      <c r="LHF72" s="381"/>
      <c r="LHG72" s="381"/>
      <c r="LHH72" s="381"/>
      <c r="LHI72" s="381"/>
      <c r="LHJ72" s="381"/>
      <c r="LHK72" s="381"/>
      <c r="LHL72" s="381"/>
      <c r="LHM72" s="381"/>
      <c r="LHN72" s="381"/>
      <c r="LHO72" s="381"/>
      <c r="LHP72" s="381"/>
      <c r="LHQ72" s="381"/>
      <c r="LHR72" s="381"/>
      <c r="LHS72" s="381"/>
      <c r="LHT72" s="381"/>
      <c r="LHU72" s="379"/>
      <c r="LHV72" s="380"/>
      <c r="LHW72" s="380"/>
      <c r="LHX72" s="380"/>
      <c r="LHY72" s="381"/>
      <c r="LHZ72" s="381"/>
      <c r="LIA72" s="381"/>
      <c r="LIB72" s="381"/>
      <c r="LIC72" s="381"/>
      <c r="LID72" s="381"/>
      <c r="LIE72" s="381"/>
      <c r="LIF72" s="381"/>
      <c r="LIG72" s="381"/>
      <c r="LIH72" s="381"/>
      <c r="LII72" s="381"/>
      <c r="LIJ72" s="381"/>
      <c r="LIK72" s="381"/>
      <c r="LIL72" s="381"/>
      <c r="LIM72" s="381"/>
      <c r="LIN72" s="381"/>
      <c r="LIO72" s="381"/>
      <c r="LIP72" s="381"/>
      <c r="LIQ72" s="381"/>
      <c r="LIR72" s="381"/>
      <c r="LIS72" s="381"/>
      <c r="LIT72" s="381"/>
      <c r="LIU72" s="381"/>
      <c r="LIV72" s="381"/>
      <c r="LIW72" s="381"/>
      <c r="LIX72" s="381"/>
      <c r="LIY72" s="379"/>
      <c r="LIZ72" s="380"/>
      <c r="LJA72" s="380"/>
      <c r="LJB72" s="380"/>
      <c r="LJC72" s="381"/>
      <c r="LJD72" s="381"/>
      <c r="LJE72" s="381"/>
      <c r="LJF72" s="381"/>
      <c r="LJG72" s="381"/>
      <c r="LJH72" s="381"/>
      <c r="LJI72" s="381"/>
      <c r="LJJ72" s="381"/>
      <c r="LJK72" s="381"/>
      <c r="LJL72" s="381"/>
      <c r="LJM72" s="381"/>
      <c r="LJN72" s="381"/>
      <c r="LJO72" s="381"/>
      <c r="LJP72" s="381"/>
      <c r="LJQ72" s="381"/>
      <c r="LJR72" s="381"/>
      <c r="LJS72" s="381"/>
      <c r="LJT72" s="381"/>
      <c r="LJU72" s="381"/>
      <c r="LJV72" s="381"/>
      <c r="LJW72" s="381"/>
      <c r="LJX72" s="381"/>
      <c r="LJY72" s="381"/>
      <c r="LJZ72" s="381"/>
      <c r="LKA72" s="381"/>
      <c r="LKB72" s="381"/>
      <c r="LKC72" s="379"/>
      <c r="LKD72" s="380"/>
      <c r="LKE72" s="380"/>
      <c r="LKF72" s="380"/>
      <c r="LKG72" s="381"/>
      <c r="LKH72" s="381"/>
      <c r="LKI72" s="381"/>
      <c r="LKJ72" s="381"/>
      <c r="LKK72" s="381"/>
      <c r="LKL72" s="381"/>
      <c r="LKM72" s="381"/>
      <c r="LKN72" s="381"/>
      <c r="LKO72" s="381"/>
      <c r="LKP72" s="381"/>
      <c r="LKQ72" s="381"/>
      <c r="LKR72" s="381"/>
      <c r="LKS72" s="381"/>
      <c r="LKT72" s="381"/>
      <c r="LKU72" s="381"/>
      <c r="LKV72" s="381"/>
      <c r="LKW72" s="381"/>
      <c r="LKX72" s="381"/>
      <c r="LKY72" s="381"/>
      <c r="LKZ72" s="381"/>
      <c r="LLA72" s="381"/>
      <c r="LLB72" s="381"/>
      <c r="LLC72" s="381"/>
      <c r="LLD72" s="381"/>
      <c r="LLE72" s="381"/>
      <c r="LLF72" s="381"/>
      <c r="LLG72" s="379"/>
      <c r="LLH72" s="380"/>
      <c r="LLI72" s="380"/>
      <c r="LLJ72" s="380"/>
      <c r="LLK72" s="381"/>
      <c r="LLL72" s="381"/>
      <c r="LLM72" s="381"/>
      <c r="LLN72" s="381"/>
      <c r="LLO72" s="381"/>
      <c r="LLP72" s="381"/>
      <c r="LLQ72" s="381"/>
      <c r="LLR72" s="381"/>
      <c r="LLS72" s="381"/>
      <c r="LLT72" s="381"/>
      <c r="LLU72" s="381"/>
      <c r="LLV72" s="381"/>
      <c r="LLW72" s="381"/>
      <c r="LLX72" s="381"/>
      <c r="LLY72" s="381"/>
      <c r="LLZ72" s="381"/>
      <c r="LMA72" s="381"/>
      <c r="LMB72" s="381"/>
      <c r="LMC72" s="381"/>
      <c r="LMD72" s="381"/>
      <c r="LME72" s="381"/>
      <c r="LMF72" s="381"/>
      <c r="LMG72" s="381"/>
      <c r="LMH72" s="381"/>
      <c r="LMI72" s="381"/>
      <c r="LMJ72" s="381"/>
      <c r="LMK72" s="379"/>
      <c r="LML72" s="380"/>
      <c r="LMM72" s="380"/>
      <c r="LMN72" s="380"/>
      <c r="LMO72" s="381"/>
      <c r="LMP72" s="381"/>
      <c r="LMQ72" s="381"/>
      <c r="LMR72" s="381"/>
      <c r="LMS72" s="381"/>
      <c r="LMT72" s="381"/>
      <c r="LMU72" s="381"/>
      <c r="LMV72" s="381"/>
      <c r="LMW72" s="381"/>
      <c r="LMX72" s="381"/>
      <c r="LMY72" s="381"/>
      <c r="LMZ72" s="381"/>
      <c r="LNA72" s="381"/>
      <c r="LNB72" s="381"/>
      <c r="LNC72" s="381"/>
      <c r="LND72" s="381"/>
      <c r="LNE72" s="381"/>
      <c r="LNF72" s="381"/>
      <c r="LNG72" s="381"/>
      <c r="LNH72" s="381"/>
      <c r="LNI72" s="381"/>
      <c r="LNJ72" s="381"/>
      <c r="LNK72" s="381"/>
      <c r="LNL72" s="381"/>
      <c r="LNM72" s="381"/>
      <c r="LNN72" s="381"/>
      <c r="LNO72" s="379"/>
      <c r="LNP72" s="380"/>
      <c r="LNQ72" s="380"/>
      <c r="LNR72" s="380"/>
      <c r="LNS72" s="381"/>
      <c r="LNT72" s="381"/>
      <c r="LNU72" s="381"/>
      <c r="LNV72" s="381"/>
      <c r="LNW72" s="381"/>
      <c r="LNX72" s="381"/>
      <c r="LNY72" s="381"/>
      <c r="LNZ72" s="381"/>
      <c r="LOA72" s="381"/>
      <c r="LOB72" s="381"/>
      <c r="LOC72" s="381"/>
      <c r="LOD72" s="381"/>
      <c r="LOE72" s="381"/>
      <c r="LOF72" s="381"/>
      <c r="LOG72" s="381"/>
      <c r="LOH72" s="381"/>
      <c r="LOI72" s="381"/>
      <c r="LOJ72" s="381"/>
      <c r="LOK72" s="381"/>
      <c r="LOL72" s="381"/>
      <c r="LOM72" s="381"/>
      <c r="LON72" s="381"/>
      <c r="LOO72" s="381"/>
      <c r="LOP72" s="381"/>
      <c r="LOQ72" s="381"/>
      <c r="LOR72" s="381"/>
      <c r="LOS72" s="379"/>
      <c r="LOT72" s="380"/>
      <c r="LOU72" s="380"/>
      <c r="LOV72" s="380"/>
      <c r="LOW72" s="381"/>
      <c r="LOX72" s="381"/>
      <c r="LOY72" s="381"/>
      <c r="LOZ72" s="381"/>
      <c r="LPA72" s="381"/>
      <c r="LPB72" s="381"/>
      <c r="LPC72" s="381"/>
      <c r="LPD72" s="381"/>
      <c r="LPE72" s="381"/>
      <c r="LPF72" s="381"/>
      <c r="LPG72" s="381"/>
      <c r="LPH72" s="381"/>
      <c r="LPI72" s="381"/>
      <c r="LPJ72" s="381"/>
      <c r="LPK72" s="381"/>
      <c r="LPL72" s="381"/>
      <c r="LPM72" s="381"/>
      <c r="LPN72" s="381"/>
      <c r="LPO72" s="381"/>
      <c r="LPP72" s="381"/>
      <c r="LPQ72" s="381"/>
      <c r="LPR72" s="381"/>
      <c r="LPS72" s="381"/>
      <c r="LPT72" s="381"/>
      <c r="LPU72" s="381"/>
      <c r="LPV72" s="381"/>
      <c r="LPW72" s="379"/>
      <c r="LPX72" s="380"/>
      <c r="LPY72" s="380"/>
      <c r="LPZ72" s="380"/>
      <c r="LQA72" s="381"/>
      <c r="LQB72" s="381"/>
      <c r="LQC72" s="381"/>
      <c r="LQD72" s="381"/>
      <c r="LQE72" s="381"/>
      <c r="LQF72" s="381"/>
      <c r="LQG72" s="381"/>
      <c r="LQH72" s="381"/>
      <c r="LQI72" s="381"/>
      <c r="LQJ72" s="381"/>
      <c r="LQK72" s="381"/>
      <c r="LQL72" s="381"/>
      <c r="LQM72" s="381"/>
      <c r="LQN72" s="381"/>
      <c r="LQO72" s="381"/>
      <c r="LQP72" s="381"/>
      <c r="LQQ72" s="381"/>
      <c r="LQR72" s="381"/>
      <c r="LQS72" s="381"/>
      <c r="LQT72" s="381"/>
      <c r="LQU72" s="381"/>
      <c r="LQV72" s="381"/>
      <c r="LQW72" s="381"/>
      <c r="LQX72" s="381"/>
      <c r="LQY72" s="381"/>
      <c r="LQZ72" s="381"/>
      <c r="LRA72" s="379"/>
      <c r="LRB72" s="380"/>
      <c r="LRC72" s="380"/>
      <c r="LRD72" s="380"/>
      <c r="LRE72" s="381"/>
      <c r="LRF72" s="381"/>
      <c r="LRG72" s="381"/>
      <c r="LRH72" s="381"/>
      <c r="LRI72" s="381"/>
      <c r="LRJ72" s="381"/>
      <c r="LRK72" s="381"/>
      <c r="LRL72" s="381"/>
      <c r="LRM72" s="381"/>
      <c r="LRN72" s="381"/>
      <c r="LRO72" s="381"/>
      <c r="LRP72" s="381"/>
      <c r="LRQ72" s="381"/>
      <c r="LRR72" s="381"/>
      <c r="LRS72" s="381"/>
      <c r="LRT72" s="381"/>
      <c r="LRU72" s="381"/>
      <c r="LRV72" s="381"/>
      <c r="LRW72" s="381"/>
      <c r="LRX72" s="381"/>
      <c r="LRY72" s="381"/>
      <c r="LRZ72" s="381"/>
      <c r="LSA72" s="381"/>
      <c r="LSB72" s="381"/>
      <c r="LSC72" s="381"/>
      <c r="LSD72" s="381"/>
      <c r="LSE72" s="379"/>
      <c r="LSF72" s="380"/>
      <c r="LSG72" s="380"/>
      <c r="LSH72" s="380"/>
      <c r="LSI72" s="381"/>
      <c r="LSJ72" s="381"/>
      <c r="LSK72" s="381"/>
      <c r="LSL72" s="381"/>
      <c r="LSM72" s="381"/>
      <c r="LSN72" s="381"/>
      <c r="LSO72" s="381"/>
      <c r="LSP72" s="381"/>
      <c r="LSQ72" s="381"/>
      <c r="LSR72" s="381"/>
      <c r="LSS72" s="381"/>
      <c r="LST72" s="381"/>
      <c r="LSU72" s="381"/>
      <c r="LSV72" s="381"/>
      <c r="LSW72" s="381"/>
      <c r="LSX72" s="381"/>
      <c r="LSY72" s="381"/>
      <c r="LSZ72" s="381"/>
      <c r="LTA72" s="381"/>
      <c r="LTB72" s="381"/>
      <c r="LTC72" s="381"/>
      <c r="LTD72" s="381"/>
      <c r="LTE72" s="381"/>
      <c r="LTF72" s="381"/>
      <c r="LTG72" s="381"/>
      <c r="LTH72" s="381"/>
      <c r="LTI72" s="379"/>
      <c r="LTJ72" s="380"/>
      <c r="LTK72" s="380"/>
      <c r="LTL72" s="380"/>
      <c r="LTM72" s="381"/>
      <c r="LTN72" s="381"/>
      <c r="LTO72" s="381"/>
      <c r="LTP72" s="381"/>
      <c r="LTQ72" s="381"/>
      <c r="LTR72" s="381"/>
      <c r="LTS72" s="381"/>
      <c r="LTT72" s="381"/>
      <c r="LTU72" s="381"/>
      <c r="LTV72" s="381"/>
      <c r="LTW72" s="381"/>
      <c r="LTX72" s="381"/>
      <c r="LTY72" s="381"/>
      <c r="LTZ72" s="381"/>
      <c r="LUA72" s="381"/>
      <c r="LUB72" s="381"/>
      <c r="LUC72" s="381"/>
      <c r="LUD72" s="381"/>
      <c r="LUE72" s="381"/>
      <c r="LUF72" s="381"/>
      <c r="LUG72" s="381"/>
      <c r="LUH72" s="381"/>
      <c r="LUI72" s="381"/>
      <c r="LUJ72" s="381"/>
      <c r="LUK72" s="381"/>
      <c r="LUL72" s="381"/>
      <c r="LUM72" s="379"/>
      <c r="LUN72" s="380"/>
      <c r="LUO72" s="380"/>
      <c r="LUP72" s="380"/>
      <c r="LUQ72" s="381"/>
      <c r="LUR72" s="381"/>
      <c r="LUS72" s="381"/>
      <c r="LUT72" s="381"/>
      <c r="LUU72" s="381"/>
      <c r="LUV72" s="381"/>
      <c r="LUW72" s="381"/>
      <c r="LUX72" s="381"/>
      <c r="LUY72" s="381"/>
      <c r="LUZ72" s="381"/>
      <c r="LVA72" s="381"/>
      <c r="LVB72" s="381"/>
      <c r="LVC72" s="381"/>
      <c r="LVD72" s="381"/>
      <c r="LVE72" s="381"/>
      <c r="LVF72" s="381"/>
      <c r="LVG72" s="381"/>
      <c r="LVH72" s="381"/>
      <c r="LVI72" s="381"/>
      <c r="LVJ72" s="381"/>
      <c r="LVK72" s="381"/>
      <c r="LVL72" s="381"/>
      <c r="LVM72" s="381"/>
      <c r="LVN72" s="381"/>
      <c r="LVO72" s="381"/>
      <c r="LVP72" s="381"/>
      <c r="LVQ72" s="379"/>
      <c r="LVR72" s="380"/>
      <c r="LVS72" s="380"/>
      <c r="LVT72" s="380"/>
      <c r="LVU72" s="381"/>
      <c r="LVV72" s="381"/>
      <c r="LVW72" s="381"/>
      <c r="LVX72" s="381"/>
      <c r="LVY72" s="381"/>
      <c r="LVZ72" s="381"/>
      <c r="LWA72" s="381"/>
      <c r="LWB72" s="381"/>
      <c r="LWC72" s="381"/>
      <c r="LWD72" s="381"/>
      <c r="LWE72" s="381"/>
      <c r="LWF72" s="381"/>
      <c r="LWG72" s="381"/>
      <c r="LWH72" s="381"/>
      <c r="LWI72" s="381"/>
      <c r="LWJ72" s="381"/>
      <c r="LWK72" s="381"/>
      <c r="LWL72" s="381"/>
      <c r="LWM72" s="381"/>
      <c r="LWN72" s="381"/>
      <c r="LWO72" s="381"/>
      <c r="LWP72" s="381"/>
      <c r="LWQ72" s="381"/>
      <c r="LWR72" s="381"/>
      <c r="LWS72" s="381"/>
      <c r="LWT72" s="381"/>
      <c r="LWU72" s="379"/>
      <c r="LWV72" s="380"/>
      <c r="LWW72" s="380"/>
      <c r="LWX72" s="380"/>
      <c r="LWY72" s="381"/>
      <c r="LWZ72" s="381"/>
      <c r="LXA72" s="381"/>
      <c r="LXB72" s="381"/>
      <c r="LXC72" s="381"/>
      <c r="LXD72" s="381"/>
      <c r="LXE72" s="381"/>
      <c r="LXF72" s="381"/>
      <c r="LXG72" s="381"/>
      <c r="LXH72" s="381"/>
      <c r="LXI72" s="381"/>
      <c r="LXJ72" s="381"/>
      <c r="LXK72" s="381"/>
      <c r="LXL72" s="381"/>
      <c r="LXM72" s="381"/>
      <c r="LXN72" s="381"/>
      <c r="LXO72" s="381"/>
      <c r="LXP72" s="381"/>
      <c r="LXQ72" s="381"/>
      <c r="LXR72" s="381"/>
      <c r="LXS72" s="381"/>
      <c r="LXT72" s="381"/>
      <c r="LXU72" s="381"/>
      <c r="LXV72" s="381"/>
      <c r="LXW72" s="381"/>
      <c r="LXX72" s="381"/>
      <c r="LXY72" s="379"/>
      <c r="LXZ72" s="380"/>
      <c r="LYA72" s="380"/>
      <c r="LYB72" s="380"/>
      <c r="LYC72" s="381"/>
      <c r="LYD72" s="381"/>
      <c r="LYE72" s="381"/>
      <c r="LYF72" s="381"/>
      <c r="LYG72" s="381"/>
      <c r="LYH72" s="381"/>
      <c r="LYI72" s="381"/>
      <c r="LYJ72" s="381"/>
      <c r="LYK72" s="381"/>
      <c r="LYL72" s="381"/>
      <c r="LYM72" s="381"/>
      <c r="LYN72" s="381"/>
      <c r="LYO72" s="381"/>
      <c r="LYP72" s="381"/>
      <c r="LYQ72" s="381"/>
      <c r="LYR72" s="381"/>
      <c r="LYS72" s="381"/>
      <c r="LYT72" s="381"/>
      <c r="LYU72" s="381"/>
      <c r="LYV72" s="381"/>
      <c r="LYW72" s="381"/>
      <c r="LYX72" s="381"/>
      <c r="LYY72" s="381"/>
      <c r="LYZ72" s="381"/>
      <c r="LZA72" s="381"/>
      <c r="LZB72" s="381"/>
      <c r="LZC72" s="379"/>
      <c r="LZD72" s="380"/>
      <c r="LZE72" s="380"/>
      <c r="LZF72" s="380"/>
      <c r="LZG72" s="381"/>
      <c r="LZH72" s="381"/>
      <c r="LZI72" s="381"/>
      <c r="LZJ72" s="381"/>
      <c r="LZK72" s="381"/>
      <c r="LZL72" s="381"/>
      <c r="LZM72" s="381"/>
      <c r="LZN72" s="381"/>
      <c r="LZO72" s="381"/>
      <c r="LZP72" s="381"/>
      <c r="LZQ72" s="381"/>
      <c r="LZR72" s="381"/>
      <c r="LZS72" s="381"/>
      <c r="LZT72" s="381"/>
      <c r="LZU72" s="381"/>
      <c r="LZV72" s="381"/>
      <c r="LZW72" s="381"/>
      <c r="LZX72" s="381"/>
      <c r="LZY72" s="381"/>
      <c r="LZZ72" s="381"/>
      <c r="MAA72" s="381"/>
      <c r="MAB72" s="381"/>
      <c r="MAC72" s="381"/>
      <c r="MAD72" s="381"/>
      <c r="MAE72" s="381"/>
      <c r="MAF72" s="381"/>
      <c r="MAG72" s="379"/>
      <c r="MAH72" s="380"/>
      <c r="MAI72" s="380"/>
      <c r="MAJ72" s="380"/>
      <c r="MAK72" s="381"/>
      <c r="MAL72" s="381"/>
      <c r="MAM72" s="381"/>
      <c r="MAN72" s="381"/>
      <c r="MAO72" s="381"/>
      <c r="MAP72" s="381"/>
      <c r="MAQ72" s="381"/>
      <c r="MAR72" s="381"/>
      <c r="MAS72" s="381"/>
      <c r="MAT72" s="381"/>
      <c r="MAU72" s="381"/>
      <c r="MAV72" s="381"/>
      <c r="MAW72" s="381"/>
      <c r="MAX72" s="381"/>
      <c r="MAY72" s="381"/>
      <c r="MAZ72" s="381"/>
      <c r="MBA72" s="381"/>
      <c r="MBB72" s="381"/>
      <c r="MBC72" s="381"/>
      <c r="MBD72" s="381"/>
      <c r="MBE72" s="381"/>
      <c r="MBF72" s="381"/>
      <c r="MBG72" s="381"/>
      <c r="MBH72" s="381"/>
      <c r="MBI72" s="381"/>
      <c r="MBJ72" s="381"/>
      <c r="MBK72" s="379"/>
      <c r="MBL72" s="380"/>
      <c r="MBM72" s="380"/>
      <c r="MBN72" s="380"/>
      <c r="MBO72" s="381"/>
      <c r="MBP72" s="381"/>
      <c r="MBQ72" s="381"/>
      <c r="MBR72" s="381"/>
      <c r="MBS72" s="381"/>
      <c r="MBT72" s="381"/>
      <c r="MBU72" s="381"/>
      <c r="MBV72" s="381"/>
      <c r="MBW72" s="381"/>
      <c r="MBX72" s="381"/>
      <c r="MBY72" s="381"/>
      <c r="MBZ72" s="381"/>
      <c r="MCA72" s="381"/>
      <c r="MCB72" s="381"/>
      <c r="MCC72" s="381"/>
      <c r="MCD72" s="381"/>
      <c r="MCE72" s="381"/>
      <c r="MCF72" s="381"/>
      <c r="MCG72" s="381"/>
      <c r="MCH72" s="381"/>
      <c r="MCI72" s="381"/>
      <c r="MCJ72" s="381"/>
      <c r="MCK72" s="381"/>
      <c r="MCL72" s="381"/>
      <c r="MCM72" s="381"/>
      <c r="MCN72" s="381"/>
      <c r="MCO72" s="379"/>
      <c r="MCP72" s="380"/>
      <c r="MCQ72" s="380"/>
      <c r="MCR72" s="380"/>
      <c r="MCS72" s="381"/>
      <c r="MCT72" s="381"/>
      <c r="MCU72" s="381"/>
      <c r="MCV72" s="381"/>
      <c r="MCW72" s="381"/>
      <c r="MCX72" s="381"/>
      <c r="MCY72" s="381"/>
      <c r="MCZ72" s="381"/>
      <c r="MDA72" s="381"/>
      <c r="MDB72" s="381"/>
      <c r="MDC72" s="381"/>
      <c r="MDD72" s="381"/>
      <c r="MDE72" s="381"/>
      <c r="MDF72" s="381"/>
      <c r="MDG72" s="381"/>
      <c r="MDH72" s="381"/>
      <c r="MDI72" s="381"/>
      <c r="MDJ72" s="381"/>
      <c r="MDK72" s="381"/>
      <c r="MDL72" s="381"/>
      <c r="MDM72" s="381"/>
      <c r="MDN72" s="381"/>
      <c r="MDO72" s="381"/>
      <c r="MDP72" s="381"/>
      <c r="MDQ72" s="381"/>
      <c r="MDR72" s="381"/>
      <c r="MDS72" s="379"/>
      <c r="MDT72" s="380"/>
      <c r="MDU72" s="380"/>
      <c r="MDV72" s="380"/>
      <c r="MDW72" s="381"/>
      <c r="MDX72" s="381"/>
      <c r="MDY72" s="381"/>
      <c r="MDZ72" s="381"/>
      <c r="MEA72" s="381"/>
      <c r="MEB72" s="381"/>
      <c r="MEC72" s="381"/>
      <c r="MED72" s="381"/>
      <c r="MEE72" s="381"/>
      <c r="MEF72" s="381"/>
      <c r="MEG72" s="381"/>
      <c r="MEH72" s="381"/>
      <c r="MEI72" s="381"/>
      <c r="MEJ72" s="381"/>
      <c r="MEK72" s="381"/>
      <c r="MEL72" s="381"/>
      <c r="MEM72" s="381"/>
      <c r="MEN72" s="381"/>
      <c r="MEO72" s="381"/>
      <c r="MEP72" s="381"/>
      <c r="MEQ72" s="381"/>
      <c r="MER72" s="381"/>
      <c r="MES72" s="381"/>
      <c r="MET72" s="381"/>
      <c r="MEU72" s="381"/>
      <c r="MEV72" s="381"/>
      <c r="MEW72" s="379"/>
      <c r="MEX72" s="380"/>
      <c r="MEY72" s="380"/>
      <c r="MEZ72" s="380"/>
      <c r="MFA72" s="381"/>
      <c r="MFB72" s="381"/>
      <c r="MFC72" s="381"/>
      <c r="MFD72" s="381"/>
      <c r="MFE72" s="381"/>
      <c r="MFF72" s="381"/>
      <c r="MFG72" s="381"/>
      <c r="MFH72" s="381"/>
      <c r="MFI72" s="381"/>
      <c r="MFJ72" s="381"/>
      <c r="MFK72" s="381"/>
      <c r="MFL72" s="381"/>
      <c r="MFM72" s="381"/>
      <c r="MFN72" s="381"/>
      <c r="MFO72" s="381"/>
      <c r="MFP72" s="381"/>
      <c r="MFQ72" s="381"/>
      <c r="MFR72" s="381"/>
      <c r="MFS72" s="381"/>
      <c r="MFT72" s="381"/>
      <c r="MFU72" s="381"/>
      <c r="MFV72" s="381"/>
      <c r="MFW72" s="381"/>
      <c r="MFX72" s="381"/>
      <c r="MFY72" s="381"/>
      <c r="MFZ72" s="381"/>
      <c r="MGA72" s="379"/>
      <c r="MGB72" s="380"/>
      <c r="MGC72" s="380"/>
      <c r="MGD72" s="380"/>
      <c r="MGE72" s="381"/>
      <c r="MGF72" s="381"/>
      <c r="MGG72" s="381"/>
      <c r="MGH72" s="381"/>
      <c r="MGI72" s="381"/>
      <c r="MGJ72" s="381"/>
      <c r="MGK72" s="381"/>
      <c r="MGL72" s="381"/>
      <c r="MGM72" s="381"/>
      <c r="MGN72" s="381"/>
      <c r="MGO72" s="381"/>
      <c r="MGP72" s="381"/>
      <c r="MGQ72" s="381"/>
      <c r="MGR72" s="381"/>
      <c r="MGS72" s="381"/>
      <c r="MGT72" s="381"/>
      <c r="MGU72" s="381"/>
      <c r="MGV72" s="381"/>
      <c r="MGW72" s="381"/>
      <c r="MGX72" s="381"/>
      <c r="MGY72" s="381"/>
      <c r="MGZ72" s="381"/>
      <c r="MHA72" s="381"/>
      <c r="MHB72" s="381"/>
      <c r="MHC72" s="381"/>
      <c r="MHD72" s="381"/>
      <c r="MHE72" s="379"/>
      <c r="MHF72" s="380"/>
      <c r="MHG72" s="380"/>
      <c r="MHH72" s="380"/>
      <c r="MHI72" s="381"/>
      <c r="MHJ72" s="381"/>
      <c r="MHK72" s="381"/>
      <c r="MHL72" s="381"/>
      <c r="MHM72" s="381"/>
      <c r="MHN72" s="381"/>
      <c r="MHO72" s="381"/>
      <c r="MHP72" s="381"/>
      <c r="MHQ72" s="381"/>
      <c r="MHR72" s="381"/>
      <c r="MHS72" s="381"/>
      <c r="MHT72" s="381"/>
      <c r="MHU72" s="381"/>
      <c r="MHV72" s="381"/>
      <c r="MHW72" s="381"/>
      <c r="MHX72" s="381"/>
      <c r="MHY72" s="381"/>
      <c r="MHZ72" s="381"/>
      <c r="MIA72" s="381"/>
      <c r="MIB72" s="381"/>
      <c r="MIC72" s="381"/>
      <c r="MID72" s="381"/>
      <c r="MIE72" s="381"/>
      <c r="MIF72" s="381"/>
      <c r="MIG72" s="381"/>
      <c r="MIH72" s="381"/>
      <c r="MII72" s="379"/>
      <c r="MIJ72" s="380"/>
      <c r="MIK72" s="380"/>
      <c r="MIL72" s="380"/>
      <c r="MIM72" s="381"/>
      <c r="MIN72" s="381"/>
      <c r="MIO72" s="381"/>
      <c r="MIP72" s="381"/>
      <c r="MIQ72" s="381"/>
      <c r="MIR72" s="381"/>
      <c r="MIS72" s="381"/>
      <c r="MIT72" s="381"/>
      <c r="MIU72" s="381"/>
      <c r="MIV72" s="381"/>
      <c r="MIW72" s="381"/>
      <c r="MIX72" s="381"/>
      <c r="MIY72" s="381"/>
      <c r="MIZ72" s="381"/>
      <c r="MJA72" s="381"/>
      <c r="MJB72" s="381"/>
      <c r="MJC72" s="381"/>
      <c r="MJD72" s="381"/>
      <c r="MJE72" s="381"/>
      <c r="MJF72" s="381"/>
      <c r="MJG72" s="381"/>
      <c r="MJH72" s="381"/>
      <c r="MJI72" s="381"/>
      <c r="MJJ72" s="381"/>
      <c r="MJK72" s="381"/>
      <c r="MJL72" s="381"/>
      <c r="MJM72" s="379"/>
      <c r="MJN72" s="380"/>
      <c r="MJO72" s="380"/>
      <c r="MJP72" s="380"/>
      <c r="MJQ72" s="381"/>
      <c r="MJR72" s="381"/>
      <c r="MJS72" s="381"/>
      <c r="MJT72" s="381"/>
      <c r="MJU72" s="381"/>
      <c r="MJV72" s="381"/>
      <c r="MJW72" s="381"/>
      <c r="MJX72" s="381"/>
      <c r="MJY72" s="381"/>
      <c r="MJZ72" s="381"/>
      <c r="MKA72" s="381"/>
      <c r="MKB72" s="381"/>
      <c r="MKC72" s="381"/>
      <c r="MKD72" s="381"/>
      <c r="MKE72" s="381"/>
      <c r="MKF72" s="381"/>
      <c r="MKG72" s="381"/>
      <c r="MKH72" s="381"/>
      <c r="MKI72" s="381"/>
      <c r="MKJ72" s="381"/>
      <c r="MKK72" s="381"/>
      <c r="MKL72" s="381"/>
      <c r="MKM72" s="381"/>
      <c r="MKN72" s="381"/>
      <c r="MKO72" s="381"/>
      <c r="MKP72" s="381"/>
      <c r="MKQ72" s="379"/>
      <c r="MKR72" s="380"/>
      <c r="MKS72" s="380"/>
      <c r="MKT72" s="380"/>
      <c r="MKU72" s="381"/>
      <c r="MKV72" s="381"/>
      <c r="MKW72" s="381"/>
      <c r="MKX72" s="381"/>
      <c r="MKY72" s="381"/>
      <c r="MKZ72" s="381"/>
      <c r="MLA72" s="381"/>
      <c r="MLB72" s="381"/>
      <c r="MLC72" s="381"/>
      <c r="MLD72" s="381"/>
      <c r="MLE72" s="381"/>
      <c r="MLF72" s="381"/>
      <c r="MLG72" s="381"/>
      <c r="MLH72" s="381"/>
      <c r="MLI72" s="381"/>
      <c r="MLJ72" s="381"/>
      <c r="MLK72" s="381"/>
      <c r="MLL72" s="381"/>
      <c r="MLM72" s="381"/>
      <c r="MLN72" s="381"/>
      <c r="MLO72" s="381"/>
      <c r="MLP72" s="381"/>
      <c r="MLQ72" s="381"/>
      <c r="MLR72" s="381"/>
      <c r="MLS72" s="381"/>
      <c r="MLT72" s="381"/>
      <c r="MLU72" s="379"/>
      <c r="MLV72" s="380"/>
      <c r="MLW72" s="380"/>
      <c r="MLX72" s="380"/>
      <c r="MLY72" s="381"/>
      <c r="MLZ72" s="381"/>
      <c r="MMA72" s="381"/>
      <c r="MMB72" s="381"/>
      <c r="MMC72" s="381"/>
      <c r="MMD72" s="381"/>
      <c r="MME72" s="381"/>
      <c r="MMF72" s="381"/>
      <c r="MMG72" s="381"/>
      <c r="MMH72" s="381"/>
      <c r="MMI72" s="381"/>
      <c r="MMJ72" s="381"/>
      <c r="MMK72" s="381"/>
      <c r="MML72" s="381"/>
      <c r="MMM72" s="381"/>
      <c r="MMN72" s="381"/>
      <c r="MMO72" s="381"/>
      <c r="MMP72" s="381"/>
      <c r="MMQ72" s="381"/>
      <c r="MMR72" s="381"/>
      <c r="MMS72" s="381"/>
      <c r="MMT72" s="381"/>
      <c r="MMU72" s="381"/>
      <c r="MMV72" s="381"/>
      <c r="MMW72" s="381"/>
      <c r="MMX72" s="381"/>
      <c r="MMY72" s="379"/>
      <c r="MMZ72" s="380"/>
      <c r="MNA72" s="380"/>
      <c r="MNB72" s="380"/>
      <c r="MNC72" s="381"/>
      <c r="MND72" s="381"/>
      <c r="MNE72" s="381"/>
      <c r="MNF72" s="381"/>
      <c r="MNG72" s="381"/>
      <c r="MNH72" s="381"/>
      <c r="MNI72" s="381"/>
      <c r="MNJ72" s="381"/>
      <c r="MNK72" s="381"/>
      <c r="MNL72" s="381"/>
      <c r="MNM72" s="381"/>
      <c r="MNN72" s="381"/>
      <c r="MNO72" s="381"/>
      <c r="MNP72" s="381"/>
      <c r="MNQ72" s="381"/>
      <c r="MNR72" s="381"/>
      <c r="MNS72" s="381"/>
      <c r="MNT72" s="381"/>
      <c r="MNU72" s="381"/>
      <c r="MNV72" s="381"/>
      <c r="MNW72" s="381"/>
      <c r="MNX72" s="381"/>
      <c r="MNY72" s="381"/>
      <c r="MNZ72" s="381"/>
      <c r="MOA72" s="381"/>
      <c r="MOB72" s="381"/>
      <c r="MOC72" s="379"/>
      <c r="MOD72" s="380"/>
      <c r="MOE72" s="380"/>
      <c r="MOF72" s="380"/>
      <c r="MOG72" s="381"/>
      <c r="MOH72" s="381"/>
      <c r="MOI72" s="381"/>
      <c r="MOJ72" s="381"/>
      <c r="MOK72" s="381"/>
      <c r="MOL72" s="381"/>
      <c r="MOM72" s="381"/>
      <c r="MON72" s="381"/>
      <c r="MOO72" s="381"/>
      <c r="MOP72" s="381"/>
      <c r="MOQ72" s="381"/>
      <c r="MOR72" s="381"/>
      <c r="MOS72" s="381"/>
      <c r="MOT72" s="381"/>
      <c r="MOU72" s="381"/>
      <c r="MOV72" s="381"/>
      <c r="MOW72" s="381"/>
      <c r="MOX72" s="381"/>
      <c r="MOY72" s="381"/>
      <c r="MOZ72" s="381"/>
      <c r="MPA72" s="381"/>
      <c r="MPB72" s="381"/>
      <c r="MPC72" s="381"/>
      <c r="MPD72" s="381"/>
      <c r="MPE72" s="381"/>
      <c r="MPF72" s="381"/>
      <c r="MPG72" s="379"/>
      <c r="MPH72" s="380"/>
      <c r="MPI72" s="380"/>
      <c r="MPJ72" s="380"/>
      <c r="MPK72" s="381"/>
      <c r="MPL72" s="381"/>
      <c r="MPM72" s="381"/>
      <c r="MPN72" s="381"/>
      <c r="MPO72" s="381"/>
      <c r="MPP72" s="381"/>
      <c r="MPQ72" s="381"/>
      <c r="MPR72" s="381"/>
      <c r="MPS72" s="381"/>
      <c r="MPT72" s="381"/>
      <c r="MPU72" s="381"/>
      <c r="MPV72" s="381"/>
      <c r="MPW72" s="381"/>
      <c r="MPX72" s="381"/>
      <c r="MPY72" s="381"/>
      <c r="MPZ72" s="381"/>
      <c r="MQA72" s="381"/>
      <c r="MQB72" s="381"/>
      <c r="MQC72" s="381"/>
      <c r="MQD72" s="381"/>
      <c r="MQE72" s="381"/>
      <c r="MQF72" s="381"/>
      <c r="MQG72" s="381"/>
      <c r="MQH72" s="381"/>
      <c r="MQI72" s="381"/>
      <c r="MQJ72" s="381"/>
      <c r="MQK72" s="379"/>
      <c r="MQL72" s="380"/>
      <c r="MQM72" s="380"/>
      <c r="MQN72" s="380"/>
      <c r="MQO72" s="381"/>
      <c r="MQP72" s="381"/>
      <c r="MQQ72" s="381"/>
      <c r="MQR72" s="381"/>
      <c r="MQS72" s="381"/>
      <c r="MQT72" s="381"/>
      <c r="MQU72" s="381"/>
      <c r="MQV72" s="381"/>
      <c r="MQW72" s="381"/>
      <c r="MQX72" s="381"/>
      <c r="MQY72" s="381"/>
      <c r="MQZ72" s="381"/>
      <c r="MRA72" s="381"/>
      <c r="MRB72" s="381"/>
      <c r="MRC72" s="381"/>
      <c r="MRD72" s="381"/>
      <c r="MRE72" s="381"/>
      <c r="MRF72" s="381"/>
      <c r="MRG72" s="381"/>
      <c r="MRH72" s="381"/>
      <c r="MRI72" s="381"/>
      <c r="MRJ72" s="381"/>
      <c r="MRK72" s="381"/>
      <c r="MRL72" s="381"/>
      <c r="MRM72" s="381"/>
      <c r="MRN72" s="381"/>
      <c r="MRO72" s="379"/>
      <c r="MRP72" s="380"/>
      <c r="MRQ72" s="380"/>
      <c r="MRR72" s="380"/>
      <c r="MRS72" s="381"/>
      <c r="MRT72" s="381"/>
      <c r="MRU72" s="381"/>
      <c r="MRV72" s="381"/>
      <c r="MRW72" s="381"/>
      <c r="MRX72" s="381"/>
      <c r="MRY72" s="381"/>
      <c r="MRZ72" s="381"/>
      <c r="MSA72" s="381"/>
      <c r="MSB72" s="381"/>
      <c r="MSC72" s="381"/>
      <c r="MSD72" s="381"/>
      <c r="MSE72" s="381"/>
      <c r="MSF72" s="381"/>
      <c r="MSG72" s="381"/>
      <c r="MSH72" s="381"/>
      <c r="MSI72" s="381"/>
      <c r="MSJ72" s="381"/>
      <c r="MSK72" s="381"/>
      <c r="MSL72" s="381"/>
      <c r="MSM72" s="381"/>
      <c r="MSN72" s="381"/>
      <c r="MSO72" s="381"/>
      <c r="MSP72" s="381"/>
      <c r="MSQ72" s="381"/>
      <c r="MSR72" s="381"/>
      <c r="MSS72" s="379"/>
      <c r="MST72" s="380"/>
      <c r="MSU72" s="380"/>
      <c r="MSV72" s="380"/>
      <c r="MSW72" s="381"/>
      <c r="MSX72" s="381"/>
      <c r="MSY72" s="381"/>
      <c r="MSZ72" s="381"/>
      <c r="MTA72" s="381"/>
      <c r="MTB72" s="381"/>
      <c r="MTC72" s="381"/>
      <c r="MTD72" s="381"/>
      <c r="MTE72" s="381"/>
      <c r="MTF72" s="381"/>
      <c r="MTG72" s="381"/>
      <c r="MTH72" s="381"/>
      <c r="MTI72" s="381"/>
      <c r="MTJ72" s="381"/>
      <c r="MTK72" s="381"/>
      <c r="MTL72" s="381"/>
      <c r="MTM72" s="381"/>
      <c r="MTN72" s="381"/>
      <c r="MTO72" s="381"/>
      <c r="MTP72" s="381"/>
      <c r="MTQ72" s="381"/>
      <c r="MTR72" s="381"/>
      <c r="MTS72" s="381"/>
      <c r="MTT72" s="381"/>
      <c r="MTU72" s="381"/>
      <c r="MTV72" s="381"/>
      <c r="MTW72" s="379"/>
      <c r="MTX72" s="380"/>
      <c r="MTY72" s="380"/>
      <c r="MTZ72" s="380"/>
      <c r="MUA72" s="381"/>
      <c r="MUB72" s="381"/>
      <c r="MUC72" s="381"/>
      <c r="MUD72" s="381"/>
      <c r="MUE72" s="381"/>
      <c r="MUF72" s="381"/>
      <c r="MUG72" s="381"/>
      <c r="MUH72" s="381"/>
      <c r="MUI72" s="381"/>
      <c r="MUJ72" s="381"/>
      <c r="MUK72" s="381"/>
      <c r="MUL72" s="381"/>
      <c r="MUM72" s="381"/>
      <c r="MUN72" s="381"/>
      <c r="MUO72" s="381"/>
      <c r="MUP72" s="381"/>
      <c r="MUQ72" s="381"/>
      <c r="MUR72" s="381"/>
      <c r="MUS72" s="381"/>
      <c r="MUT72" s="381"/>
      <c r="MUU72" s="381"/>
      <c r="MUV72" s="381"/>
      <c r="MUW72" s="381"/>
      <c r="MUX72" s="381"/>
      <c r="MUY72" s="381"/>
      <c r="MUZ72" s="381"/>
      <c r="MVA72" s="379"/>
      <c r="MVB72" s="380"/>
      <c r="MVC72" s="380"/>
      <c r="MVD72" s="380"/>
      <c r="MVE72" s="381"/>
      <c r="MVF72" s="381"/>
      <c r="MVG72" s="381"/>
      <c r="MVH72" s="381"/>
      <c r="MVI72" s="381"/>
      <c r="MVJ72" s="381"/>
      <c r="MVK72" s="381"/>
      <c r="MVL72" s="381"/>
      <c r="MVM72" s="381"/>
      <c r="MVN72" s="381"/>
      <c r="MVO72" s="381"/>
      <c r="MVP72" s="381"/>
      <c r="MVQ72" s="381"/>
      <c r="MVR72" s="381"/>
      <c r="MVS72" s="381"/>
      <c r="MVT72" s="381"/>
      <c r="MVU72" s="381"/>
      <c r="MVV72" s="381"/>
      <c r="MVW72" s="381"/>
      <c r="MVX72" s="381"/>
      <c r="MVY72" s="381"/>
      <c r="MVZ72" s="381"/>
      <c r="MWA72" s="381"/>
      <c r="MWB72" s="381"/>
      <c r="MWC72" s="381"/>
      <c r="MWD72" s="381"/>
      <c r="MWE72" s="379"/>
      <c r="MWF72" s="380"/>
      <c r="MWG72" s="380"/>
      <c r="MWH72" s="380"/>
      <c r="MWI72" s="381"/>
      <c r="MWJ72" s="381"/>
      <c r="MWK72" s="381"/>
      <c r="MWL72" s="381"/>
      <c r="MWM72" s="381"/>
      <c r="MWN72" s="381"/>
      <c r="MWO72" s="381"/>
      <c r="MWP72" s="381"/>
      <c r="MWQ72" s="381"/>
      <c r="MWR72" s="381"/>
      <c r="MWS72" s="381"/>
      <c r="MWT72" s="381"/>
      <c r="MWU72" s="381"/>
      <c r="MWV72" s="381"/>
      <c r="MWW72" s="381"/>
      <c r="MWX72" s="381"/>
      <c r="MWY72" s="381"/>
      <c r="MWZ72" s="381"/>
      <c r="MXA72" s="381"/>
      <c r="MXB72" s="381"/>
      <c r="MXC72" s="381"/>
      <c r="MXD72" s="381"/>
      <c r="MXE72" s="381"/>
      <c r="MXF72" s="381"/>
      <c r="MXG72" s="381"/>
      <c r="MXH72" s="381"/>
      <c r="MXI72" s="379"/>
      <c r="MXJ72" s="380"/>
      <c r="MXK72" s="380"/>
      <c r="MXL72" s="380"/>
      <c r="MXM72" s="381"/>
      <c r="MXN72" s="381"/>
      <c r="MXO72" s="381"/>
      <c r="MXP72" s="381"/>
      <c r="MXQ72" s="381"/>
      <c r="MXR72" s="381"/>
      <c r="MXS72" s="381"/>
      <c r="MXT72" s="381"/>
      <c r="MXU72" s="381"/>
      <c r="MXV72" s="381"/>
      <c r="MXW72" s="381"/>
      <c r="MXX72" s="381"/>
      <c r="MXY72" s="381"/>
      <c r="MXZ72" s="381"/>
      <c r="MYA72" s="381"/>
      <c r="MYB72" s="381"/>
      <c r="MYC72" s="381"/>
      <c r="MYD72" s="381"/>
      <c r="MYE72" s="381"/>
      <c r="MYF72" s="381"/>
      <c r="MYG72" s="381"/>
      <c r="MYH72" s="381"/>
      <c r="MYI72" s="381"/>
      <c r="MYJ72" s="381"/>
      <c r="MYK72" s="381"/>
      <c r="MYL72" s="381"/>
      <c r="MYM72" s="379"/>
      <c r="MYN72" s="380"/>
      <c r="MYO72" s="380"/>
      <c r="MYP72" s="380"/>
      <c r="MYQ72" s="381"/>
      <c r="MYR72" s="381"/>
      <c r="MYS72" s="381"/>
      <c r="MYT72" s="381"/>
      <c r="MYU72" s="381"/>
      <c r="MYV72" s="381"/>
      <c r="MYW72" s="381"/>
      <c r="MYX72" s="381"/>
      <c r="MYY72" s="381"/>
      <c r="MYZ72" s="381"/>
      <c r="MZA72" s="381"/>
      <c r="MZB72" s="381"/>
      <c r="MZC72" s="381"/>
      <c r="MZD72" s="381"/>
      <c r="MZE72" s="381"/>
      <c r="MZF72" s="381"/>
      <c r="MZG72" s="381"/>
      <c r="MZH72" s="381"/>
      <c r="MZI72" s="381"/>
      <c r="MZJ72" s="381"/>
      <c r="MZK72" s="381"/>
      <c r="MZL72" s="381"/>
      <c r="MZM72" s="381"/>
      <c r="MZN72" s="381"/>
      <c r="MZO72" s="381"/>
      <c r="MZP72" s="381"/>
      <c r="MZQ72" s="379"/>
      <c r="MZR72" s="380"/>
      <c r="MZS72" s="380"/>
      <c r="MZT72" s="380"/>
      <c r="MZU72" s="381"/>
      <c r="MZV72" s="381"/>
      <c r="MZW72" s="381"/>
      <c r="MZX72" s="381"/>
      <c r="MZY72" s="381"/>
      <c r="MZZ72" s="381"/>
      <c r="NAA72" s="381"/>
      <c r="NAB72" s="381"/>
      <c r="NAC72" s="381"/>
      <c r="NAD72" s="381"/>
      <c r="NAE72" s="381"/>
      <c r="NAF72" s="381"/>
      <c r="NAG72" s="381"/>
      <c r="NAH72" s="381"/>
      <c r="NAI72" s="381"/>
      <c r="NAJ72" s="381"/>
      <c r="NAK72" s="381"/>
      <c r="NAL72" s="381"/>
      <c r="NAM72" s="381"/>
      <c r="NAN72" s="381"/>
      <c r="NAO72" s="381"/>
      <c r="NAP72" s="381"/>
      <c r="NAQ72" s="381"/>
      <c r="NAR72" s="381"/>
      <c r="NAS72" s="381"/>
      <c r="NAT72" s="381"/>
      <c r="NAU72" s="379"/>
      <c r="NAV72" s="380"/>
      <c r="NAW72" s="380"/>
      <c r="NAX72" s="380"/>
      <c r="NAY72" s="381"/>
      <c r="NAZ72" s="381"/>
      <c r="NBA72" s="381"/>
      <c r="NBB72" s="381"/>
      <c r="NBC72" s="381"/>
      <c r="NBD72" s="381"/>
      <c r="NBE72" s="381"/>
      <c r="NBF72" s="381"/>
      <c r="NBG72" s="381"/>
      <c r="NBH72" s="381"/>
      <c r="NBI72" s="381"/>
      <c r="NBJ72" s="381"/>
      <c r="NBK72" s="381"/>
      <c r="NBL72" s="381"/>
      <c r="NBM72" s="381"/>
      <c r="NBN72" s="381"/>
      <c r="NBO72" s="381"/>
      <c r="NBP72" s="381"/>
      <c r="NBQ72" s="381"/>
      <c r="NBR72" s="381"/>
      <c r="NBS72" s="381"/>
      <c r="NBT72" s="381"/>
      <c r="NBU72" s="381"/>
      <c r="NBV72" s="381"/>
      <c r="NBW72" s="381"/>
      <c r="NBX72" s="381"/>
      <c r="NBY72" s="379"/>
      <c r="NBZ72" s="380"/>
      <c r="NCA72" s="380"/>
      <c r="NCB72" s="380"/>
      <c r="NCC72" s="381"/>
      <c r="NCD72" s="381"/>
      <c r="NCE72" s="381"/>
      <c r="NCF72" s="381"/>
      <c r="NCG72" s="381"/>
      <c r="NCH72" s="381"/>
      <c r="NCI72" s="381"/>
      <c r="NCJ72" s="381"/>
      <c r="NCK72" s="381"/>
      <c r="NCL72" s="381"/>
      <c r="NCM72" s="381"/>
      <c r="NCN72" s="381"/>
      <c r="NCO72" s="381"/>
      <c r="NCP72" s="381"/>
      <c r="NCQ72" s="381"/>
      <c r="NCR72" s="381"/>
      <c r="NCS72" s="381"/>
      <c r="NCT72" s="381"/>
      <c r="NCU72" s="381"/>
      <c r="NCV72" s="381"/>
      <c r="NCW72" s="381"/>
      <c r="NCX72" s="381"/>
      <c r="NCY72" s="381"/>
      <c r="NCZ72" s="381"/>
      <c r="NDA72" s="381"/>
      <c r="NDB72" s="381"/>
      <c r="NDC72" s="379"/>
      <c r="NDD72" s="380"/>
      <c r="NDE72" s="380"/>
      <c r="NDF72" s="380"/>
      <c r="NDG72" s="381"/>
      <c r="NDH72" s="381"/>
      <c r="NDI72" s="381"/>
      <c r="NDJ72" s="381"/>
      <c r="NDK72" s="381"/>
      <c r="NDL72" s="381"/>
      <c r="NDM72" s="381"/>
      <c r="NDN72" s="381"/>
      <c r="NDO72" s="381"/>
      <c r="NDP72" s="381"/>
      <c r="NDQ72" s="381"/>
      <c r="NDR72" s="381"/>
      <c r="NDS72" s="381"/>
      <c r="NDT72" s="381"/>
      <c r="NDU72" s="381"/>
      <c r="NDV72" s="381"/>
      <c r="NDW72" s="381"/>
      <c r="NDX72" s="381"/>
      <c r="NDY72" s="381"/>
      <c r="NDZ72" s="381"/>
      <c r="NEA72" s="381"/>
      <c r="NEB72" s="381"/>
      <c r="NEC72" s="381"/>
      <c r="NED72" s="381"/>
      <c r="NEE72" s="381"/>
      <c r="NEF72" s="381"/>
      <c r="NEG72" s="379"/>
      <c r="NEH72" s="380"/>
      <c r="NEI72" s="380"/>
      <c r="NEJ72" s="380"/>
      <c r="NEK72" s="381"/>
      <c r="NEL72" s="381"/>
      <c r="NEM72" s="381"/>
      <c r="NEN72" s="381"/>
      <c r="NEO72" s="381"/>
      <c r="NEP72" s="381"/>
      <c r="NEQ72" s="381"/>
      <c r="NER72" s="381"/>
      <c r="NES72" s="381"/>
      <c r="NET72" s="381"/>
      <c r="NEU72" s="381"/>
      <c r="NEV72" s="381"/>
      <c r="NEW72" s="381"/>
      <c r="NEX72" s="381"/>
      <c r="NEY72" s="381"/>
      <c r="NEZ72" s="381"/>
      <c r="NFA72" s="381"/>
      <c r="NFB72" s="381"/>
      <c r="NFC72" s="381"/>
      <c r="NFD72" s="381"/>
      <c r="NFE72" s="381"/>
      <c r="NFF72" s="381"/>
      <c r="NFG72" s="381"/>
      <c r="NFH72" s="381"/>
      <c r="NFI72" s="381"/>
      <c r="NFJ72" s="381"/>
      <c r="NFK72" s="379"/>
      <c r="NFL72" s="380"/>
      <c r="NFM72" s="380"/>
      <c r="NFN72" s="380"/>
      <c r="NFO72" s="381"/>
      <c r="NFP72" s="381"/>
      <c r="NFQ72" s="381"/>
      <c r="NFR72" s="381"/>
      <c r="NFS72" s="381"/>
      <c r="NFT72" s="381"/>
      <c r="NFU72" s="381"/>
      <c r="NFV72" s="381"/>
      <c r="NFW72" s="381"/>
      <c r="NFX72" s="381"/>
      <c r="NFY72" s="381"/>
      <c r="NFZ72" s="381"/>
      <c r="NGA72" s="381"/>
      <c r="NGB72" s="381"/>
      <c r="NGC72" s="381"/>
      <c r="NGD72" s="381"/>
      <c r="NGE72" s="381"/>
      <c r="NGF72" s="381"/>
      <c r="NGG72" s="381"/>
      <c r="NGH72" s="381"/>
      <c r="NGI72" s="381"/>
      <c r="NGJ72" s="381"/>
      <c r="NGK72" s="381"/>
      <c r="NGL72" s="381"/>
      <c r="NGM72" s="381"/>
      <c r="NGN72" s="381"/>
      <c r="NGO72" s="379"/>
      <c r="NGP72" s="380"/>
      <c r="NGQ72" s="380"/>
      <c r="NGR72" s="380"/>
      <c r="NGS72" s="381"/>
      <c r="NGT72" s="381"/>
      <c r="NGU72" s="381"/>
      <c r="NGV72" s="381"/>
      <c r="NGW72" s="381"/>
      <c r="NGX72" s="381"/>
      <c r="NGY72" s="381"/>
      <c r="NGZ72" s="381"/>
      <c r="NHA72" s="381"/>
      <c r="NHB72" s="381"/>
      <c r="NHC72" s="381"/>
      <c r="NHD72" s="381"/>
      <c r="NHE72" s="381"/>
      <c r="NHF72" s="381"/>
      <c r="NHG72" s="381"/>
      <c r="NHH72" s="381"/>
      <c r="NHI72" s="381"/>
      <c r="NHJ72" s="381"/>
      <c r="NHK72" s="381"/>
      <c r="NHL72" s="381"/>
      <c r="NHM72" s="381"/>
      <c r="NHN72" s="381"/>
      <c r="NHO72" s="381"/>
      <c r="NHP72" s="381"/>
      <c r="NHQ72" s="381"/>
      <c r="NHR72" s="381"/>
      <c r="NHS72" s="379"/>
      <c r="NHT72" s="380"/>
      <c r="NHU72" s="380"/>
      <c r="NHV72" s="380"/>
      <c r="NHW72" s="381"/>
      <c r="NHX72" s="381"/>
      <c r="NHY72" s="381"/>
      <c r="NHZ72" s="381"/>
      <c r="NIA72" s="381"/>
      <c r="NIB72" s="381"/>
      <c r="NIC72" s="381"/>
      <c r="NID72" s="381"/>
      <c r="NIE72" s="381"/>
      <c r="NIF72" s="381"/>
      <c r="NIG72" s="381"/>
      <c r="NIH72" s="381"/>
      <c r="NII72" s="381"/>
      <c r="NIJ72" s="381"/>
      <c r="NIK72" s="381"/>
      <c r="NIL72" s="381"/>
      <c r="NIM72" s="381"/>
      <c r="NIN72" s="381"/>
      <c r="NIO72" s="381"/>
      <c r="NIP72" s="381"/>
      <c r="NIQ72" s="381"/>
      <c r="NIR72" s="381"/>
      <c r="NIS72" s="381"/>
      <c r="NIT72" s="381"/>
      <c r="NIU72" s="381"/>
      <c r="NIV72" s="381"/>
      <c r="NIW72" s="379"/>
      <c r="NIX72" s="380"/>
      <c r="NIY72" s="380"/>
      <c r="NIZ72" s="380"/>
      <c r="NJA72" s="381"/>
      <c r="NJB72" s="381"/>
      <c r="NJC72" s="381"/>
      <c r="NJD72" s="381"/>
      <c r="NJE72" s="381"/>
      <c r="NJF72" s="381"/>
      <c r="NJG72" s="381"/>
      <c r="NJH72" s="381"/>
      <c r="NJI72" s="381"/>
      <c r="NJJ72" s="381"/>
      <c r="NJK72" s="381"/>
      <c r="NJL72" s="381"/>
      <c r="NJM72" s="381"/>
      <c r="NJN72" s="381"/>
      <c r="NJO72" s="381"/>
      <c r="NJP72" s="381"/>
      <c r="NJQ72" s="381"/>
      <c r="NJR72" s="381"/>
      <c r="NJS72" s="381"/>
      <c r="NJT72" s="381"/>
      <c r="NJU72" s="381"/>
      <c r="NJV72" s="381"/>
      <c r="NJW72" s="381"/>
      <c r="NJX72" s="381"/>
      <c r="NJY72" s="381"/>
      <c r="NJZ72" s="381"/>
      <c r="NKA72" s="379"/>
      <c r="NKB72" s="380"/>
      <c r="NKC72" s="380"/>
      <c r="NKD72" s="380"/>
      <c r="NKE72" s="381"/>
      <c r="NKF72" s="381"/>
      <c r="NKG72" s="381"/>
      <c r="NKH72" s="381"/>
      <c r="NKI72" s="381"/>
      <c r="NKJ72" s="381"/>
      <c r="NKK72" s="381"/>
      <c r="NKL72" s="381"/>
      <c r="NKM72" s="381"/>
      <c r="NKN72" s="381"/>
      <c r="NKO72" s="381"/>
      <c r="NKP72" s="381"/>
      <c r="NKQ72" s="381"/>
      <c r="NKR72" s="381"/>
      <c r="NKS72" s="381"/>
      <c r="NKT72" s="381"/>
      <c r="NKU72" s="381"/>
      <c r="NKV72" s="381"/>
      <c r="NKW72" s="381"/>
      <c r="NKX72" s="381"/>
      <c r="NKY72" s="381"/>
      <c r="NKZ72" s="381"/>
      <c r="NLA72" s="381"/>
      <c r="NLB72" s="381"/>
      <c r="NLC72" s="381"/>
      <c r="NLD72" s="381"/>
      <c r="NLE72" s="379"/>
      <c r="NLF72" s="380"/>
      <c r="NLG72" s="380"/>
      <c r="NLH72" s="380"/>
      <c r="NLI72" s="381"/>
      <c r="NLJ72" s="381"/>
      <c r="NLK72" s="381"/>
      <c r="NLL72" s="381"/>
      <c r="NLM72" s="381"/>
      <c r="NLN72" s="381"/>
      <c r="NLO72" s="381"/>
      <c r="NLP72" s="381"/>
      <c r="NLQ72" s="381"/>
      <c r="NLR72" s="381"/>
      <c r="NLS72" s="381"/>
      <c r="NLT72" s="381"/>
      <c r="NLU72" s="381"/>
      <c r="NLV72" s="381"/>
      <c r="NLW72" s="381"/>
      <c r="NLX72" s="381"/>
      <c r="NLY72" s="381"/>
      <c r="NLZ72" s="381"/>
      <c r="NMA72" s="381"/>
      <c r="NMB72" s="381"/>
      <c r="NMC72" s="381"/>
      <c r="NMD72" s="381"/>
      <c r="NME72" s="381"/>
      <c r="NMF72" s="381"/>
      <c r="NMG72" s="381"/>
      <c r="NMH72" s="381"/>
      <c r="NMI72" s="379"/>
      <c r="NMJ72" s="380"/>
      <c r="NMK72" s="380"/>
      <c r="NML72" s="380"/>
      <c r="NMM72" s="381"/>
      <c r="NMN72" s="381"/>
      <c r="NMO72" s="381"/>
      <c r="NMP72" s="381"/>
      <c r="NMQ72" s="381"/>
      <c r="NMR72" s="381"/>
      <c r="NMS72" s="381"/>
      <c r="NMT72" s="381"/>
      <c r="NMU72" s="381"/>
      <c r="NMV72" s="381"/>
      <c r="NMW72" s="381"/>
      <c r="NMX72" s="381"/>
      <c r="NMY72" s="381"/>
      <c r="NMZ72" s="381"/>
      <c r="NNA72" s="381"/>
      <c r="NNB72" s="381"/>
      <c r="NNC72" s="381"/>
      <c r="NND72" s="381"/>
      <c r="NNE72" s="381"/>
      <c r="NNF72" s="381"/>
      <c r="NNG72" s="381"/>
      <c r="NNH72" s="381"/>
      <c r="NNI72" s="381"/>
      <c r="NNJ72" s="381"/>
      <c r="NNK72" s="381"/>
      <c r="NNL72" s="381"/>
      <c r="NNM72" s="379"/>
      <c r="NNN72" s="380"/>
      <c r="NNO72" s="380"/>
      <c r="NNP72" s="380"/>
      <c r="NNQ72" s="381"/>
      <c r="NNR72" s="381"/>
      <c r="NNS72" s="381"/>
      <c r="NNT72" s="381"/>
      <c r="NNU72" s="381"/>
      <c r="NNV72" s="381"/>
      <c r="NNW72" s="381"/>
      <c r="NNX72" s="381"/>
      <c r="NNY72" s="381"/>
      <c r="NNZ72" s="381"/>
      <c r="NOA72" s="381"/>
      <c r="NOB72" s="381"/>
      <c r="NOC72" s="381"/>
      <c r="NOD72" s="381"/>
      <c r="NOE72" s="381"/>
      <c r="NOF72" s="381"/>
      <c r="NOG72" s="381"/>
      <c r="NOH72" s="381"/>
      <c r="NOI72" s="381"/>
      <c r="NOJ72" s="381"/>
      <c r="NOK72" s="381"/>
      <c r="NOL72" s="381"/>
      <c r="NOM72" s="381"/>
      <c r="NON72" s="381"/>
      <c r="NOO72" s="381"/>
      <c r="NOP72" s="381"/>
      <c r="NOQ72" s="379"/>
      <c r="NOR72" s="380"/>
      <c r="NOS72" s="380"/>
      <c r="NOT72" s="380"/>
      <c r="NOU72" s="381"/>
      <c r="NOV72" s="381"/>
      <c r="NOW72" s="381"/>
      <c r="NOX72" s="381"/>
      <c r="NOY72" s="381"/>
      <c r="NOZ72" s="381"/>
      <c r="NPA72" s="381"/>
      <c r="NPB72" s="381"/>
      <c r="NPC72" s="381"/>
      <c r="NPD72" s="381"/>
      <c r="NPE72" s="381"/>
      <c r="NPF72" s="381"/>
      <c r="NPG72" s="381"/>
      <c r="NPH72" s="381"/>
      <c r="NPI72" s="381"/>
      <c r="NPJ72" s="381"/>
      <c r="NPK72" s="381"/>
      <c r="NPL72" s="381"/>
      <c r="NPM72" s="381"/>
      <c r="NPN72" s="381"/>
      <c r="NPO72" s="381"/>
      <c r="NPP72" s="381"/>
      <c r="NPQ72" s="381"/>
      <c r="NPR72" s="381"/>
      <c r="NPS72" s="381"/>
      <c r="NPT72" s="381"/>
      <c r="NPU72" s="379"/>
      <c r="NPV72" s="380"/>
      <c r="NPW72" s="380"/>
      <c r="NPX72" s="380"/>
      <c r="NPY72" s="381"/>
      <c r="NPZ72" s="381"/>
      <c r="NQA72" s="381"/>
      <c r="NQB72" s="381"/>
      <c r="NQC72" s="381"/>
      <c r="NQD72" s="381"/>
      <c r="NQE72" s="381"/>
      <c r="NQF72" s="381"/>
      <c r="NQG72" s="381"/>
      <c r="NQH72" s="381"/>
      <c r="NQI72" s="381"/>
      <c r="NQJ72" s="381"/>
      <c r="NQK72" s="381"/>
      <c r="NQL72" s="381"/>
      <c r="NQM72" s="381"/>
      <c r="NQN72" s="381"/>
      <c r="NQO72" s="381"/>
      <c r="NQP72" s="381"/>
      <c r="NQQ72" s="381"/>
      <c r="NQR72" s="381"/>
      <c r="NQS72" s="381"/>
      <c r="NQT72" s="381"/>
      <c r="NQU72" s="381"/>
      <c r="NQV72" s="381"/>
      <c r="NQW72" s="381"/>
      <c r="NQX72" s="381"/>
      <c r="NQY72" s="379"/>
      <c r="NQZ72" s="380"/>
      <c r="NRA72" s="380"/>
      <c r="NRB72" s="380"/>
      <c r="NRC72" s="381"/>
      <c r="NRD72" s="381"/>
      <c r="NRE72" s="381"/>
      <c r="NRF72" s="381"/>
      <c r="NRG72" s="381"/>
      <c r="NRH72" s="381"/>
      <c r="NRI72" s="381"/>
      <c r="NRJ72" s="381"/>
      <c r="NRK72" s="381"/>
      <c r="NRL72" s="381"/>
      <c r="NRM72" s="381"/>
      <c r="NRN72" s="381"/>
      <c r="NRO72" s="381"/>
      <c r="NRP72" s="381"/>
      <c r="NRQ72" s="381"/>
      <c r="NRR72" s="381"/>
      <c r="NRS72" s="381"/>
      <c r="NRT72" s="381"/>
      <c r="NRU72" s="381"/>
      <c r="NRV72" s="381"/>
      <c r="NRW72" s="381"/>
      <c r="NRX72" s="381"/>
      <c r="NRY72" s="381"/>
      <c r="NRZ72" s="381"/>
      <c r="NSA72" s="381"/>
      <c r="NSB72" s="381"/>
      <c r="NSC72" s="379"/>
      <c r="NSD72" s="380"/>
      <c r="NSE72" s="380"/>
      <c r="NSF72" s="380"/>
      <c r="NSG72" s="381"/>
      <c r="NSH72" s="381"/>
      <c r="NSI72" s="381"/>
      <c r="NSJ72" s="381"/>
      <c r="NSK72" s="381"/>
      <c r="NSL72" s="381"/>
      <c r="NSM72" s="381"/>
      <c r="NSN72" s="381"/>
      <c r="NSO72" s="381"/>
      <c r="NSP72" s="381"/>
      <c r="NSQ72" s="381"/>
      <c r="NSR72" s="381"/>
      <c r="NSS72" s="381"/>
      <c r="NST72" s="381"/>
      <c r="NSU72" s="381"/>
      <c r="NSV72" s="381"/>
      <c r="NSW72" s="381"/>
      <c r="NSX72" s="381"/>
      <c r="NSY72" s="381"/>
      <c r="NSZ72" s="381"/>
      <c r="NTA72" s="381"/>
      <c r="NTB72" s="381"/>
      <c r="NTC72" s="381"/>
      <c r="NTD72" s="381"/>
      <c r="NTE72" s="381"/>
      <c r="NTF72" s="381"/>
      <c r="NTG72" s="379"/>
      <c r="NTH72" s="380"/>
      <c r="NTI72" s="380"/>
      <c r="NTJ72" s="380"/>
      <c r="NTK72" s="381"/>
      <c r="NTL72" s="381"/>
      <c r="NTM72" s="381"/>
      <c r="NTN72" s="381"/>
      <c r="NTO72" s="381"/>
      <c r="NTP72" s="381"/>
      <c r="NTQ72" s="381"/>
      <c r="NTR72" s="381"/>
      <c r="NTS72" s="381"/>
      <c r="NTT72" s="381"/>
      <c r="NTU72" s="381"/>
      <c r="NTV72" s="381"/>
      <c r="NTW72" s="381"/>
      <c r="NTX72" s="381"/>
      <c r="NTY72" s="381"/>
      <c r="NTZ72" s="381"/>
      <c r="NUA72" s="381"/>
      <c r="NUB72" s="381"/>
      <c r="NUC72" s="381"/>
      <c r="NUD72" s="381"/>
      <c r="NUE72" s="381"/>
      <c r="NUF72" s="381"/>
      <c r="NUG72" s="381"/>
      <c r="NUH72" s="381"/>
      <c r="NUI72" s="381"/>
      <c r="NUJ72" s="381"/>
      <c r="NUK72" s="379"/>
      <c r="NUL72" s="380"/>
      <c r="NUM72" s="380"/>
      <c r="NUN72" s="380"/>
      <c r="NUO72" s="381"/>
      <c r="NUP72" s="381"/>
      <c r="NUQ72" s="381"/>
      <c r="NUR72" s="381"/>
      <c r="NUS72" s="381"/>
      <c r="NUT72" s="381"/>
      <c r="NUU72" s="381"/>
      <c r="NUV72" s="381"/>
      <c r="NUW72" s="381"/>
      <c r="NUX72" s="381"/>
      <c r="NUY72" s="381"/>
      <c r="NUZ72" s="381"/>
      <c r="NVA72" s="381"/>
      <c r="NVB72" s="381"/>
      <c r="NVC72" s="381"/>
      <c r="NVD72" s="381"/>
      <c r="NVE72" s="381"/>
      <c r="NVF72" s="381"/>
      <c r="NVG72" s="381"/>
      <c r="NVH72" s="381"/>
      <c r="NVI72" s="381"/>
      <c r="NVJ72" s="381"/>
      <c r="NVK72" s="381"/>
      <c r="NVL72" s="381"/>
      <c r="NVM72" s="381"/>
      <c r="NVN72" s="381"/>
      <c r="NVO72" s="379"/>
      <c r="NVP72" s="380"/>
      <c r="NVQ72" s="380"/>
      <c r="NVR72" s="380"/>
      <c r="NVS72" s="381"/>
      <c r="NVT72" s="381"/>
      <c r="NVU72" s="381"/>
      <c r="NVV72" s="381"/>
      <c r="NVW72" s="381"/>
      <c r="NVX72" s="381"/>
      <c r="NVY72" s="381"/>
      <c r="NVZ72" s="381"/>
      <c r="NWA72" s="381"/>
      <c r="NWB72" s="381"/>
      <c r="NWC72" s="381"/>
      <c r="NWD72" s="381"/>
      <c r="NWE72" s="381"/>
      <c r="NWF72" s="381"/>
      <c r="NWG72" s="381"/>
      <c r="NWH72" s="381"/>
      <c r="NWI72" s="381"/>
      <c r="NWJ72" s="381"/>
      <c r="NWK72" s="381"/>
      <c r="NWL72" s="381"/>
      <c r="NWM72" s="381"/>
      <c r="NWN72" s="381"/>
      <c r="NWO72" s="381"/>
      <c r="NWP72" s="381"/>
      <c r="NWQ72" s="381"/>
      <c r="NWR72" s="381"/>
      <c r="NWS72" s="379"/>
      <c r="NWT72" s="380"/>
      <c r="NWU72" s="380"/>
      <c r="NWV72" s="380"/>
      <c r="NWW72" s="381"/>
      <c r="NWX72" s="381"/>
      <c r="NWY72" s="381"/>
      <c r="NWZ72" s="381"/>
      <c r="NXA72" s="381"/>
      <c r="NXB72" s="381"/>
      <c r="NXC72" s="381"/>
      <c r="NXD72" s="381"/>
      <c r="NXE72" s="381"/>
      <c r="NXF72" s="381"/>
      <c r="NXG72" s="381"/>
      <c r="NXH72" s="381"/>
      <c r="NXI72" s="381"/>
      <c r="NXJ72" s="381"/>
      <c r="NXK72" s="381"/>
      <c r="NXL72" s="381"/>
      <c r="NXM72" s="381"/>
      <c r="NXN72" s="381"/>
      <c r="NXO72" s="381"/>
      <c r="NXP72" s="381"/>
      <c r="NXQ72" s="381"/>
      <c r="NXR72" s="381"/>
      <c r="NXS72" s="381"/>
      <c r="NXT72" s="381"/>
      <c r="NXU72" s="381"/>
      <c r="NXV72" s="381"/>
      <c r="NXW72" s="379"/>
      <c r="NXX72" s="380"/>
      <c r="NXY72" s="380"/>
      <c r="NXZ72" s="380"/>
      <c r="NYA72" s="381"/>
      <c r="NYB72" s="381"/>
      <c r="NYC72" s="381"/>
      <c r="NYD72" s="381"/>
      <c r="NYE72" s="381"/>
      <c r="NYF72" s="381"/>
      <c r="NYG72" s="381"/>
      <c r="NYH72" s="381"/>
      <c r="NYI72" s="381"/>
      <c r="NYJ72" s="381"/>
      <c r="NYK72" s="381"/>
      <c r="NYL72" s="381"/>
      <c r="NYM72" s="381"/>
      <c r="NYN72" s="381"/>
      <c r="NYO72" s="381"/>
      <c r="NYP72" s="381"/>
      <c r="NYQ72" s="381"/>
      <c r="NYR72" s="381"/>
      <c r="NYS72" s="381"/>
      <c r="NYT72" s="381"/>
      <c r="NYU72" s="381"/>
      <c r="NYV72" s="381"/>
      <c r="NYW72" s="381"/>
      <c r="NYX72" s="381"/>
      <c r="NYY72" s="381"/>
      <c r="NYZ72" s="381"/>
      <c r="NZA72" s="379"/>
      <c r="NZB72" s="380"/>
      <c r="NZC72" s="380"/>
      <c r="NZD72" s="380"/>
      <c r="NZE72" s="381"/>
      <c r="NZF72" s="381"/>
      <c r="NZG72" s="381"/>
      <c r="NZH72" s="381"/>
      <c r="NZI72" s="381"/>
      <c r="NZJ72" s="381"/>
      <c r="NZK72" s="381"/>
      <c r="NZL72" s="381"/>
      <c r="NZM72" s="381"/>
      <c r="NZN72" s="381"/>
      <c r="NZO72" s="381"/>
      <c r="NZP72" s="381"/>
      <c r="NZQ72" s="381"/>
      <c r="NZR72" s="381"/>
      <c r="NZS72" s="381"/>
      <c r="NZT72" s="381"/>
      <c r="NZU72" s="381"/>
      <c r="NZV72" s="381"/>
      <c r="NZW72" s="381"/>
      <c r="NZX72" s="381"/>
      <c r="NZY72" s="381"/>
      <c r="NZZ72" s="381"/>
      <c r="OAA72" s="381"/>
      <c r="OAB72" s="381"/>
      <c r="OAC72" s="381"/>
      <c r="OAD72" s="381"/>
      <c r="OAE72" s="379"/>
      <c r="OAF72" s="380"/>
      <c r="OAG72" s="380"/>
      <c r="OAH72" s="380"/>
      <c r="OAI72" s="381"/>
      <c r="OAJ72" s="381"/>
      <c r="OAK72" s="381"/>
      <c r="OAL72" s="381"/>
      <c r="OAM72" s="381"/>
      <c r="OAN72" s="381"/>
      <c r="OAO72" s="381"/>
      <c r="OAP72" s="381"/>
      <c r="OAQ72" s="381"/>
      <c r="OAR72" s="381"/>
      <c r="OAS72" s="381"/>
      <c r="OAT72" s="381"/>
      <c r="OAU72" s="381"/>
      <c r="OAV72" s="381"/>
      <c r="OAW72" s="381"/>
      <c r="OAX72" s="381"/>
      <c r="OAY72" s="381"/>
      <c r="OAZ72" s="381"/>
      <c r="OBA72" s="381"/>
      <c r="OBB72" s="381"/>
      <c r="OBC72" s="381"/>
      <c r="OBD72" s="381"/>
      <c r="OBE72" s="381"/>
      <c r="OBF72" s="381"/>
      <c r="OBG72" s="381"/>
      <c r="OBH72" s="381"/>
      <c r="OBI72" s="379"/>
      <c r="OBJ72" s="380"/>
      <c r="OBK72" s="380"/>
      <c r="OBL72" s="380"/>
      <c r="OBM72" s="381"/>
      <c r="OBN72" s="381"/>
      <c r="OBO72" s="381"/>
      <c r="OBP72" s="381"/>
      <c r="OBQ72" s="381"/>
      <c r="OBR72" s="381"/>
      <c r="OBS72" s="381"/>
      <c r="OBT72" s="381"/>
      <c r="OBU72" s="381"/>
      <c r="OBV72" s="381"/>
      <c r="OBW72" s="381"/>
      <c r="OBX72" s="381"/>
      <c r="OBY72" s="381"/>
      <c r="OBZ72" s="381"/>
      <c r="OCA72" s="381"/>
      <c r="OCB72" s="381"/>
      <c r="OCC72" s="381"/>
      <c r="OCD72" s="381"/>
      <c r="OCE72" s="381"/>
      <c r="OCF72" s="381"/>
      <c r="OCG72" s="381"/>
      <c r="OCH72" s="381"/>
      <c r="OCI72" s="381"/>
      <c r="OCJ72" s="381"/>
      <c r="OCK72" s="381"/>
      <c r="OCL72" s="381"/>
      <c r="OCM72" s="379"/>
      <c r="OCN72" s="380"/>
      <c r="OCO72" s="380"/>
      <c r="OCP72" s="380"/>
      <c r="OCQ72" s="381"/>
      <c r="OCR72" s="381"/>
      <c r="OCS72" s="381"/>
      <c r="OCT72" s="381"/>
      <c r="OCU72" s="381"/>
      <c r="OCV72" s="381"/>
      <c r="OCW72" s="381"/>
      <c r="OCX72" s="381"/>
      <c r="OCY72" s="381"/>
      <c r="OCZ72" s="381"/>
      <c r="ODA72" s="381"/>
      <c r="ODB72" s="381"/>
      <c r="ODC72" s="381"/>
      <c r="ODD72" s="381"/>
      <c r="ODE72" s="381"/>
      <c r="ODF72" s="381"/>
      <c r="ODG72" s="381"/>
      <c r="ODH72" s="381"/>
      <c r="ODI72" s="381"/>
      <c r="ODJ72" s="381"/>
      <c r="ODK72" s="381"/>
      <c r="ODL72" s="381"/>
      <c r="ODM72" s="381"/>
      <c r="ODN72" s="381"/>
      <c r="ODO72" s="381"/>
      <c r="ODP72" s="381"/>
      <c r="ODQ72" s="379"/>
      <c r="ODR72" s="380"/>
      <c r="ODS72" s="380"/>
      <c r="ODT72" s="380"/>
      <c r="ODU72" s="381"/>
      <c r="ODV72" s="381"/>
      <c r="ODW72" s="381"/>
      <c r="ODX72" s="381"/>
      <c r="ODY72" s="381"/>
      <c r="ODZ72" s="381"/>
      <c r="OEA72" s="381"/>
      <c r="OEB72" s="381"/>
      <c r="OEC72" s="381"/>
      <c r="OED72" s="381"/>
      <c r="OEE72" s="381"/>
      <c r="OEF72" s="381"/>
      <c r="OEG72" s="381"/>
      <c r="OEH72" s="381"/>
      <c r="OEI72" s="381"/>
      <c r="OEJ72" s="381"/>
      <c r="OEK72" s="381"/>
      <c r="OEL72" s="381"/>
      <c r="OEM72" s="381"/>
      <c r="OEN72" s="381"/>
      <c r="OEO72" s="381"/>
      <c r="OEP72" s="381"/>
      <c r="OEQ72" s="381"/>
      <c r="OER72" s="381"/>
      <c r="OES72" s="381"/>
      <c r="OET72" s="381"/>
      <c r="OEU72" s="379"/>
      <c r="OEV72" s="380"/>
      <c r="OEW72" s="380"/>
      <c r="OEX72" s="380"/>
      <c r="OEY72" s="381"/>
      <c r="OEZ72" s="381"/>
      <c r="OFA72" s="381"/>
      <c r="OFB72" s="381"/>
      <c r="OFC72" s="381"/>
      <c r="OFD72" s="381"/>
      <c r="OFE72" s="381"/>
      <c r="OFF72" s="381"/>
      <c r="OFG72" s="381"/>
      <c r="OFH72" s="381"/>
      <c r="OFI72" s="381"/>
      <c r="OFJ72" s="381"/>
      <c r="OFK72" s="381"/>
      <c r="OFL72" s="381"/>
      <c r="OFM72" s="381"/>
      <c r="OFN72" s="381"/>
      <c r="OFO72" s="381"/>
      <c r="OFP72" s="381"/>
      <c r="OFQ72" s="381"/>
      <c r="OFR72" s="381"/>
      <c r="OFS72" s="381"/>
      <c r="OFT72" s="381"/>
      <c r="OFU72" s="381"/>
      <c r="OFV72" s="381"/>
      <c r="OFW72" s="381"/>
      <c r="OFX72" s="381"/>
      <c r="OFY72" s="379"/>
      <c r="OFZ72" s="380"/>
      <c r="OGA72" s="380"/>
      <c r="OGB72" s="380"/>
      <c r="OGC72" s="381"/>
      <c r="OGD72" s="381"/>
      <c r="OGE72" s="381"/>
      <c r="OGF72" s="381"/>
      <c r="OGG72" s="381"/>
      <c r="OGH72" s="381"/>
      <c r="OGI72" s="381"/>
      <c r="OGJ72" s="381"/>
      <c r="OGK72" s="381"/>
      <c r="OGL72" s="381"/>
      <c r="OGM72" s="381"/>
      <c r="OGN72" s="381"/>
      <c r="OGO72" s="381"/>
      <c r="OGP72" s="381"/>
      <c r="OGQ72" s="381"/>
      <c r="OGR72" s="381"/>
      <c r="OGS72" s="381"/>
      <c r="OGT72" s="381"/>
      <c r="OGU72" s="381"/>
      <c r="OGV72" s="381"/>
      <c r="OGW72" s="381"/>
      <c r="OGX72" s="381"/>
      <c r="OGY72" s="381"/>
      <c r="OGZ72" s="381"/>
      <c r="OHA72" s="381"/>
      <c r="OHB72" s="381"/>
      <c r="OHC72" s="379"/>
      <c r="OHD72" s="380"/>
      <c r="OHE72" s="380"/>
      <c r="OHF72" s="380"/>
      <c r="OHG72" s="381"/>
      <c r="OHH72" s="381"/>
      <c r="OHI72" s="381"/>
      <c r="OHJ72" s="381"/>
      <c r="OHK72" s="381"/>
      <c r="OHL72" s="381"/>
      <c r="OHM72" s="381"/>
      <c r="OHN72" s="381"/>
      <c r="OHO72" s="381"/>
      <c r="OHP72" s="381"/>
      <c r="OHQ72" s="381"/>
      <c r="OHR72" s="381"/>
      <c r="OHS72" s="381"/>
      <c r="OHT72" s="381"/>
      <c r="OHU72" s="381"/>
      <c r="OHV72" s="381"/>
      <c r="OHW72" s="381"/>
      <c r="OHX72" s="381"/>
      <c r="OHY72" s="381"/>
      <c r="OHZ72" s="381"/>
      <c r="OIA72" s="381"/>
      <c r="OIB72" s="381"/>
      <c r="OIC72" s="381"/>
      <c r="OID72" s="381"/>
      <c r="OIE72" s="381"/>
      <c r="OIF72" s="381"/>
      <c r="OIG72" s="379"/>
      <c r="OIH72" s="380"/>
      <c r="OII72" s="380"/>
      <c r="OIJ72" s="380"/>
      <c r="OIK72" s="381"/>
      <c r="OIL72" s="381"/>
      <c r="OIM72" s="381"/>
      <c r="OIN72" s="381"/>
      <c r="OIO72" s="381"/>
      <c r="OIP72" s="381"/>
      <c r="OIQ72" s="381"/>
      <c r="OIR72" s="381"/>
      <c r="OIS72" s="381"/>
      <c r="OIT72" s="381"/>
      <c r="OIU72" s="381"/>
      <c r="OIV72" s="381"/>
      <c r="OIW72" s="381"/>
      <c r="OIX72" s="381"/>
      <c r="OIY72" s="381"/>
      <c r="OIZ72" s="381"/>
      <c r="OJA72" s="381"/>
      <c r="OJB72" s="381"/>
      <c r="OJC72" s="381"/>
      <c r="OJD72" s="381"/>
      <c r="OJE72" s="381"/>
      <c r="OJF72" s="381"/>
      <c r="OJG72" s="381"/>
      <c r="OJH72" s="381"/>
      <c r="OJI72" s="381"/>
      <c r="OJJ72" s="381"/>
      <c r="OJK72" s="379"/>
      <c r="OJL72" s="380"/>
      <c r="OJM72" s="380"/>
      <c r="OJN72" s="380"/>
      <c r="OJO72" s="381"/>
      <c r="OJP72" s="381"/>
      <c r="OJQ72" s="381"/>
      <c r="OJR72" s="381"/>
      <c r="OJS72" s="381"/>
      <c r="OJT72" s="381"/>
      <c r="OJU72" s="381"/>
      <c r="OJV72" s="381"/>
      <c r="OJW72" s="381"/>
      <c r="OJX72" s="381"/>
      <c r="OJY72" s="381"/>
      <c r="OJZ72" s="381"/>
      <c r="OKA72" s="381"/>
      <c r="OKB72" s="381"/>
      <c r="OKC72" s="381"/>
      <c r="OKD72" s="381"/>
      <c r="OKE72" s="381"/>
      <c r="OKF72" s="381"/>
      <c r="OKG72" s="381"/>
      <c r="OKH72" s="381"/>
      <c r="OKI72" s="381"/>
      <c r="OKJ72" s="381"/>
      <c r="OKK72" s="381"/>
      <c r="OKL72" s="381"/>
      <c r="OKM72" s="381"/>
      <c r="OKN72" s="381"/>
      <c r="OKO72" s="379"/>
      <c r="OKP72" s="380"/>
      <c r="OKQ72" s="380"/>
      <c r="OKR72" s="380"/>
      <c r="OKS72" s="381"/>
      <c r="OKT72" s="381"/>
      <c r="OKU72" s="381"/>
      <c r="OKV72" s="381"/>
      <c r="OKW72" s="381"/>
      <c r="OKX72" s="381"/>
      <c r="OKY72" s="381"/>
      <c r="OKZ72" s="381"/>
      <c r="OLA72" s="381"/>
      <c r="OLB72" s="381"/>
      <c r="OLC72" s="381"/>
      <c r="OLD72" s="381"/>
      <c r="OLE72" s="381"/>
      <c r="OLF72" s="381"/>
      <c r="OLG72" s="381"/>
      <c r="OLH72" s="381"/>
      <c r="OLI72" s="381"/>
      <c r="OLJ72" s="381"/>
      <c r="OLK72" s="381"/>
      <c r="OLL72" s="381"/>
      <c r="OLM72" s="381"/>
      <c r="OLN72" s="381"/>
      <c r="OLO72" s="381"/>
      <c r="OLP72" s="381"/>
      <c r="OLQ72" s="381"/>
      <c r="OLR72" s="381"/>
      <c r="OLS72" s="379"/>
      <c r="OLT72" s="380"/>
      <c r="OLU72" s="380"/>
      <c r="OLV72" s="380"/>
      <c r="OLW72" s="381"/>
      <c r="OLX72" s="381"/>
      <c r="OLY72" s="381"/>
      <c r="OLZ72" s="381"/>
      <c r="OMA72" s="381"/>
      <c r="OMB72" s="381"/>
      <c r="OMC72" s="381"/>
      <c r="OMD72" s="381"/>
      <c r="OME72" s="381"/>
      <c r="OMF72" s="381"/>
      <c r="OMG72" s="381"/>
      <c r="OMH72" s="381"/>
      <c r="OMI72" s="381"/>
      <c r="OMJ72" s="381"/>
      <c r="OMK72" s="381"/>
      <c r="OML72" s="381"/>
      <c r="OMM72" s="381"/>
      <c r="OMN72" s="381"/>
      <c r="OMO72" s="381"/>
      <c r="OMP72" s="381"/>
      <c r="OMQ72" s="381"/>
      <c r="OMR72" s="381"/>
      <c r="OMS72" s="381"/>
      <c r="OMT72" s="381"/>
      <c r="OMU72" s="381"/>
      <c r="OMV72" s="381"/>
      <c r="OMW72" s="379"/>
      <c r="OMX72" s="380"/>
      <c r="OMY72" s="380"/>
      <c r="OMZ72" s="380"/>
      <c r="ONA72" s="381"/>
      <c r="ONB72" s="381"/>
      <c r="ONC72" s="381"/>
      <c r="OND72" s="381"/>
      <c r="ONE72" s="381"/>
      <c r="ONF72" s="381"/>
      <c r="ONG72" s="381"/>
      <c r="ONH72" s="381"/>
      <c r="ONI72" s="381"/>
      <c r="ONJ72" s="381"/>
      <c r="ONK72" s="381"/>
      <c r="ONL72" s="381"/>
      <c r="ONM72" s="381"/>
      <c r="ONN72" s="381"/>
      <c r="ONO72" s="381"/>
      <c r="ONP72" s="381"/>
      <c r="ONQ72" s="381"/>
      <c r="ONR72" s="381"/>
      <c r="ONS72" s="381"/>
      <c r="ONT72" s="381"/>
      <c r="ONU72" s="381"/>
      <c r="ONV72" s="381"/>
      <c r="ONW72" s="381"/>
      <c r="ONX72" s="381"/>
      <c r="ONY72" s="381"/>
      <c r="ONZ72" s="381"/>
      <c r="OOA72" s="379"/>
      <c r="OOB72" s="380"/>
      <c r="OOC72" s="380"/>
      <c r="OOD72" s="380"/>
      <c r="OOE72" s="381"/>
      <c r="OOF72" s="381"/>
      <c r="OOG72" s="381"/>
      <c r="OOH72" s="381"/>
      <c r="OOI72" s="381"/>
      <c r="OOJ72" s="381"/>
      <c r="OOK72" s="381"/>
      <c r="OOL72" s="381"/>
      <c r="OOM72" s="381"/>
      <c r="OON72" s="381"/>
      <c r="OOO72" s="381"/>
      <c r="OOP72" s="381"/>
      <c r="OOQ72" s="381"/>
      <c r="OOR72" s="381"/>
      <c r="OOS72" s="381"/>
      <c r="OOT72" s="381"/>
      <c r="OOU72" s="381"/>
      <c r="OOV72" s="381"/>
      <c r="OOW72" s="381"/>
      <c r="OOX72" s="381"/>
      <c r="OOY72" s="381"/>
      <c r="OOZ72" s="381"/>
      <c r="OPA72" s="381"/>
      <c r="OPB72" s="381"/>
      <c r="OPC72" s="381"/>
      <c r="OPD72" s="381"/>
      <c r="OPE72" s="379"/>
      <c r="OPF72" s="380"/>
      <c r="OPG72" s="380"/>
      <c r="OPH72" s="380"/>
      <c r="OPI72" s="381"/>
      <c r="OPJ72" s="381"/>
      <c r="OPK72" s="381"/>
      <c r="OPL72" s="381"/>
      <c r="OPM72" s="381"/>
      <c r="OPN72" s="381"/>
      <c r="OPO72" s="381"/>
      <c r="OPP72" s="381"/>
      <c r="OPQ72" s="381"/>
      <c r="OPR72" s="381"/>
      <c r="OPS72" s="381"/>
      <c r="OPT72" s="381"/>
      <c r="OPU72" s="381"/>
      <c r="OPV72" s="381"/>
      <c r="OPW72" s="381"/>
      <c r="OPX72" s="381"/>
      <c r="OPY72" s="381"/>
      <c r="OPZ72" s="381"/>
      <c r="OQA72" s="381"/>
      <c r="OQB72" s="381"/>
      <c r="OQC72" s="381"/>
      <c r="OQD72" s="381"/>
      <c r="OQE72" s="381"/>
      <c r="OQF72" s="381"/>
      <c r="OQG72" s="381"/>
      <c r="OQH72" s="381"/>
      <c r="OQI72" s="379"/>
      <c r="OQJ72" s="380"/>
      <c r="OQK72" s="380"/>
      <c r="OQL72" s="380"/>
      <c r="OQM72" s="381"/>
      <c r="OQN72" s="381"/>
      <c r="OQO72" s="381"/>
      <c r="OQP72" s="381"/>
      <c r="OQQ72" s="381"/>
      <c r="OQR72" s="381"/>
      <c r="OQS72" s="381"/>
      <c r="OQT72" s="381"/>
      <c r="OQU72" s="381"/>
      <c r="OQV72" s="381"/>
      <c r="OQW72" s="381"/>
      <c r="OQX72" s="381"/>
      <c r="OQY72" s="381"/>
      <c r="OQZ72" s="381"/>
      <c r="ORA72" s="381"/>
      <c r="ORB72" s="381"/>
      <c r="ORC72" s="381"/>
      <c r="ORD72" s="381"/>
      <c r="ORE72" s="381"/>
      <c r="ORF72" s="381"/>
      <c r="ORG72" s="381"/>
      <c r="ORH72" s="381"/>
      <c r="ORI72" s="381"/>
      <c r="ORJ72" s="381"/>
      <c r="ORK72" s="381"/>
      <c r="ORL72" s="381"/>
      <c r="ORM72" s="379"/>
      <c r="ORN72" s="380"/>
      <c r="ORO72" s="380"/>
      <c r="ORP72" s="380"/>
      <c r="ORQ72" s="381"/>
      <c r="ORR72" s="381"/>
      <c r="ORS72" s="381"/>
      <c r="ORT72" s="381"/>
      <c r="ORU72" s="381"/>
      <c r="ORV72" s="381"/>
      <c r="ORW72" s="381"/>
      <c r="ORX72" s="381"/>
      <c r="ORY72" s="381"/>
      <c r="ORZ72" s="381"/>
      <c r="OSA72" s="381"/>
      <c r="OSB72" s="381"/>
      <c r="OSC72" s="381"/>
      <c r="OSD72" s="381"/>
      <c r="OSE72" s="381"/>
      <c r="OSF72" s="381"/>
      <c r="OSG72" s="381"/>
      <c r="OSH72" s="381"/>
      <c r="OSI72" s="381"/>
      <c r="OSJ72" s="381"/>
      <c r="OSK72" s="381"/>
      <c r="OSL72" s="381"/>
      <c r="OSM72" s="381"/>
      <c r="OSN72" s="381"/>
      <c r="OSO72" s="381"/>
      <c r="OSP72" s="381"/>
      <c r="OSQ72" s="379"/>
      <c r="OSR72" s="380"/>
      <c r="OSS72" s="380"/>
      <c r="OST72" s="380"/>
      <c r="OSU72" s="381"/>
      <c r="OSV72" s="381"/>
      <c r="OSW72" s="381"/>
      <c r="OSX72" s="381"/>
      <c r="OSY72" s="381"/>
      <c r="OSZ72" s="381"/>
      <c r="OTA72" s="381"/>
      <c r="OTB72" s="381"/>
      <c r="OTC72" s="381"/>
      <c r="OTD72" s="381"/>
      <c r="OTE72" s="381"/>
      <c r="OTF72" s="381"/>
      <c r="OTG72" s="381"/>
      <c r="OTH72" s="381"/>
      <c r="OTI72" s="381"/>
      <c r="OTJ72" s="381"/>
      <c r="OTK72" s="381"/>
      <c r="OTL72" s="381"/>
      <c r="OTM72" s="381"/>
      <c r="OTN72" s="381"/>
      <c r="OTO72" s="381"/>
      <c r="OTP72" s="381"/>
      <c r="OTQ72" s="381"/>
      <c r="OTR72" s="381"/>
      <c r="OTS72" s="381"/>
      <c r="OTT72" s="381"/>
      <c r="OTU72" s="379"/>
      <c r="OTV72" s="380"/>
      <c r="OTW72" s="380"/>
      <c r="OTX72" s="380"/>
      <c r="OTY72" s="381"/>
      <c r="OTZ72" s="381"/>
      <c r="OUA72" s="381"/>
      <c r="OUB72" s="381"/>
      <c r="OUC72" s="381"/>
      <c r="OUD72" s="381"/>
      <c r="OUE72" s="381"/>
      <c r="OUF72" s="381"/>
      <c r="OUG72" s="381"/>
      <c r="OUH72" s="381"/>
      <c r="OUI72" s="381"/>
      <c r="OUJ72" s="381"/>
      <c r="OUK72" s="381"/>
      <c r="OUL72" s="381"/>
      <c r="OUM72" s="381"/>
      <c r="OUN72" s="381"/>
      <c r="OUO72" s="381"/>
      <c r="OUP72" s="381"/>
      <c r="OUQ72" s="381"/>
      <c r="OUR72" s="381"/>
      <c r="OUS72" s="381"/>
      <c r="OUT72" s="381"/>
      <c r="OUU72" s="381"/>
      <c r="OUV72" s="381"/>
      <c r="OUW72" s="381"/>
      <c r="OUX72" s="381"/>
      <c r="OUY72" s="379"/>
      <c r="OUZ72" s="380"/>
      <c r="OVA72" s="380"/>
      <c r="OVB72" s="380"/>
      <c r="OVC72" s="381"/>
      <c r="OVD72" s="381"/>
      <c r="OVE72" s="381"/>
      <c r="OVF72" s="381"/>
      <c r="OVG72" s="381"/>
      <c r="OVH72" s="381"/>
      <c r="OVI72" s="381"/>
      <c r="OVJ72" s="381"/>
      <c r="OVK72" s="381"/>
      <c r="OVL72" s="381"/>
      <c r="OVM72" s="381"/>
      <c r="OVN72" s="381"/>
      <c r="OVO72" s="381"/>
      <c r="OVP72" s="381"/>
      <c r="OVQ72" s="381"/>
      <c r="OVR72" s="381"/>
      <c r="OVS72" s="381"/>
      <c r="OVT72" s="381"/>
      <c r="OVU72" s="381"/>
      <c r="OVV72" s="381"/>
      <c r="OVW72" s="381"/>
      <c r="OVX72" s="381"/>
      <c r="OVY72" s="381"/>
      <c r="OVZ72" s="381"/>
      <c r="OWA72" s="381"/>
      <c r="OWB72" s="381"/>
      <c r="OWC72" s="379"/>
      <c r="OWD72" s="380"/>
      <c r="OWE72" s="380"/>
      <c r="OWF72" s="380"/>
      <c r="OWG72" s="381"/>
      <c r="OWH72" s="381"/>
      <c r="OWI72" s="381"/>
      <c r="OWJ72" s="381"/>
      <c r="OWK72" s="381"/>
      <c r="OWL72" s="381"/>
      <c r="OWM72" s="381"/>
      <c r="OWN72" s="381"/>
      <c r="OWO72" s="381"/>
      <c r="OWP72" s="381"/>
      <c r="OWQ72" s="381"/>
      <c r="OWR72" s="381"/>
      <c r="OWS72" s="381"/>
      <c r="OWT72" s="381"/>
      <c r="OWU72" s="381"/>
      <c r="OWV72" s="381"/>
      <c r="OWW72" s="381"/>
      <c r="OWX72" s="381"/>
      <c r="OWY72" s="381"/>
      <c r="OWZ72" s="381"/>
      <c r="OXA72" s="381"/>
      <c r="OXB72" s="381"/>
      <c r="OXC72" s="381"/>
      <c r="OXD72" s="381"/>
      <c r="OXE72" s="381"/>
      <c r="OXF72" s="381"/>
      <c r="OXG72" s="379"/>
      <c r="OXH72" s="380"/>
      <c r="OXI72" s="380"/>
      <c r="OXJ72" s="380"/>
      <c r="OXK72" s="381"/>
      <c r="OXL72" s="381"/>
      <c r="OXM72" s="381"/>
      <c r="OXN72" s="381"/>
      <c r="OXO72" s="381"/>
      <c r="OXP72" s="381"/>
      <c r="OXQ72" s="381"/>
      <c r="OXR72" s="381"/>
      <c r="OXS72" s="381"/>
      <c r="OXT72" s="381"/>
      <c r="OXU72" s="381"/>
      <c r="OXV72" s="381"/>
      <c r="OXW72" s="381"/>
      <c r="OXX72" s="381"/>
      <c r="OXY72" s="381"/>
      <c r="OXZ72" s="381"/>
      <c r="OYA72" s="381"/>
      <c r="OYB72" s="381"/>
      <c r="OYC72" s="381"/>
      <c r="OYD72" s="381"/>
      <c r="OYE72" s="381"/>
      <c r="OYF72" s="381"/>
      <c r="OYG72" s="381"/>
      <c r="OYH72" s="381"/>
      <c r="OYI72" s="381"/>
      <c r="OYJ72" s="381"/>
      <c r="OYK72" s="379"/>
      <c r="OYL72" s="380"/>
      <c r="OYM72" s="380"/>
      <c r="OYN72" s="380"/>
      <c r="OYO72" s="381"/>
      <c r="OYP72" s="381"/>
      <c r="OYQ72" s="381"/>
      <c r="OYR72" s="381"/>
      <c r="OYS72" s="381"/>
      <c r="OYT72" s="381"/>
      <c r="OYU72" s="381"/>
      <c r="OYV72" s="381"/>
      <c r="OYW72" s="381"/>
      <c r="OYX72" s="381"/>
      <c r="OYY72" s="381"/>
      <c r="OYZ72" s="381"/>
      <c r="OZA72" s="381"/>
      <c r="OZB72" s="381"/>
      <c r="OZC72" s="381"/>
      <c r="OZD72" s="381"/>
      <c r="OZE72" s="381"/>
      <c r="OZF72" s="381"/>
      <c r="OZG72" s="381"/>
      <c r="OZH72" s="381"/>
      <c r="OZI72" s="381"/>
      <c r="OZJ72" s="381"/>
      <c r="OZK72" s="381"/>
      <c r="OZL72" s="381"/>
      <c r="OZM72" s="381"/>
      <c r="OZN72" s="381"/>
      <c r="OZO72" s="379"/>
      <c r="OZP72" s="380"/>
      <c r="OZQ72" s="380"/>
      <c r="OZR72" s="380"/>
      <c r="OZS72" s="381"/>
      <c r="OZT72" s="381"/>
      <c r="OZU72" s="381"/>
      <c r="OZV72" s="381"/>
      <c r="OZW72" s="381"/>
      <c r="OZX72" s="381"/>
      <c r="OZY72" s="381"/>
      <c r="OZZ72" s="381"/>
      <c r="PAA72" s="381"/>
      <c r="PAB72" s="381"/>
      <c r="PAC72" s="381"/>
      <c r="PAD72" s="381"/>
      <c r="PAE72" s="381"/>
      <c r="PAF72" s="381"/>
      <c r="PAG72" s="381"/>
      <c r="PAH72" s="381"/>
      <c r="PAI72" s="381"/>
      <c r="PAJ72" s="381"/>
      <c r="PAK72" s="381"/>
      <c r="PAL72" s="381"/>
      <c r="PAM72" s="381"/>
      <c r="PAN72" s="381"/>
      <c r="PAO72" s="381"/>
      <c r="PAP72" s="381"/>
      <c r="PAQ72" s="381"/>
      <c r="PAR72" s="381"/>
      <c r="PAS72" s="379"/>
      <c r="PAT72" s="380"/>
      <c r="PAU72" s="380"/>
      <c r="PAV72" s="380"/>
      <c r="PAW72" s="381"/>
      <c r="PAX72" s="381"/>
      <c r="PAY72" s="381"/>
      <c r="PAZ72" s="381"/>
      <c r="PBA72" s="381"/>
      <c r="PBB72" s="381"/>
      <c r="PBC72" s="381"/>
      <c r="PBD72" s="381"/>
      <c r="PBE72" s="381"/>
      <c r="PBF72" s="381"/>
      <c r="PBG72" s="381"/>
      <c r="PBH72" s="381"/>
      <c r="PBI72" s="381"/>
      <c r="PBJ72" s="381"/>
      <c r="PBK72" s="381"/>
      <c r="PBL72" s="381"/>
      <c r="PBM72" s="381"/>
      <c r="PBN72" s="381"/>
      <c r="PBO72" s="381"/>
      <c r="PBP72" s="381"/>
      <c r="PBQ72" s="381"/>
      <c r="PBR72" s="381"/>
      <c r="PBS72" s="381"/>
      <c r="PBT72" s="381"/>
      <c r="PBU72" s="381"/>
      <c r="PBV72" s="381"/>
      <c r="PBW72" s="379"/>
      <c r="PBX72" s="380"/>
      <c r="PBY72" s="380"/>
      <c r="PBZ72" s="380"/>
      <c r="PCA72" s="381"/>
      <c r="PCB72" s="381"/>
      <c r="PCC72" s="381"/>
      <c r="PCD72" s="381"/>
      <c r="PCE72" s="381"/>
      <c r="PCF72" s="381"/>
      <c r="PCG72" s="381"/>
      <c r="PCH72" s="381"/>
      <c r="PCI72" s="381"/>
      <c r="PCJ72" s="381"/>
      <c r="PCK72" s="381"/>
      <c r="PCL72" s="381"/>
      <c r="PCM72" s="381"/>
      <c r="PCN72" s="381"/>
      <c r="PCO72" s="381"/>
      <c r="PCP72" s="381"/>
      <c r="PCQ72" s="381"/>
      <c r="PCR72" s="381"/>
      <c r="PCS72" s="381"/>
      <c r="PCT72" s="381"/>
      <c r="PCU72" s="381"/>
      <c r="PCV72" s="381"/>
      <c r="PCW72" s="381"/>
      <c r="PCX72" s="381"/>
      <c r="PCY72" s="381"/>
      <c r="PCZ72" s="381"/>
      <c r="PDA72" s="379"/>
      <c r="PDB72" s="380"/>
      <c r="PDC72" s="380"/>
      <c r="PDD72" s="380"/>
      <c r="PDE72" s="381"/>
      <c r="PDF72" s="381"/>
      <c r="PDG72" s="381"/>
      <c r="PDH72" s="381"/>
      <c r="PDI72" s="381"/>
      <c r="PDJ72" s="381"/>
      <c r="PDK72" s="381"/>
      <c r="PDL72" s="381"/>
      <c r="PDM72" s="381"/>
      <c r="PDN72" s="381"/>
      <c r="PDO72" s="381"/>
      <c r="PDP72" s="381"/>
      <c r="PDQ72" s="381"/>
      <c r="PDR72" s="381"/>
      <c r="PDS72" s="381"/>
      <c r="PDT72" s="381"/>
      <c r="PDU72" s="381"/>
      <c r="PDV72" s="381"/>
      <c r="PDW72" s="381"/>
      <c r="PDX72" s="381"/>
      <c r="PDY72" s="381"/>
      <c r="PDZ72" s="381"/>
      <c r="PEA72" s="381"/>
      <c r="PEB72" s="381"/>
      <c r="PEC72" s="381"/>
      <c r="PED72" s="381"/>
      <c r="PEE72" s="379"/>
      <c r="PEF72" s="380"/>
      <c r="PEG72" s="380"/>
      <c r="PEH72" s="380"/>
      <c r="PEI72" s="381"/>
      <c r="PEJ72" s="381"/>
      <c r="PEK72" s="381"/>
      <c r="PEL72" s="381"/>
      <c r="PEM72" s="381"/>
      <c r="PEN72" s="381"/>
      <c r="PEO72" s="381"/>
      <c r="PEP72" s="381"/>
      <c r="PEQ72" s="381"/>
      <c r="PER72" s="381"/>
      <c r="PES72" s="381"/>
      <c r="PET72" s="381"/>
      <c r="PEU72" s="381"/>
      <c r="PEV72" s="381"/>
      <c r="PEW72" s="381"/>
      <c r="PEX72" s="381"/>
      <c r="PEY72" s="381"/>
      <c r="PEZ72" s="381"/>
      <c r="PFA72" s="381"/>
      <c r="PFB72" s="381"/>
      <c r="PFC72" s="381"/>
      <c r="PFD72" s="381"/>
      <c r="PFE72" s="381"/>
      <c r="PFF72" s="381"/>
      <c r="PFG72" s="381"/>
      <c r="PFH72" s="381"/>
      <c r="PFI72" s="379"/>
      <c r="PFJ72" s="380"/>
      <c r="PFK72" s="380"/>
      <c r="PFL72" s="380"/>
      <c r="PFM72" s="381"/>
      <c r="PFN72" s="381"/>
      <c r="PFO72" s="381"/>
      <c r="PFP72" s="381"/>
      <c r="PFQ72" s="381"/>
      <c r="PFR72" s="381"/>
      <c r="PFS72" s="381"/>
      <c r="PFT72" s="381"/>
      <c r="PFU72" s="381"/>
      <c r="PFV72" s="381"/>
      <c r="PFW72" s="381"/>
      <c r="PFX72" s="381"/>
      <c r="PFY72" s="381"/>
      <c r="PFZ72" s="381"/>
      <c r="PGA72" s="381"/>
      <c r="PGB72" s="381"/>
      <c r="PGC72" s="381"/>
      <c r="PGD72" s="381"/>
      <c r="PGE72" s="381"/>
      <c r="PGF72" s="381"/>
      <c r="PGG72" s="381"/>
      <c r="PGH72" s="381"/>
      <c r="PGI72" s="381"/>
      <c r="PGJ72" s="381"/>
      <c r="PGK72" s="381"/>
      <c r="PGL72" s="381"/>
      <c r="PGM72" s="379"/>
      <c r="PGN72" s="380"/>
      <c r="PGO72" s="380"/>
      <c r="PGP72" s="380"/>
      <c r="PGQ72" s="381"/>
      <c r="PGR72" s="381"/>
      <c r="PGS72" s="381"/>
      <c r="PGT72" s="381"/>
      <c r="PGU72" s="381"/>
      <c r="PGV72" s="381"/>
      <c r="PGW72" s="381"/>
      <c r="PGX72" s="381"/>
      <c r="PGY72" s="381"/>
      <c r="PGZ72" s="381"/>
      <c r="PHA72" s="381"/>
      <c r="PHB72" s="381"/>
      <c r="PHC72" s="381"/>
      <c r="PHD72" s="381"/>
      <c r="PHE72" s="381"/>
      <c r="PHF72" s="381"/>
      <c r="PHG72" s="381"/>
      <c r="PHH72" s="381"/>
      <c r="PHI72" s="381"/>
      <c r="PHJ72" s="381"/>
      <c r="PHK72" s="381"/>
      <c r="PHL72" s="381"/>
      <c r="PHM72" s="381"/>
      <c r="PHN72" s="381"/>
      <c r="PHO72" s="381"/>
      <c r="PHP72" s="381"/>
      <c r="PHQ72" s="379"/>
      <c r="PHR72" s="380"/>
      <c r="PHS72" s="380"/>
      <c r="PHT72" s="380"/>
      <c r="PHU72" s="381"/>
      <c r="PHV72" s="381"/>
      <c r="PHW72" s="381"/>
      <c r="PHX72" s="381"/>
      <c r="PHY72" s="381"/>
      <c r="PHZ72" s="381"/>
      <c r="PIA72" s="381"/>
      <c r="PIB72" s="381"/>
      <c r="PIC72" s="381"/>
      <c r="PID72" s="381"/>
      <c r="PIE72" s="381"/>
      <c r="PIF72" s="381"/>
      <c r="PIG72" s="381"/>
      <c r="PIH72" s="381"/>
      <c r="PII72" s="381"/>
      <c r="PIJ72" s="381"/>
      <c r="PIK72" s="381"/>
      <c r="PIL72" s="381"/>
      <c r="PIM72" s="381"/>
      <c r="PIN72" s="381"/>
      <c r="PIO72" s="381"/>
      <c r="PIP72" s="381"/>
      <c r="PIQ72" s="381"/>
      <c r="PIR72" s="381"/>
      <c r="PIS72" s="381"/>
      <c r="PIT72" s="381"/>
      <c r="PIU72" s="379"/>
      <c r="PIV72" s="380"/>
      <c r="PIW72" s="380"/>
      <c r="PIX72" s="380"/>
      <c r="PIY72" s="381"/>
      <c r="PIZ72" s="381"/>
      <c r="PJA72" s="381"/>
      <c r="PJB72" s="381"/>
      <c r="PJC72" s="381"/>
      <c r="PJD72" s="381"/>
      <c r="PJE72" s="381"/>
      <c r="PJF72" s="381"/>
      <c r="PJG72" s="381"/>
      <c r="PJH72" s="381"/>
      <c r="PJI72" s="381"/>
      <c r="PJJ72" s="381"/>
      <c r="PJK72" s="381"/>
      <c r="PJL72" s="381"/>
      <c r="PJM72" s="381"/>
      <c r="PJN72" s="381"/>
      <c r="PJO72" s="381"/>
      <c r="PJP72" s="381"/>
      <c r="PJQ72" s="381"/>
      <c r="PJR72" s="381"/>
      <c r="PJS72" s="381"/>
      <c r="PJT72" s="381"/>
      <c r="PJU72" s="381"/>
      <c r="PJV72" s="381"/>
      <c r="PJW72" s="381"/>
      <c r="PJX72" s="381"/>
      <c r="PJY72" s="379"/>
      <c r="PJZ72" s="380"/>
      <c r="PKA72" s="380"/>
      <c r="PKB72" s="380"/>
      <c r="PKC72" s="381"/>
      <c r="PKD72" s="381"/>
      <c r="PKE72" s="381"/>
      <c r="PKF72" s="381"/>
      <c r="PKG72" s="381"/>
      <c r="PKH72" s="381"/>
      <c r="PKI72" s="381"/>
      <c r="PKJ72" s="381"/>
      <c r="PKK72" s="381"/>
      <c r="PKL72" s="381"/>
      <c r="PKM72" s="381"/>
      <c r="PKN72" s="381"/>
      <c r="PKO72" s="381"/>
      <c r="PKP72" s="381"/>
      <c r="PKQ72" s="381"/>
      <c r="PKR72" s="381"/>
      <c r="PKS72" s="381"/>
      <c r="PKT72" s="381"/>
      <c r="PKU72" s="381"/>
      <c r="PKV72" s="381"/>
      <c r="PKW72" s="381"/>
      <c r="PKX72" s="381"/>
      <c r="PKY72" s="381"/>
      <c r="PKZ72" s="381"/>
      <c r="PLA72" s="381"/>
      <c r="PLB72" s="381"/>
      <c r="PLC72" s="379"/>
      <c r="PLD72" s="380"/>
      <c r="PLE72" s="380"/>
      <c r="PLF72" s="380"/>
      <c r="PLG72" s="381"/>
      <c r="PLH72" s="381"/>
      <c r="PLI72" s="381"/>
      <c r="PLJ72" s="381"/>
      <c r="PLK72" s="381"/>
      <c r="PLL72" s="381"/>
      <c r="PLM72" s="381"/>
      <c r="PLN72" s="381"/>
      <c r="PLO72" s="381"/>
      <c r="PLP72" s="381"/>
      <c r="PLQ72" s="381"/>
      <c r="PLR72" s="381"/>
      <c r="PLS72" s="381"/>
      <c r="PLT72" s="381"/>
      <c r="PLU72" s="381"/>
      <c r="PLV72" s="381"/>
      <c r="PLW72" s="381"/>
      <c r="PLX72" s="381"/>
      <c r="PLY72" s="381"/>
      <c r="PLZ72" s="381"/>
      <c r="PMA72" s="381"/>
      <c r="PMB72" s="381"/>
      <c r="PMC72" s="381"/>
      <c r="PMD72" s="381"/>
      <c r="PME72" s="381"/>
      <c r="PMF72" s="381"/>
      <c r="PMG72" s="379"/>
      <c r="PMH72" s="380"/>
      <c r="PMI72" s="380"/>
      <c r="PMJ72" s="380"/>
      <c r="PMK72" s="381"/>
      <c r="PML72" s="381"/>
      <c r="PMM72" s="381"/>
      <c r="PMN72" s="381"/>
      <c r="PMO72" s="381"/>
      <c r="PMP72" s="381"/>
      <c r="PMQ72" s="381"/>
      <c r="PMR72" s="381"/>
      <c r="PMS72" s="381"/>
      <c r="PMT72" s="381"/>
      <c r="PMU72" s="381"/>
      <c r="PMV72" s="381"/>
      <c r="PMW72" s="381"/>
      <c r="PMX72" s="381"/>
      <c r="PMY72" s="381"/>
      <c r="PMZ72" s="381"/>
      <c r="PNA72" s="381"/>
      <c r="PNB72" s="381"/>
      <c r="PNC72" s="381"/>
      <c r="PND72" s="381"/>
      <c r="PNE72" s="381"/>
      <c r="PNF72" s="381"/>
      <c r="PNG72" s="381"/>
      <c r="PNH72" s="381"/>
      <c r="PNI72" s="381"/>
      <c r="PNJ72" s="381"/>
      <c r="PNK72" s="379"/>
      <c r="PNL72" s="380"/>
      <c r="PNM72" s="380"/>
      <c r="PNN72" s="380"/>
      <c r="PNO72" s="381"/>
      <c r="PNP72" s="381"/>
      <c r="PNQ72" s="381"/>
      <c r="PNR72" s="381"/>
      <c r="PNS72" s="381"/>
      <c r="PNT72" s="381"/>
      <c r="PNU72" s="381"/>
      <c r="PNV72" s="381"/>
      <c r="PNW72" s="381"/>
      <c r="PNX72" s="381"/>
      <c r="PNY72" s="381"/>
      <c r="PNZ72" s="381"/>
      <c r="POA72" s="381"/>
      <c r="POB72" s="381"/>
      <c r="POC72" s="381"/>
      <c r="POD72" s="381"/>
      <c r="POE72" s="381"/>
      <c r="POF72" s="381"/>
      <c r="POG72" s="381"/>
      <c r="POH72" s="381"/>
      <c r="POI72" s="381"/>
      <c r="POJ72" s="381"/>
      <c r="POK72" s="381"/>
      <c r="POL72" s="381"/>
      <c r="POM72" s="381"/>
      <c r="PON72" s="381"/>
      <c r="POO72" s="379"/>
      <c r="POP72" s="380"/>
      <c r="POQ72" s="380"/>
      <c r="POR72" s="380"/>
      <c r="POS72" s="381"/>
      <c r="POT72" s="381"/>
      <c r="POU72" s="381"/>
      <c r="POV72" s="381"/>
      <c r="POW72" s="381"/>
      <c r="POX72" s="381"/>
      <c r="POY72" s="381"/>
      <c r="POZ72" s="381"/>
      <c r="PPA72" s="381"/>
      <c r="PPB72" s="381"/>
      <c r="PPC72" s="381"/>
      <c r="PPD72" s="381"/>
      <c r="PPE72" s="381"/>
      <c r="PPF72" s="381"/>
      <c r="PPG72" s="381"/>
      <c r="PPH72" s="381"/>
      <c r="PPI72" s="381"/>
      <c r="PPJ72" s="381"/>
      <c r="PPK72" s="381"/>
      <c r="PPL72" s="381"/>
      <c r="PPM72" s="381"/>
      <c r="PPN72" s="381"/>
      <c r="PPO72" s="381"/>
      <c r="PPP72" s="381"/>
      <c r="PPQ72" s="381"/>
      <c r="PPR72" s="381"/>
      <c r="PPS72" s="379"/>
      <c r="PPT72" s="380"/>
      <c r="PPU72" s="380"/>
      <c r="PPV72" s="380"/>
      <c r="PPW72" s="381"/>
      <c r="PPX72" s="381"/>
      <c r="PPY72" s="381"/>
      <c r="PPZ72" s="381"/>
      <c r="PQA72" s="381"/>
      <c r="PQB72" s="381"/>
      <c r="PQC72" s="381"/>
      <c r="PQD72" s="381"/>
      <c r="PQE72" s="381"/>
      <c r="PQF72" s="381"/>
      <c r="PQG72" s="381"/>
      <c r="PQH72" s="381"/>
      <c r="PQI72" s="381"/>
      <c r="PQJ72" s="381"/>
      <c r="PQK72" s="381"/>
      <c r="PQL72" s="381"/>
      <c r="PQM72" s="381"/>
      <c r="PQN72" s="381"/>
      <c r="PQO72" s="381"/>
      <c r="PQP72" s="381"/>
      <c r="PQQ72" s="381"/>
      <c r="PQR72" s="381"/>
      <c r="PQS72" s="381"/>
      <c r="PQT72" s="381"/>
      <c r="PQU72" s="381"/>
      <c r="PQV72" s="381"/>
      <c r="PQW72" s="379"/>
      <c r="PQX72" s="380"/>
      <c r="PQY72" s="380"/>
      <c r="PQZ72" s="380"/>
      <c r="PRA72" s="381"/>
      <c r="PRB72" s="381"/>
      <c r="PRC72" s="381"/>
      <c r="PRD72" s="381"/>
      <c r="PRE72" s="381"/>
      <c r="PRF72" s="381"/>
      <c r="PRG72" s="381"/>
      <c r="PRH72" s="381"/>
      <c r="PRI72" s="381"/>
      <c r="PRJ72" s="381"/>
      <c r="PRK72" s="381"/>
      <c r="PRL72" s="381"/>
      <c r="PRM72" s="381"/>
      <c r="PRN72" s="381"/>
      <c r="PRO72" s="381"/>
      <c r="PRP72" s="381"/>
      <c r="PRQ72" s="381"/>
      <c r="PRR72" s="381"/>
      <c r="PRS72" s="381"/>
      <c r="PRT72" s="381"/>
      <c r="PRU72" s="381"/>
      <c r="PRV72" s="381"/>
      <c r="PRW72" s="381"/>
      <c r="PRX72" s="381"/>
      <c r="PRY72" s="381"/>
      <c r="PRZ72" s="381"/>
      <c r="PSA72" s="379"/>
      <c r="PSB72" s="380"/>
      <c r="PSC72" s="380"/>
      <c r="PSD72" s="380"/>
      <c r="PSE72" s="381"/>
      <c r="PSF72" s="381"/>
      <c r="PSG72" s="381"/>
      <c r="PSH72" s="381"/>
      <c r="PSI72" s="381"/>
      <c r="PSJ72" s="381"/>
      <c r="PSK72" s="381"/>
      <c r="PSL72" s="381"/>
      <c r="PSM72" s="381"/>
      <c r="PSN72" s="381"/>
      <c r="PSO72" s="381"/>
      <c r="PSP72" s="381"/>
      <c r="PSQ72" s="381"/>
      <c r="PSR72" s="381"/>
      <c r="PSS72" s="381"/>
      <c r="PST72" s="381"/>
      <c r="PSU72" s="381"/>
      <c r="PSV72" s="381"/>
      <c r="PSW72" s="381"/>
      <c r="PSX72" s="381"/>
      <c r="PSY72" s="381"/>
      <c r="PSZ72" s="381"/>
      <c r="PTA72" s="381"/>
      <c r="PTB72" s="381"/>
      <c r="PTC72" s="381"/>
      <c r="PTD72" s="381"/>
      <c r="PTE72" s="379"/>
      <c r="PTF72" s="380"/>
      <c r="PTG72" s="380"/>
      <c r="PTH72" s="380"/>
      <c r="PTI72" s="381"/>
      <c r="PTJ72" s="381"/>
      <c r="PTK72" s="381"/>
      <c r="PTL72" s="381"/>
      <c r="PTM72" s="381"/>
      <c r="PTN72" s="381"/>
      <c r="PTO72" s="381"/>
      <c r="PTP72" s="381"/>
      <c r="PTQ72" s="381"/>
      <c r="PTR72" s="381"/>
      <c r="PTS72" s="381"/>
      <c r="PTT72" s="381"/>
      <c r="PTU72" s="381"/>
      <c r="PTV72" s="381"/>
      <c r="PTW72" s="381"/>
      <c r="PTX72" s="381"/>
      <c r="PTY72" s="381"/>
      <c r="PTZ72" s="381"/>
      <c r="PUA72" s="381"/>
      <c r="PUB72" s="381"/>
      <c r="PUC72" s="381"/>
      <c r="PUD72" s="381"/>
      <c r="PUE72" s="381"/>
      <c r="PUF72" s="381"/>
      <c r="PUG72" s="381"/>
      <c r="PUH72" s="381"/>
      <c r="PUI72" s="379"/>
      <c r="PUJ72" s="380"/>
      <c r="PUK72" s="380"/>
      <c r="PUL72" s="380"/>
      <c r="PUM72" s="381"/>
      <c r="PUN72" s="381"/>
      <c r="PUO72" s="381"/>
      <c r="PUP72" s="381"/>
      <c r="PUQ72" s="381"/>
      <c r="PUR72" s="381"/>
      <c r="PUS72" s="381"/>
      <c r="PUT72" s="381"/>
      <c r="PUU72" s="381"/>
      <c r="PUV72" s="381"/>
      <c r="PUW72" s="381"/>
      <c r="PUX72" s="381"/>
      <c r="PUY72" s="381"/>
      <c r="PUZ72" s="381"/>
      <c r="PVA72" s="381"/>
      <c r="PVB72" s="381"/>
      <c r="PVC72" s="381"/>
      <c r="PVD72" s="381"/>
      <c r="PVE72" s="381"/>
      <c r="PVF72" s="381"/>
      <c r="PVG72" s="381"/>
      <c r="PVH72" s="381"/>
      <c r="PVI72" s="381"/>
      <c r="PVJ72" s="381"/>
      <c r="PVK72" s="381"/>
      <c r="PVL72" s="381"/>
      <c r="PVM72" s="379"/>
      <c r="PVN72" s="380"/>
      <c r="PVO72" s="380"/>
      <c r="PVP72" s="380"/>
      <c r="PVQ72" s="381"/>
      <c r="PVR72" s="381"/>
      <c r="PVS72" s="381"/>
      <c r="PVT72" s="381"/>
      <c r="PVU72" s="381"/>
      <c r="PVV72" s="381"/>
      <c r="PVW72" s="381"/>
      <c r="PVX72" s="381"/>
      <c r="PVY72" s="381"/>
      <c r="PVZ72" s="381"/>
      <c r="PWA72" s="381"/>
      <c r="PWB72" s="381"/>
      <c r="PWC72" s="381"/>
      <c r="PWD72" s="381"/>
      <c r="PWE72" s="381"/>
      <c r="PWF72" s="381"/>
      <c r="PWG72" s="381"/>
      <c r="PWH72" s="381"/>
      <c r="PWI72" s="381"/>
      <c r="PWJ72" s="381"/>
      <c r="PWK72" s="381"/>
      <c r="PWL72" s="381"/>
      <c r="PWM72" s="381"/>
      <c r="PWN72" s="381"/>
      <c r="PWO72" s="381"/>
      <c r="PWP72" s="381"/>
      <c r="PWQ72" s="379"/>
      <c r="PWR72" s="380"/>
      <c r="PWS72" s="380"/>
      <c r="PWT72" s="380"/>
      <c r="PWU72" s="381"/>
      <c r="PWV72" s="381"/>
      <c r="PWW72" s="381"/>
      <c r="PWX72" s="381"/>
      <c r="PWY72" s="381"/>
      <c r="PWZ72" s="381"/>
      <c r="PXA72" s="381"/>
      <c r="PXB72" s="381"/>
      <c r="PXC72" s="381"/>
      <c r="PXD72" s="381"/>
      <c r="PXE72" s="381"/>
      <c r="PXF72" s="381"/>
      <c r="PXG72" s="381"/>
      <c r="PXH72" s="381"/>
      <c r="PXI72" s="381"/>
      <c r="PXJ72" s="381"/>
      <c r="PXK72" s="381"/>
      <c r="PXL72" s="381"/>
      <c r="PXM72" s="381"/>
      <c r="PXN72" s="381"/>
      <c r="PXO72" s="381"/>
      <c r="PXP72" s="381"/>
      <c r="PXQ72" s="381"/>
      <c r="PXR72" s="381"/>
      <c r="PXS72" s="381"/>
      <c r="PXT72" s="381"/>
      <c r="PXU72" s="379"/>
      <c r="PXV72" s="380"/>
      <c r="PXW72" s="380"/>
      <c r="PXX72" s="380"/>
      <c r="PXY72" s="381"/>
      <c r="PXZ72" s="381"/>
      <c r="PYA72" s="381"/>
      <c r="PYB72" s="381"/>
      <c r="PYC72" s="381"/>
      <c r="PYD72" s="381"/>
      <c r="PYE72" s="381"/>
      <c r="PYF72" s="381"/>
      <c r="PYG72" s="381"/>
      <c r="PYH72" s="381"/>
      <c r="PYI72" s="381"/>
      <c r="PYJ72" s="381"/>
      <c r="PYK72" s="381"/>
      <c r="PYL72" s="381"/>
      <c r="PYM72" s="381"/>
      <c r="PYN72" s="381"/>
      <c r="PYO72" s="381"/>
      <c r="PYP72" s="381"/>
      <c r="PYQ72" s="381"/>
      <c r="PYR72" s="381"/>
      <c r="PYS72" s="381"/>
      <c r="PYT72" s="381"/>
      <c r="PYU72" s="381"/>
      <c r="PYV72" s="381"/>
      <c r="PYW72" s="381"/>
      <c r="PYX72" s="381"/>
      <c r="PYY72" s="379"/>
      <c r="PYZ72" s="380"/>
      <c r="PZA72" s="380"/>
      <c r="PZB72" s="380"/>
      <c r="PZC72" s="381"/>
      <c r="PZD72" s="381"/>
      <c r="PZE72" s="381"/>
      <c r="PZF72" s="381"/>
      <c r="PZG72" s="381"/>
      <c r="PZH72" s="381"/>
      <c r="PZI72" s="381"/>
      <c r="PZJ72" s="381"/>
      <c r="PZK72" s="381"/>
      <c r="PZL72" s="381"/>
      <c r="PZM72" s="381"/>
      <c r="PZN72" s="381"/>
      <c r="PZO72" s="381"/>
      <c r="PZP72" s="381"/>
      <c r="PZQ72" s="381"/>
      <c r="PZR72" s="381"/>
      <c r="PZS72" s="381"/>
      <c r="PZT72" s="381"/>
      <c r="PZU72" s="381"/>
      <c r="PZV72" s="381"/>
      <c r="PZW72" s="381"/>
      <c r="PZX72" s="381"/>
      <c r="PZY72" s="381"/>
      <c r="PZZ72" s="381"/>
      <c r="QAA72" s="381"/>
      <c r="QAB72" s="381"/>
      <c r="QAC72" s="379"/>
      <c r="QAD72" s="380"/>
      <c r="QAE72" s="380"/>
      <c r="QAF72" s="380"/>
      <c r="QAG72" s="381"/>
      <c r="QAH72" s="381"/>
      <c r="QAI72" s="381"/>
      <c r="QAJ72" s="381"/>
      <c r="QAK72" s="381"/>
      <c r="QAL72" s="381"/>
      <c r="QAM72" s="381"/>
      <c r="QAN72" s="381"/>
      <c r="QAO72" s="381"/>
      <c r="QAP72" s="381"/>
      <c r="QAQ72" s="381"/>
      <c r="QAR72" s="381"/>
      <c r="QAS72" s="381"/>
      <c r="QAT72" s="381"/>
      <c r="QAU72" s="381"/>
      <c r="QAV72" s="381"/>
      <c r="QAW72" s="381"/>
      <c r="QAX72" s="381"/>
      <c r="QAY72" s="381"/>
      <c r="QAZ72" s="381"/>
      <c r="QBA72" s="381"/>
      <c r="QBB72" s="381"/>
      <c r="QBC72" s="381"/>
      <c r="QBD72" s="381"/>
      <c r="QBE72" s="381"/>
      <c r="QBF72" s="381"/>
      <c r="QBG72" s="379"/>
      <c r="QBH72" s="380"/>
      <c r="QBI72" s="380"/>
      <c r="QBJ72" s="380"/>
      <c r="QBK72" s="381"/>
      <c r="QBL72" s="381"/>
      <c r="QBM72" s="381"/>
      <c r="QBN72" s="381"/>
      <c r="QBO72" s="381"/>
      <c r="QBP72" s="381"/>
      <c r="QBQ72" s="381"/>
      <c r="QBR72" s="381"/>
      <c r="QBS72" s="381"/>
      <c r="QBT72" s="381"/>
      <c r="QBU72" s="381"/>
      <c r="QBV72" s="381"/>
      <c r="QBW72" s="381"/>
      <c r="QBX72" s="381"/>
      <c r="QBY72" s="381"/>
      <c r="QBZ72" s="381"/>
      <c r="QCA72" s="381"/>
      <c r="QCB72" s="381"/>
      <c r="QCC72" s="381"/>
      <c r="QCD72" s="381"/>
      <c r="QCE72" s="381"/>
      <c r="QCF72" s="381"/>
      <c r="QCG72" s="381"/>
      <c r="QCH72" s="381"/>
      <c r="QCI72" s="381"/>
      <c r="QCJ72" s="381"/>
      <c r="QCK72" s="379"/>
      <c r="QCL72" s="380"/>
      <c r="QCM72" s="380"/>
      <c r="QCN72" s="380"/>
      <c r="QCO72" s="381"/>
      <c r="QCP72" s="381"/>
      <c r="QCQ72" s="381"/>
      <c r="QCR72" s="381"/>
      <c r="QCS72" s="381"/>
      <c r="QCT72" s="381"/>
      <c r="QCU72" s="381"/>
      <c r="QCV72" s="381"/>
      <c r="QCW72" s="381"/>
      <c r="QCX72" s="381"/>
      <c r="QCY72" s="381"/>
      <c r="QCZ72" s="381"/>
      <c r="QDA72" s="381"/>
      <c r="QDB72" s="381"/>
      <c r="QDC72" s="381"/>
      <c r="QDD72" s="381"/>
      <c r="QDE72" s="381"/>
      <c r="QDF72" s="381"/>
      <c r="QDG72" s="381"/>
      <c r="QDH72" s="381"/>
      <c r="QDI72" s="381"/>
      <c r="QDJ72" s="381"/>
      <c r="QDK72" s="381"/>
      <c r="QDL72" s="381"/>
      <c r="QDM72" s="381"/>
      <c r="QDN72" s="381"/>
      <c r="QDO72" s="379"/>
      <c r="QDP72" s="380"/>
      <c r="QDQ72" s="380"/>
      <c r="QDR72" s="380"/>
      <c r="QDS72" s="381"/>
      <c r="QDT72" s="381"/>
      <c r="QDU72" s="381"/>
      <c r="QDV72" s="381"/>
      <c r="QDW72" s="381"/>
      <c r="QDX72" s="381"/>
      <c r="QDY72" s="381"/>
      <c r="QDZ72" s="381"/>
      <c r="QEA72" s="381"/>
      <c r="QEB72" s="381"/>
      <c r="QEC72" s="381"/>
      <c r="QED72" s="381"/>
      <c r="QEE72" s="381"/>
      <c r="QEF72" s="381"/>
      <c r="QEG72" s="381"/>
      <c r="QEH72" s="381"/>
      <c r="QEI72" s="381"/>
      <c r="QEJ72" s="381"/>
      <c r="QEK72" s="381"/>
      <c r="QEL72" s="381"/>
      <c r="QEM72" s="381"/>
      <c r="QEN72" s="381"/>
      <c r="QEO72" s="381"/>
      <c r="QEP72" s="381"/>
      <c r="QEQ72" s="381"/>
      <c r="QER72" s="381"/>
      <c r="QES72" s="379"/>
      <c r="QET72" s="380"/>
      <c r="QEU72" s="380"/>
      <c r="QEV72" s="380"/>
      <c r="QEW72" s="381"/>
      <c r="QEX72" s="381"/>
      <c r="QEY72" s="381"/>
      <c r="QEZ72" s="381"/>
      <c r="QFA72" s="381"/>
      <c r="QFB72" s="381"/>
      <c r="QFC72" s="381"/>
      <c r="QFD72" s="381"/>
      <c r="QFE72" s="381"/>
      <c r="QFF72" s="381"/>
      <c r="QFG72" s="381"/>
      <c r="QFH72" s="381"/>
      <c r="QFI72" s="381"/>
      <c r="QFJ72" s="381"/>
      <c r="QFK72" s="381"/>
      <c r="QFL72" s="381"/>
      <c r="QFM72" s="381"/>
      <c r="QFN72" s="381"/>
      <c r="QFO72" s="381"/>
      <c r="QFP72" s="381"/>
      <c r="QFQ72" s="381"/>
      <c r="QFR72" s="381"/>
      <c r="QFS72" s="381"/>
      <c r="QFT72" s="381"/>
      <c r="QFU72" s="381"/>
      <c r="QFV72" s="381"/>
      <c r="QFW72" s="379"/>
      <c r="QFX72" s="380"/>
      <c r="QFY72" s="380"/>
      <c r="QFZ72" s="380"/>
      <c r="QGA72" s="381"/>
      <c r="QGB72" s="381"/>
      <c r="QGC72" s="381"/>
      <c r="QGD72" s="381"/>
      <c r="QGE72" s="381"/>
      <c r="QGF72" s="381"/>
      <c r="QGG72" s="381"/>
      <c r="QGH72" s="381"/>
      <c r="QGI72" s="381"/>
      <c r="QGJ72" s="381"/>
      <c r="QGK72" s="381"/>
      <c r="QGL72" s="381"/>
      <c r="QGM72" s="381"/>
      <c r="QGN72" s="381"/>
      <c r="QGO72" s="381"/>
      <c r="QGP72" s="381"/>
      <c r="QGQ72" s="381"/>
      <c r="QGR72" s="381"/>
      <c r="QGS72" s="381"/>
      <c r="QGT72" s="381"/>
      <c r="QGU72" s="381"/>
      <c r="QGV72" s="381"/>
      <c r="QGW72" s="381"/>
      <c r="QGX72" s="381"/>
      <c r="QGY72" s="381"/>
      <c r="QGZ72" s="381"/>
      <c r="QHA72" s="379"/>
      <c r="QHB72" s="380"/>
      <c r="QHC72" s="380"/>
      <c r="QHD72" s="380"/>
      <c r="QHE72" s="381"/>
      <c r="QHF72" s="381"/>
      <c r="QHG72" s="381"/>
      <c r="QHH72" s="381"/>
      <c r="QHI72" s="381"/>
      <c r="QHJ72" s="381"/>
      <c r="QHK72" s="381"/>
      <c r="QHL72" s="381"/>
      <c r="QHM72" s="381"/>
      <c r="QHN72" s="381"/>
      <c r="QHO72" s="381"/>
      <c r="QHP72" s="381"/>
      <c r="QHQ72" s="381"/>
      <c r="QHR72" s="381"/>
      <c r="QHS72" s="381"/>
      <c r="QHT72" s="381"/>
      <c r="QHU72" s="381"/>
      <c r="QHV72" s="381"/>
      <c r="QHW72" s="381"/>
      <c r="QHX72" s="381"/>
      <c r="QHY72" s="381"/>
      <c r="QHZ72" s="381"/>
      <c r="QIA72" s="381"/>
      <c r="QIB72" s="381"/>
      <c r="QIC72" s="381"/>
      <c r="QID72" s="381"/>
      <c r="QIE72" s="379"/>
      <c r="QIF72" s="380"/>
      <c r="QIG72" s="380"/>
      <c r="QIH72" s="380"/>
      <c r="QII72" s="381"/>
      <c r="QIJ72" s="381"/>
      <c r="QIK72" s="381"/>
      <c r="QIL72" s="381"/>
      <c r="QIM72" s="381"/>
      <c r="QIN72" s="381"/>
      <c r="QIO72" s="381"/>
      <c r="QIP72" s="381"/>
      <c r="QIQ72" s="381"/>
      <c r="QIR72" s="381"/>
      <c r="QIS72" s="381"/>
      <c r="QIT72" s="381"/>
      <c r="QIU72" s="381"/>
      <c r="QIV72" s="381"/>
      <c r="QIW72" s="381"/>
      <c r="QIX72" s="381"/>
      <c r="QIY72" s="381"/>
      <c r="QIZ72" s="381"/>
      <c r="QJA72" s="381"/>
      <c r="QJB72" s="381"/>
      <c r="QJC72" s="381"/>
      <c r="QJD72" s="381"/>
      <c r="QJE72" s="381"/>
      <c r="QJF72" s="381"/>
      <c r="QJG72" s="381"/>
      <c r="QJH72" s="381"/>
      <c r="QJI72" s="379"/>
      <c r="QJJ72" s="380"/>
      <c r="QJK72" s="380"/>
      <c r="QJL72" s="380"/>
      <c r="QJM72" s="381"/>
      <c r="QJN72" s="381"/>
      <c r="QJO72" s="381"/>
      <c r="QJP72" s="381"/>
      <c r="QJQ72" s="381"/>
      <c r="QJR72" s="381"/>
      <c r="QJS72" s="381"/>
      <c r="QJT72" s="381"/>
      <c r="QJU72" s="381"/>
      <c r="QJV72" s="381"/>
      <c r="QJW72" s="381"/>
      <c r="QJX72" s="381"/>
      <c r="QJY72" s="381"/>
      <c r="QJZ72" s="381"/>
      <c r="QKA72" s="381"/>
      <c r="QKB72" s="381"/>
      <c r="QKC72" s="381"/>
      <c r="QKD72" s="381"/>
      <c r="QKE72" s="381"/>
      <c r="QKF72" s="381"/>
      <c r="QKG72" s="381"/>
      <c r="QKH72" s="381"/>
      <c r="QKI72" s="381"/>
      <c r="QKJ72" s="381"/>
      <c r="QKK72" s="381"/>
      <c r="QKL72" s="381"/>
      <c r="QKM72" s="379"/>
      <c r="QKN72" s="380"/>
      <c r="QKO72" s="380"/>
      <c r="QKP72" s="380"/>
      <c r="QKQ72" s="381"/>
      <c r="QKR72" s="381"/>
      <c r="QKS72" s="381"/>
      <c r="QKT72" s="381"/>
      <c r="QKU72" s="381"/>
      <c r="QKV72" s="381"/>
      <c r="QKW72" s="381"/>
      <c r="QKX72" s="381"/>
      <c r="QKY72" s="381"/>
      <c r="QKZ72" s="381"/>
      <c r="QLA72" s="381"/>
      <c r="QLB72" s="381"/>
      <c r="QLC72" s="381"/>
      <c r="QLD72" s="381"/>
      <c r="QLE72" s="381"/>
      <c r="QLF72" s="381"/>
      <c r="QLG72" s="381"/>
      <c r="QLH72" s="381"/>
      <c r="QLI72" s="381"/>
      <c r="QLJ72" s="381"/>
      <c r="QLK72" s="381"/>
      <c r="QLL72" s="381"/>
      <c r="QLM72" s="381"/>
      <c r="QLN72" s="381"/>
      <c r="QLO72" s="381"/>
      <c r="QLP72" s="381"/>
      <c r="QLQ72" s="379"/>
      <c r="QLR72" s="380"/>
      <c r="QLS72" s="380"/>
      <c r="QLT72" s="380"/>
      <c r="QLU72" s="381"/>
      <c r="QLV72" s="381"/>
      <c r="QLW72" s="381"/>
      <c r="QLX72" s="381"/>
      <c r="QLY72" s="381"/>
      <c r="QLZ72" s="381"/>
      <c r="QMA72" s="381"/>
      <c r="QMB72" s="381"/>
      <c r="QMC72" s="381"/>
      <c r="QMD72" s="381"/>
      <c r="QME72" s="381"/>
      <c r="QMF72" s="381"/>
      <c r="QMG72" s="381"/>
      <c r="QMH72" s="381"/>
      <c r="QMI72" s="381"/>
      <c r="QMJ72" s="381"/>
      <c r="QMK72" s="381"/>
      <c r="QML72" s="381"/>
      <c r="QMM72" s="381"/>
      <c r="QMN72" s="381"/>
      <c r="QMO72" s="381"/>
      <c r="QMP72" s="381"/>
      <c r="QMQ72" s="381"/>
      <c r="QMR72" s="381"/>
      <c r="QMS72" s="381"/>
      <c r="QMT72" s="381"/>
      <c r="QMU72" s="379"/>
      <c r="QMV72" s="380"/>
      <c r="QMW72" s="380"/>
      <c r="QMX72" s="380"/>
      <c r="QMY72" s="381"/>
      <c r="QMZ72" s="381"/>
      <c r="QNA72" s="381"/>
      <c r="QNB72" s="381"/>
      <c r="QNC72" s="381"/>
      <c r="QND72" s="381"/>
      <c r="QNE72" s="381"/>
      <c r="QNF72" s="381"/>
      <c r="QNG72" s="381"/>
      <c r="QNH72" s="381"/>
      <c r="QNI72" s="381"/>
      <c r="QNJ72" s="381"/>
      <c r="QNK72" s="381"/>
      <c r="QNL72" s="381"/>
      <c r="QNM72" s="381"/>
      <c r="QNN72" s="381"/>
      <c r="QNO72" s="381"/>
      <c r="QNP72" s="381"/>
      <c r="QNQ72" s="381"/>
      <c r="QNR72" s="381"/>
      <c r="QNS72" s="381"/>
      <c r="QNT72" s="381"/>
      <c r="QNU72" s="381"/>
      <c r="QNV72" s="381"/>
      <c r="QNW72" s="381"/>
      <c r="QNX72" s="381"/>
      <c r="QNY72" s="379"/>
      <c r="QNZ72" s="380"/>
      <c r="QOA72" s="380"/>
      <c r="QOB72" s="380"/>
      <c r="QOC72" s="381"/>
      <c r="QOD72" s="381"/>
      <c r="QOE72" s="381"/>
      <c r="QOF72" s="381"/>
      <c r="QOG72" s="381"/>
      <c r="QOH72" s="381"/>
      <c r="QOI72" s="381"/>
      <c r="QOJ72" s="381"/>
      <c r="QOK72" s="381"/>
      <c r="QOL72" s="381"/>
      <c r="QOM72" s="381"/>
      <c r="QON72" s="381"/>
      <c r="QOO72" s="381"/>
      <c r="QOP72" s="381"/>
      <c r="QOQ72" s="381"/>
      <c r="QOR72" s="381"/>
      <c r="QOS72" s="381"/>
      <c r="QOT72" s="381"/>
      <c r="QOU72" s="381"/>
      <c r="QOV72" s="381"/>
      <c r="QOW72" s="381"/>
      <c r="QOX72" s="381"/>
      <c r="QOY72" s="381"/>
      <c r="QOZ72" s="381"/>
      <c r="QPA72" s="381"/>
      <c r="QPB72" s="381"/>
      <c r="QPC72" s="379"/>
      <c r="QPD72" s="380"/>
      <c r="QPE72" s="380"/>
      <c r="QPF72" s="380"/>
      <c r="QPG72" s="381"/>
      <c r="QPH72" s="381"/>
      <c r="QPI72" s="381"/>
      <c r="QPJ72" s="381"/>
      <c r="QPK72" s="381"/>
      <c r="QPL72" s="381"/>
      <c r="QPM72" s="381"/>
      <c r="QPN72" s="381"/>
      <c r="QPO72" s="381"/>
      <c r="QPP72" s="381"/>
      <c r="QPQ72" s="381"/>
      <c r="QPR72" s="381"/>
      <c r="QPS72" s="381"/>
      <c r="QPT72" s="381"/>
      <c r="QPU72" s="381"/>
      <c r="QPV72" s="381"/>
      <c r="QPW72" s="381"/>
      <c r="QPX72" s="381"/>
      <c r="QPY72" s="381"/>
      <c r="QPZ72" s="381"/>
      <c r="QQA72" s="381"/>
      <c r="QQB72" s="381"/>
      <c r="QQC72" s="381"/>
      <c r="QQD72" s="381"/>
      <c r="QQE72" s="381"/>
      <c r="QQF72" s="381"/>
      <c r="QQG72" s="379"/>
      <c r="QQH72" s="380"/>
      <c r="QQI72" s="380"/>
      <c r="QQJ72" s="380"/>
      <c r="QQK72" s="381"/>
      <c r="QQL72" s="381"/>
      <c r="QQM72" s="381"/>
      <c r="QQN72" s="381"/>
      <c r="QQO72" s="381"/>
      <c r="QQP72" s="381"/>
      <c r="QQQ72" s="381"/>
      <c r="QQR72" s="381"/>
      <c r="QQS72" s="381"/>
      <c r="QQT72" s="381"/>
      <c r="QQU72" s="381"/>
      <c r="QQV72" s="381"/>
      <c r="QQW72" s="381"/>
      <c r="QQX72" s="381"/>
      <c r="QQY72" s="381"/>
      <c r="QQZ72" s="381"/>
      <c r="QRA72" s="381"/>
      <c r="QRB72" s="381"/>
      <c r="QRC72" s="381"/>
      <c r="QRD72" s="381"/>
      <c r="QRE72" s="381"/>
      <c r="QRF72" s="381"/>
      <c r="QRG72" s="381"/>
      <c r="QRH72" s="381"/>
      <c r="QRI72" s="381"/>
      <c r="QRJ72" s="381"/>
      <c r="QRK72" s="379"/>
      <c r="QRL72" s="380"/>
      <c r="QRM72" s="380"/>
      <c r="QRN72" s="380"/>
      <c r="QRO72" s="381"/>
      <c r="QRP72" s="381"/>
      <c r="QRQ72" s="381"/>
      <c r="QRR72" s="381"/>
      <c r="QRS72" s="381"/>
      <c r="QRT72" s="381"/>
      <c r="QRU72" s="381"/>
      <c r="QRV72" s="381"/>
      <c r="QRW72" s="381"/>
      <c r="QRX72" s="381"/>
      <c r="QRY72" s="381"/>
      <c r="QRZ72" s="381"/>
      <c r="QSA72" s="381"/>
      <c r="QSB72" s="381"/>
      <c r="QSC72" s="381"/>
      <c r="QSD72" s="381"/>
      <c r="QSE72" s="381"/>
      <c r="QSF72" s="381"/>
      <c r="QSG72" s="381"/>
      <c r="QSH72" s="381"/>
      <c r="QSI72" s="381"/>
      <c r="QSJ72" s="381"/>
      <c r="QSK72" s="381"/>
      <c r="QSL72" s="381"/>
      <c r="QSM72" s="381"/>
      <c r="QSN72" s="381"/>
      <c r="QSO72" s="379"/>
      <c r="QSP72" s="380"/>
      <c r="QSQ72" s="380"/>
      <c r="QSR72" s="380"/>
      <c r="QSS72" s="381"/>
      <c r="QST72" s="381"/>
      <c r="QSU72" s="381"/>
      <c r="QSV72" s="381"/>
      <c r="QSW72" s="381"/>
      <c r="QSX72" s="381"/>
      <c r="QSY72" s="381"/>
      <c r="QSZ72" s="381"/>
      <c r="QTA72" s="381"/>
      <c r="QTB72" s="381"/>
      <c r="QTC72" s="381"/>
      <c r="QTD72" s="381"/>
      <c r="QTE72" s="381"/>
      <c r="QTF72" s="381"/>
      <c r="QTG72" s="381"/>
      <c r="QTH72" s="381"/>
      <c r="QTI72" s="381"/>
      <c r="QTJ72" s="381"/>
      <c r="QTK72" s="381"/>
      <c r="QTL72" s="381"/>
      <c r="QTM72" s="381"/>
      <c r="QTN72" s="381"/>
      <c r="QTO72" s="381"/>
      <c r="QTP72" s="381"/>
      <c r="QTQ72" s="381"/>
      <c r="QTR72" s="381"/>
      <c r="QTS72" s="379"/>
      <c r="QTT72" s="380"/>
      <c r="QTU72" s="380"/>
      <c r="QTV72" s="380"/>
      <c r="QTW72" s="381"/>
      <c r="QTX72" s="381"/>
      <c r="QTY72" s="381"/>
      <c r="QTZ72" s="381"/>
      <c r="QUA72" s="381"/>
      <c r="QUB72" s="381"/>
      <c r="QUC72" s="381"/>
      <c r="QUD72" s="381"/>
      <c r="QUE72" s="381"/>
      <c r="QUF72" s="381"/>
      <c r="QUG72" s="381"/>
      <c r="QUH72" s="381"/>
      <c r="QUI72" s="381"/>
      <c r="QUJ72" s="381"/>
      <c r="QUK72" s="381"/>
      <c r="QUL72" s="381"/>
      <c r="QUM72" s="381"/>
      <c r="QUN72" s="381"/>
      <c r="QUO72" s="381"/>
      <c r="QUP72" s="381"/>
      <c r="QUQ72" s="381"/>
      <c r="QUR72" s="381"/>
      <c r="QUS72" s="381"/>
      <c r="QUT72" s="381"/>
      <c r="QUU72" s="381"/>
      <c r="QUV72" s="381"/>
      <c r="QUW72" s="379"/>
      <c r="QUX72" s="380"/>
      <c r="QUY72" s="380"/>
      <c r="QUZ72" s="380"/>
      <c r="QVA72" s="381"/>
      <c r="QVB72" s="381"/>
      <c r="QVC72" s="381"/>
      <c r="QVD72" s="381"/>
      <c r="QVE72" s="381"/>
      <c r="QVF72" s="381"/>
      <c r="QVG72" s="381"/>
      <c r="QVH72" s="381"/>
      <c r="QVI72" s="381"/>
      <c r="QVJ72" s="381"/>
      <c r="QVK72" s="381"/>
      <c r="QVL72" s="381"/>
      <c r="QVM72" s="381"/>
      <c r="QVN72" s="381"/>
      <c r="QVO72" s="381"/>
      <c r="QVP72" s="381"/>
      <c r="QVQ72" s="381"/>
      <c r="QVR72" s="381"/>
      <c r="QVS72" s="381"/>
      <c r="QVT72" s="381"/>
      <c r="QVU72" s="381"/>
      <c r="QVV72" s="381"/>
      <c r="QVW72" s="381"/>
      <c r="QVX72" s="381"/>
      <c r="QVY72" s="381"/>
      <c r="QVZ72" s="381"/>
      <c r="QWA72" s="379"/>
      <c r="QWB72" s="380"/>
      <c r="QWC72" s="380"/>
      <c r="QWD72" s="380"/>
      <c r="QWE72" s="381"/>
      <c r="QWF72" s="381"/>
      <c r="QWG72" s="381"/>
      <c r="QWH72" s="381"/>
      <c r="QWI72" s="381"/>
      <c r="QWJ72" s="381"/>
      <c r="QWK72" s="381"/>
      <c r="QWL72" s="381"/>
      <c r="QWM72" s="381"/>
      <c r="QWN72" s="381"/>
      <c r="QWO72" s="381"/>
      <c r="QWP72" s="381"/>
      <c r="QWQ72" s="381"/>
      <c r="QWR72" s="381"/>
      <c r="QWS72" s="381"/>
      <c r="QWT72" s="381"/>
      <c r="QWU72" s="381"/>
      <c r="QWV72" s="381"/>
      <c r="QWW72" s="381"/>
      <c r="QWX72" s="381"/>
      <c r="QWY72" s="381"/>
      <c r="QWZ72" s="381"/>
      <c r="QXA72" s="381"/>
      <c r="QXB72" s="381"/>
      <c r="QXC72" s="381"/>
      <c r="QXD72" s="381"/>
      <c r="QXE72" s="379"/>
      <c r="QXF72" s="380"/>
      <c r="QXG72" s="380"/>
      <c r="QXH72" s="380"/>
      <c r="QXI72" s="381"/>
      <c r="QXJ72" s="381"/>
      <c r="QXK72" s="381"/>
      <c r="QXL72" s="381"/>
      <c r="QXM72" s="381"/>
      <c r="QXN72" s="381"/>
      <c r="QXO72" s="381"/>
      <c r="QXP72" s="381"/>
      <c r="QXQ72" s="381"/>
      <c r="QXR72" s="381"/>
      <c r="QXS72" s="381"/>
      <c r="QXT72" s="381"/>
      <c r="QXU72" s="381"/>
      <c r="QXV72" s="381"/>
      <c r="QXW72" s="381"/>
      <c r="QXX72" s="381"/>
      <c r="QXY72" s="381"/>
      <c r="QXZ72" s="381"/>
      <c r="QYA72" s="381"/>
      <c r="QYB72" s="381"/>
      <c r="QYC72" s="381"/>
      <c r="QYD72" s="381"/>
      <c r="QYE72" s="381"/>
      <c r="QYF72" s="381"/>
      <c r="QYG72" s="381"/>
      <c r="QYH72" s="381"/>
      <c r="QYI72" s="379"/>
      <c r="QYJ72" s="380"/>
      <c r="QYK72" s="380"/>
      <c r="QYL72" s="380"/>
      <c r="QYM72" s="381"/>
      <c r="QYN72" s="381"/>
      <c r="QYO72" s="381"/>
      <c r="QYP72" s="381"/>
      <c r="QYQ72" s="381"/>
      <c r="QYR72" s="381"/>
      <c r="QYS72" s="381"/>
      <c r="QYT72" s="381"/>
      <c r="QYU72" s="381"/>
      <c r="QYV72" s="381"/>
      <c r="QYW72" s="381"/>
      <c r="QYX72" s="381"/>
      <c r="QYY72" s="381"/>
      <c r="QYZ72" s="381"/>
      <c r="QZA72" s="381"/>
      <c r="QZB72" s="381"/>
      <c r="QZC72" s="381"/>
      <c r="QZD72" s="381"/>
      <c r="QZE72" s="381"/>
      <c r="QZF72" s="381"/>
      <c r="QZG72" s="381"/>
      <c r="QZH72" s="381"/>
      <c r="QZI72" s="381"/>
      <c r="QZJ72" s="381"/>
      <c r="QZK72" s="381"/>
      <c r="QZL72" s="381"/>
      <c r="QZM72" s="379"/>
      <c r="QZN72" s="380"/>
      <c r="QZO72" s="380"/>
      <c r="QZP72" s="380"/>
      <c r="QZQ72" s="381"/>
      <c r="QZR72" s="381"/>
      <c r="QZS72" s="381"/>
      <c r="QZT72" s="381"/>
      <c r="QZU72" s="381"/>
      <c r="QZV72" s="381"/>
      <c r="QZW72" s="381"/>
      <c r="QZX72" s="381"/>
      <c r="QZY72" s="381"/>
      <c r="QZZ72" s="381"/>
      <c r="RAA72" s="381"/>
      <c r="RAB72" s="381"/>
      <c r="RAC72" s="381"/>
      <c r="RAD72" s="381"/>
      <c r="RAE72" s="381"/>
      <c r="RAF72" s="381"/>
      <c r="RAG72" s="381"/>
      <c r="RAH72" s="381"/>
      <c r="RAI72" s="381"/>
      <c r="RAJ72" s="381"/>
      <c r="RAK72" s="381"/>
      <c r="RAL72" s="381"/>
      <c r="RAM72" s="381"/>
      <c r="RAN72" s="381"/>
      <c r="RAO72" s="381"/>
      <c r="RAP72" s="381"/>
      <c r="RAQ72" s="379"/>
      <c r="RAR72" s="380"/>
      <c r="RAS72" s="380"/>
      <c r="RAT72" s="380"/>
      <c r="RAU72" s="381"/>
      <c r="RAV72" s="381"/>
      <c r="RAW72" s="381"/>
      <c r="RAX72" s="381"/>
      <c r="RAY72" s="381"/>
      <c r="RAZ72" s="381"/>
      <c r="RBA72" s="381"/>
      <c r="RBB72" s="381"/>
      <c r="RBC72" s="381"/>
      <c r="RBD72" s="381"/>
      <c r="RBE72" s="381"/>
      <c r="RBF72" s="381"/>
      <c r="RBG72" s="381"/>
      <c r="RBH72" s="381"/>
      <c r="RBI72" s="381"/>
      <c r="RBJ72" s="381"/>
      <c r="RBK72" s="381"/>
      <c r="RBL72" s="381"/>
      <c r="RBM72" s="381"/>
      <c r="RBN72" s="381"/>
      <c r="RBO72" s="381"/>
      <c r="RBP72" s="381"/>
      <c r="RBQ72" s="381"/>
      <c r="RBR72" s="381"/>
      <c r="RBS72" s="381"/>
      <c r="RBT72" s="381"/>
      <c r="RBU72" s="379"/>
      <c r="RBV72" s="380"/>
      <c r="RBW72" s="380"/>
      <c r="RBX72" s="380"/>
      <c r="RBY72" s="381"/>
      <c r="RBZ72" s="381"/>
      <c r="RCA72" s="381"/>
      <c r="RCB72" s="381"/>
      <c r="RCC72" s="381"/>
      <c r="RCD72" s="381"/>
      <c r="RCE72" s="381"/>
      <c r="RCF72" s="381"/>
      <c r="RCG72" s="381"/>
      <c r="RCH72" s="381"/>
      <c r="RCI72" s="381"/>
      <c r="RCJ72" s="381"/>
      <c r="RCK72" s="381"/>
      <c r="RCL72" s="381"/>
      <c r="RCM72" s="381"/>
      <c r="RCN72" s="381"/>
      <c r="RCO72" s="381"/>
      <c r="RCP72" s="381"/>
      <c r="RCQ72" s="381"/>
      <c r="RCR72" s="381"/>
      <c r="RCS72" s="381"/>
      <c r="RCT72" s="381"/>
      <c r="RCU72" s="381"/>
      <c r="RCV72" s="381"/>
      <c r="RCW72" s="381"/>
      <c r="RCX72" s="381"/>
      <c r="RCY72" s="379"/>
      <c r="RCZ72" s="380"/>
      <c r="RDA72" s="380"/>
      <c r="RDB72" s="380"/>
      <c r="RDC72" s="381"/>
      <c r="RDD72" s="381"/>
      <c r="RDE72" s="381"/>
      <c r="RDF72" s="381"/>
      <c r="RDG72" s="381"/>
      <c r="RDH72" s="381"/>
      <c r="RDI72" s="381"/>
      <c r="RDJ72" s="381"/>
      <c r="RDK72" s="381"/>
      <c r="RDL72" s="381"/>
      <c r="RDM72" s="381"/>
      <c r="RDN72" s="381"/>
      <c r="RDO72" s="381"/>
      <c r="RDP72" s="381"/>
      <c r="RDQ72" s="381"/>
      <c r="RDR72" s="381"/>
      <c r="RDS72" s="381"/>
      <c r="RDT72" s="381"/>
      <c r="RDU72" s="381"/>
      <c r="RDV72" s="381"/>
      <c r="RDW72" s="381"/>
      <c r="RDX72" s="381"/>
      <c r="RDY72" s="381"/>
      <c r="RDZ72" s="381"/>
      <c r="REA72" s="381"/>
      <c r="REB72" s="381"/>
      <c r="REC72" s="379"/>
      <c r="RED72" s="380"/>
      <c r="REE72" s="380"/>
      <c r="REF72" s="380"/>
      <c r="REG72" s="381"/>
      <c r="REH72" s="381"/>
      <c r="REI72" s="381"/>
      <c r="REJ72" s="381"/>
      <c r="REK72" s="381"/>
      <c r="REL72" s="381"/>
      <c r="REM72" s="381"/>
      <c r="REN72" s="381"/>
      <c r="REO72" s="381"/>
      <c r="REP72" s="381"/>
      <c r="REQ72" s="381"/>
      <c r="RER72" s="381"/>
      <c r="RES72" s="381"/>
      <c r="RET72" s="381"/>
      <c r="REU72" s="381"/>
      <c r="REV72" s="381"/>
      <c r="REW72" s="381"/>
      <c r="REX72" s="381"/>
      <c r="REY72" s="381"/>
      <c r="REZ72" s="381"/>
      <c r="RFA72" s="381"/>
      <c r="RFB72" s="381"/>
      <c r="RFC72" s="381"/>
      <c r="RFD72" s="381"/>
      <c r="RFE72" s="381"/>
      <c r="RFF72" s="381"/>
      <c r="RFG72" s="379"/>
      <c r="RFH72" s="380"/>
      <c r="RFI72" s="380"/>
      <c r="RFJ72" s="380"/>
      <c r="RFK72" s="381"/>
      <c r="RFL72" s="381"/>
      <c r="RFM72" s="381"/>
      <c r="RFN72" s="381"/>
      <c r="RFO72" s="381"/>
      <c r="RFP72" s="381"/>
      <c r="RFQ72" s="381"/>
      <c r="RFR72" s="381"/>
      <c r="RFS72" s="381"/>
      <c r="RFT72" s="381"/>
      <c r="RFU72" s="381"/>
      <c r="RFV72" s="381"/>
      <c r="RFW72" s="381"/>
      <c r="RFX72" s="381"/>
      <c r="RFY72" s="381"/>
      <c r="RFZ72" s="381"/>
      <c r="RGA72" s="381"/>
      <c r="RGB72" s="381"/>
      <c r="RGC72" s="381"/>
      <c r="RGD72" s="381"/>
      <c r="RGE72" s="381"/>
      <c r="RGF72" s="381"/>
      <c r="RGG72" s="381"/>
      <c r="RGH72" s="381"/>
      <c r="RGI72" s="381"/>
      <c r="RGJ72" s="381"/>
      <c r="RGK72" s="379"/>
      <c r="RGL72" s="380"/>
      <c r="RGM72" s="380"/>
      <c r="RGN72" s="380"/>
      <c r="RGO72" s="381"/>
      <c r="RGP72" s="381"/>
      <c r="RGQ72" s="381"/>
      <c r="RGR72" s="381"/>
      <c r="RGS72" s="381"/>
      <c r="RGT72" s="381"/>
      <c r="RGU72" s="381"/>
      <c r="RGV72" s="381"/>
      <c r="RGW72" s="381"/>
      <c r="RGX72" s="381"/>
      <c r="RGY72" s="381"/>
      <c r="RGZ72" s="381"/>
      <c r="RHA72" s="381"/>
      <c r="RHB72" s="381"/>
      <c r="RHC72" s="381"/>
      <c r="RHD72" s="381"/>
      <c r="RHE72" s="381"/>
      <c r="RHF72" s="381"/>
      <c r="RHG72" s="381"/>
      <c r="RHH72" s="381"/>
      <c r="RHI72" s="381"/>
      <c r="RHJ72" s="381"/>
      <c r="RHK72" s="381"/>
      <c r="RHL72" s="381"/>
      <c r="RHM72" s="381"/>
      <c r="RHN72" s="381"/>
      <c r="RHO72" s="379"/>
      <c r="RHP72" s="380"/>
      <c r="RHQ72" s="380"/>
      <c r="RHR72" s="380"/>
      <c r="RHS72" s="381"/>
      <c r="RHT72" s="381"/>
      <c r="RHU72" s="381"/>
      <c r="RHV72" s="381"/>
      <c r="RHW72" s="381"/>
      <c r="RHX72" s="381"/>
      <c r="RHY72" s="381"/>
      <c r="RHZ72" s="381"/>
      <c r="RIA72" s="381"/>
      <c r="RIB72" s="381"/>
      <c r="RIC72" s="381"/>
      <c r="RID72" s="381"/>
      <c r="RIE72" s="381"/>
      <c r="RIF72" s="381"/>
      <c r="RIG72" s="381"/>
      <c r="RIH72" s="381"/>
      <c r="RII72" s="381"/>
      <c r="RIJ72" s="381"/>
      <c r="RIK72" s="381"/>
      <c r="RIL72" s="381"/>
      <c r="RIM72" s="381"/>
      <c r="RIN72" s="381"/>
      <c r="RIO72" s="381"/>
      <c r="RIP72" s="381"/>
      <c r="RIQ72" s="381"/>
      <c r="RIR72" s="381"/>
      <c r="RIS72" s="379"/>
      <c r="RIT72" s="380"/>
      <c r="RIU72" s="380"/>
      <c r="RIV72" s="380"/>
      <c r="RIW72" s="381"/>
      <c r="RIX72" s="381"/>
      <c r="RIY72" s="381"/>
      <c r="RIZ72" s="381"/>
      <c r="RJA72" s="381"/>
      <c r="RJB72" s="381"/>
      <c r="RJC72" s="381"/>
      <c r="RJD72" s="381"/>
      <c r="RJE72" s="381"/>
      <c r="RJF72" s="381"/>
      <c r="RJG72" s="381"/>
      <c r="RJH72" s="381"/>
      <c r="RJI72" s="381"/>
      <c r="RJJ72" s="381"/>
      <c r="RJK72" s="381"/>
      <c r="RJL72" s="381"/>
      <c r="RJM72" s="381"/>
      <c r="RJN72" s="381"/>
      <c r="RJO72" s="381"/>
      <c r="RJP72" s="381"/>
      <c r="RJQ72" s="381"/>
      <c r="RJR72" s="381"/>
      <c r="RJS72" s="381"/>
      <c r="RJT72" s="381"/>
      <c r="RJU72" s="381"/>
      <c r="RJV72" s="381"/>
      <c r="RJW72" s="379"/>
      <c r="RJX72" s="380"/>
      <c r="RJY72" s="380"/>
      <c r="RJZ72" s="380"/>
      <c r="RKA72" s="381"/>
      <c r="RKB72" s="381"/>
      <c r="RKC72" s="381"/>
      <c r="RKD72" s="381"/>
      <c r="RKE72" s="381"/>
      <c r="RKF72" s="381"/>
      <c r="RKG72" s="381"/>
      <c r="RKH72" s="381"/>
      <c r="RKI72" s="381"/>
      <c r="RKJ72" s="381"/>
      <c r="RKK72" s="381"/>
      <c r="RKL72" s="381"/>
      <c r="RKM72" s="381"/>
      <c r="RKN72" s="381"/>
      <c r="RKO72" s="381"/>
      <c r="RKP72" s="381"/>
      <c r="RKQ72" s="381"/>
      <c r="RKR72" s="381"/>
      <c r="RKS72" s="381"/>
      <c r="RKT72" s="381"/>
      <c r="RKU72" s="381"/>
      <c r="RKV72" s="381"/>
      <c r="RKW72" s="381"/>
      <c r="RKX72" s="381"/>
      <c r="RKY72" s="381"/>
      <c r="RKZ72" s="381"/>
      <c r="RLA72" s="379"/>
      <c r="RLB72" s="380"/>
      <c r="RLC72" s="380"/>
      <c r="RLD72" s="380"/>
      <c r="RLE72" s="381"/>
      <c r="RLF72" s="381"/>
      <c r="RLG72" s="381"/>
      <c r="RLH72" s="381"/>
      <c r="RLI72" s="381"/>
      <c r="RLJ72" s="381"/>
      <c r="RLK72" s="381"/>
      <c r="RLL72" s="381"/>
      <c r="RLM72" s="381"/>
      <c r="RLN72" s="381"/>
      <c r="RLO72" s="381"/>
      <c r="RLP72" s="381"/>
      <c r="RLQ72" s="381"/>
      <c r="RLR72" s="381"/>
      <c r="RLS72" s="381"/>
      <c r="RLT72" s="381"/>
      <c r="RLU72" s="381"/>
      <c r="RLV72" s="381"/>
      <c r="RLW72" s="381"/>
      <c r="RLX72" s="381"/>
      <c r="RLY72" s="381"/>
      <c r="RLZ72" s="381"/>
      <c r="RMA72" s="381"/>
      <c r="RMB72" s="381"/>
      <c r="RMC72" s="381"/>
      <c r="RMD72" s="381"/>
      <c r="RME72" s="379"/>
      <c r="RMF72" s="380"/>
      <c r="RMG72" s="380"/>
      <c r="RMH72" s="380"/>
      <c r="RMI72" s="381"/>
      <c r="RMJ72" s="381"/>
      <c r="RMK72" s="381"/>
      <c r="RML72" s="381"/>
      <c r="RMM72" s="381"/>
      <c r="RMN72" s="381"/>
      <c r="RMO72" s="381"/>
      <c r="RMP72" s="381"/>
      <c r="RMQ72" s="381"/>
      <c r="RMR72" s="381"/>
      <c r="RMS72" s="381"/>
      <c r="RMT72" s="381"/>
      <c r="RMU72" s="381"/>
      <c r="RMV72" s="381"/>
      <c r="RMW72" s="381"/>
      <c r="RMX72" s="381"/>
      <c r="RMY72" s="381"/>
      <c r="RMZ72" s="381"/>
      <c r="RNA72" s="381"/>
      <c r="RNB72" s="381"/>
      <c r="RNC72" s="381"/>
      <c r="RND72" s="381"/>
      <c r="RNE72" s="381"/>
      <c r="RNF72" s="381"/>
      <c r="RNG72" s="381"/>
      <c r="RNH72" s="381"/>
      <c r="RNI72" s="379"/>
      <c r="RNJ72" s="380"/>
      <c r="RNK72" s="380"/>
      <c r="RNL72" s="380"/>
      <c r="RNM72" s="381"/>
      <c r="RNN72" s="381"/>
      <c r="RNO72" s="381"/>
      <c r="RNP72" s="381"/>
      <c r="RNQ72" s="381"/>
      <c r="RNR72" s="381"/>
      <c r="RNS72" s="381"/>
      <c r="RNT72" s="381"/>
      <c r="RNU72" s="381"/>
      <c r="RNV72" s="381"/>
      <c r="RNW72" s="381"/>
      <c r="RNX72" s="381"/>
      <c r="RNY72" s="381"/>
      <c r="RNZ72" s="381"/>
      <c r="ROA72" s="381"/>
      <c r="ROB72" s="381"/>
      <c r="ROC72" s="381"/>
      <c r="ROD72" s="381"/>
      <c r="ROE72" s="381"/>
      <c r="ROF72" s="381"/>
      <c r="ROG72" s="381"/>
      <c r="ROH72" s="381"/>
      <c r="ROI72" s="381"/>
      <c r="ROJ72" s="381"/>
      <c r="ROK72" s="381"/>
      <c r="ROL72" s="381"/>
      <c r="ROM72" s="379"/>
      <c r="RON72" s="380"/>
      <c r="ROO72" s="380"/>
      <c r="ROP72" s="380"/>
      <c r="ROQ72" s="381"/>
      <c r="ROR72" s="381"/>
      <c r="ROS72" s="381"/>
      <c r="ROT72" s="381"/>
      <c r="ROU72" s="381"/>
      <c r="ROV72" s="381"/>
      <c r="ROW72" s="381"/>
      <c r="ROX72" s="381"/>
      <c r="ROY72" s="381"/>
      <c r="ROZ72" s="381"/>
      <c r="RPA72" s="381"/>
      <c r="RPB72" s="381"/>
      <c r="RPC72" s="381"/>
      <c r="RPD72" s="381"/>
      <c r="RPE72" s="381"/>
      <c r="RPF72" s="381"/>
      <c r="RPG72" s="381"/>
      <c r="RPH72" s="381"/>
      <c r="RPI72" s="381"/>
      <c r="RPJ72" s="381"/>
      <c r="RPK72" s="381"/>
      <c r="RPL72" s="381"/>
      <c r="RPM72" s="381"/>
      <c r="RPN72" s="381"/>
      <c r="RPO72" s="381"/>
      <c r="RPP72" s="381"/>
      <c r="RPQ72" s="379"/>
      <c r="RPR72" s="380"/>
      <c r="RPS72" s="380"/>
      <c r="RPT72" s="380"/>
      <c r="RPU72" s="381"/>
      <c r="RPV72" s="381"/>
      <c r="RPW72" s="381"/>
      <c r="RPX72" s="381"/>
      <c r="RPY72" s="381"/>
      <c r="RPZ72" s="381"/>
      <c r="RQA72" s="381"/>
      <c r="RQB72" s="381"/>
      <c r="RQC72" s="381"/>
      <c r="RQD72" s="381"/>
      <c r="RQE72" s="381"/>
      <c r="RQF72" s="381"/>
      <c r="RQG72" s="381"/>
      <c r="RQH72" s="381"/>
      <c r="RQI72" s="381"/>
      <c r="RQJ72" s="381"/>
      <c r="RQK72" s="381"/>
      <c r="RQL72" s="381"/>
      <c r="RQM72" s="381"/>
      <c r="RQN72" s="381"/>
      <c r="RQO72" s="381"/>
      <c r="RQP72" s="381"/>
      <c r="RQQ72" s="381"/>
      <c r="RQR72" s="381"/>
      <c r="RQS72" s="381"/>
      <c r="RQT72" s="381"/>
      <c r="RQU72" s="379"/>
      <c r="RQV72" s="380"/>
      <c r="RQW72" s="380"/>
      <c r="RQX72" s="380"/>
      <c r="RQY72" s="381"/>
      <c r="RQZ72" s="381"/>
      <c r="RRA72" s="381"/>
      <c r="RRB72" s="381"/>
      <c r="RRC72" s="381"/>
      <c r="RRD72" s="381"/>
      <c r="RRE72" s="381"/>
      <c r="RRF72" s="381"/>
      <c r="RRG72" s="381"/>
      <c r="RRH72" s="381"/>
      <c r="RRI72" s="381"/>
      <c r="RRJ72" s="381"/>
      <c r="RRK72" s="381"/>
      <c r="RRL72" s="381"/>
      <c r="RRM72" s="381"/>
      <c r="RRN72" s="381"/>
      <c r="RRO72" s="381"/>
      <c r="RRP72" s="381"/>
      <c r="RRQ72" s="381"/>
      <c r="RRR72" s="381"/>
      <c r="RRS72" s="381"/>
      <c r="RRT72" s="381"/>
      <c r="RRU72" s="381"/>
      <c r="RRV72" s="381"/>
      <c r="RRW72" s="381"/>
      <c r="RRX72" s="381"/>
      <c r="RRY72" s="379"/>
      <c r="RRZ72" s="380"/>
      <c r="RSA72" s="380"/>
      <c r="RSB72" s="380"/>
      <c r="RSC72" s="381"/>
      <c r="RSD72" s="381"/>
      <c r="RSE72" s="381"/>
      <c r="RSF72" s="381"/>
      <c r="RSG72" s="381"/>
      <c r="RSH72" s="381"/>
      <c r="RSI72" s="381"/>
      <c r="RSJ72" s="381"/>
      <c r="RSK72" s="381"/>
      <c r="RSL72" s="381"/>
      <c r="RSM72" s="381"/>
      <c r="RSN72" s="381"/>
      <c r="RSO72" s="381"/>
      <c r="RSP72" s="381"/>
      <c r="RSQ72" s="381"/>
      <c r="RSR72" s="381"/>
      <c r="RSS72" s="381"/>
      <c r="RST72" s="381"/>
      <c r="RSU72" s="381"/>
      <c r="RSV72" s="381"/>
      <c r="RSW72" s="381"/>
      <c r="RSX72" s="381"/>
      <c r="RSY72" s="381"/>
      <c r="RSZ72" s="381"/>
      <c r="RTA72" s="381"/>
      <c r="RTB72" s="381"/>
      <c r="RTC72" s="379"/>
      <c r="RTD72" s="380"/>
      <c r="RTE72" s="380"/>
      <c r="RTF72" s="380"/>
      <c r="RTG72" s="381"/>
      <c r="RTH72" s="381"/>
      <c r="RTI72" s="381"/>
      <c r="RTJ72" s="381"/>
      <c r="RTK72" s="381"/>
      <c r="RTL72" s="381"/>
      <c r="RTM72" s="381"/>
      <c r="RTN72" s="381"/>
      <c r="RTO72" s="381"/>
      <c r="RTP72" s="381"/>
      <c r="RTQ72" s="381"/>
      <c r="RTR72" s="381"/>
      <c r="RTS72" s="381"/>
      <c r="RTT72" s="381"/>
      <c r="RTU72" s="381"/>
      <c r="RTV72" s="381"/>
      <c r="RTW72" s="381"/>
      <c r="RTX72" s="381"/>
      <c r="RTY72" s="381"/>
      <c r="RTZ72" s="381"/>
      <c r="RUA72" s="381"/>
      <c r="RUB72" s="381"/>
      <c r="RUC72" s="381"/>
      <c r="RUD72" s="381"/>
      <c r="RUE72" s="381"/>
      <c r="RUF72" s="381"/>
      <c r="RUG72" s="379"/>
      <c r="RUH72" s="380"/>
      <c r="RUI72" s="380"/>
      <c r="RUJ72" s="380"/>
      <c r="RUK72" s="381"/>
      <c r="RUL72" s="381"/>
      <c r="RUM72" s="381"/>
      <c r="RUN72" s="381"/>
      <c r="RUO72" s="381"/>
      <c r="RUP72" s="381"/>
      <c r="RUQ72" s="381"/>
      <c r="RUR72" s="381"/>
      <c r="RUS72" s="381"/>
      <c r="RUT72" s="381"/>
      <c r="RUU72" s="381"/>
      <c r="RUV72" s="381"/>
      <c r="RUW72" s="381"/>
      <c r="RUX72" s="381"/>
      <c r="RUY72" s="381"/>
      <c r="RUZ72" s="381"/>
      <c r="RVA72" s="381"/>
      <c r="RVB72" s="381"/>
      <c r="RVC72" s="381"/>
      <c r="RVD72" s="381"/>
      <c r="RVE72" s="381"/>
      <c r="RVF72" s="381"/>
      <c r="RVG72" s="381"/>
      <c r="RVH72" s="381"/>
      <c r="RVI72" s="381"/>
      <c r="RVJ72" s="381"/>
      <c r="RVK72" s="379"/>
      <c r="RVL72" s="380"/>
      <c r="RVM72" s="380"/>
      <c r="RVN72" s="380"/>
      <c r="RVO72" s="381"/>
      <c r="RVP72" s="381"/>
      <c r="RVQ72" s="381"/>
      <c r="RVR72" s="381"/>
      <c r="RVS72" s="381"/>
      <c r="RVT72" s="381"/>
      <c r="RVU72" s="381"/>
      <c r="RVV72" s="381"/>
      <c r="RVW72" s="381"/>
      <c r="RVX72" s="381"/>
      <c r="RVY72" s="381"/>
      <c r="RVZ72" s="381"/>
      <c r="RWA72" s="381"/>
      <c r="RWB72" s="381"/>
      <c r="RWC72" s="381"/>
      <c r="RWD72" s="381"/>
      <c r="RWE72" s="381"/>
      <c r="RWF72" s="381"/>
      <c r="RWG72" s="381"/>
      <c r="RWH72" s="381"/>
      <c r="RWI72" s="381"/>
      <c r="RWJ72" s="381"/>
      <c r="RWK72" s="381"/>
      <c r="RWL72" s="381"/>
      <c r="RWM72" s="381"/>
      <c r="RWN72" s="381"/>
      <c r="RWO72" s="379"/>
      <c r="RWP72" s="380"/>
      <c r="RWQ72" s="380"/>
      <c r="RWR72" s="380"/>
      <c r="RWS72" s="381"/>
      <c r="RWT72" s="381"/>
      <c r="RWU72" s="381"/>
      <c r="RWV72" s="381"/>
      <c r="RWW72" s="381"/>
      <c r="RWX72" s="381"/>
      <c r="RWY72" s="381"/>
      <c r="RWZ72" s="381"/>
      <c r="RXA72" s="381"/>
      <c r="RXB72" s="381"/>
      <c r="RXC72" s="381"/>
      <c r="RXD72" s="381"/>
      <c r="RXE72" s="381"/>
      <c r="RXF72" s="381"/>
      <c r="RXG72" s="381"/>
      <c r="RXH72" s="381"/>
      <c r="RXI72" s="381"/>
      <c r="RXJ72" s="381"/>
      <c r="RXK72" s="381"/>
      <c r="RXL72" s="381"/>
      <c r="RXM72" s="381"/>
      <c r="RXN72" s="381"/>
      <c r="RXO72" s="381"/>
      <c r="RXP72" s="381"/>
      <c r="RXQ72" s="381"/>
      <c r="RXR72" s="381"/>
      <c r="RXS72" s="379"/>
      <c r="RXT72" s="380"/>
      <c r="RXU72" s="380"/>
      <c r="RXV72" s="380"/>
      <c r="RXW72" s="381"/>
      <c r="RXX72" s="381"/>
      <c r="RXY72" s="381"/>
      <c r="RXZ72" s="381"/>
      <c r="RYA72" s="381"/>
      <c r="RYB72" s="381"/>
      <c r="RYC72" s="381"/>
      <c r="RYD72" s="381"/>
      <c r="RYE72" s="381"/>
      <c r="RYF72" s="381"/>
      <c r="RYG72" s="381"/>
      <c r="RYH72" s="381"/>
      <c r="RYI72" s="381"/>
      <c r="RYJ72" s="381"/>
      <c r="RYK72" s="381"/>
      <c r="RYL72" s="381"/>
      <c r="RYM72" s="381"/>
      <c r="RYN72" s="381"/>
      <c r="RYO72" s="381"/>
      <c r="RYP72" s="381"/>
      <c r="RYQ72" s="381"/>
      <c r="RYR72" s="381"/>
      <c r="RYS72" s="381"/>
      <c r="RYT72" s="381"/>
      <c r="RYU72" s="381"/>
      <c r="RYV72" s="381"/>
      <c r="RYW72" s="379"/>
      <c r="RYX72" s="380"/>
      <c r="RYY72" s="380"/>
      <c r="RYZ72" s="380"/>
      <c r="RZA72" s="381"/>
      <c r="RZB72" s="381"/>
      <c r="RZC72" s="381"/>
      <c r="RZD72" s="381"/>
      <c r="RZE72" s="381"/>
      <c r="RZF72" s="381"/>
      <c r="RZG72" s="381"/>
      <c r="RZH72" s="381"/>
      <c r="RZI72" s="381"/>
      <c r="RZJ72" s="381"/>
      <c r="RZK72" s="381"/>
      <c r="RZL72" s="381"/>
      <c r="RZM72" s="381"/>
      <c r="RZN72" s="381"/>
      <c r="RZO72" s="381"/>
      <c r="RZP72" s="381"/>
      <c r="RZQ72" s="381"/>
      <c r="RZR72" s="381"/>
      <c r="RZS72" s="381"/>
      <c r="RZT72" s="381"/>
      <c r="RZU72" s="381"/>
      <c r="RZV72" s="381"/>
      <c r="RZW72" s="381"/>
      <c r="RZX72" s="381"/>
      <c r="RZY72" s="381"/>
      <c r="RZZ72" s="381"/>
      <c r="SAA72" s="379"/>
      <c r="SAB72" s="380"/>
      <c r="SAC72" s="380"/>
      <c r="SAD72" s="380"/>
      <c r="SAE72" s="381"/>
      <c r="SAF72" s="381"/>
      <c r="SAG72" s="381"/>
      <c r="SAH72" s="381"/>
      <c r="SAI72" s="381"/>
      <c r="SAJ72" s="381"/>
      <c r="SAK72" s="381"/>
      <c r="SAL72" s="381"/>
      <c r="SAM72" s="381"/>
      <c r="SAN72" s="381"/>
      <c r="SAO72" s="381"/>
      <c r="SAP72" s="381"/>
      <c r="SAQ72" s="381"/>
      <c r="SAR72" s="381"/>
      <c r="SAS72" s="381"/>
      <c r="SAT72" s="381"/>
      <c r="SAU72" s="381"/>
      <c r="SAV72" s="381"/>
      <c r="SAW72" s="381"/>
      <c r="SAX72" s="381"/>
      <c r="SAY72" s="381"/>
      <c r="SAZ72" s="381"/>
      <c r="SBA72" s="381"/>
      <c r="SBB72" s="381"/>
      <c r="SBC72" s="381"/>
      <c r="SBD72" s="381"/>
      <c r="SBE72" s="379"/>
      <c r="SBF72" s="380"/>
      <c r="SBG72" s="380"/>
      <c r="SBH72" s="380"/>
      <c r="SBI72" s="381"/>
      <c r="SBJ72" s="381"/>
      <c r="SBK72" s="381"/>
      <c r="SBL72" s="381"/>
      <c r="SBM72" s="381"/>
      <c r="SBN72" s="381"/>
      <c r="SBO72" s="381"/>
      <c r="SBP72" s="381"/>
      <c r="SBQ72" s="381"/>
      <c r="SBR72" s="381"/>
      <c r="SBS72" s="381"/>
      <c r="SBT72" s="381"/>
      <c r="SBU72" s="381"/>
      <c r="SBV72" s="381"/>
      <c r="SBW72" s="381"/>
      <c r="SBX72" s="381"/>
      <c r="SBY72" s="381"/>
      <c r="SBZ72" s="381"/>
      <c r="SCA72" s="381"/>
      <c r="SCB72" s="381"/>
      <c r="SCC72" s="381"/>
      <c r="SCD72" s="381"/>
      <c r="SCE72" s="381"/>
      <c r="SCF72" s="381"/>
      <c r="SCG72" s="381"/>
      <c r="SCH72" s="381"/>
      <c r="SCI72" s="379"/>
      <c r="SCJ72" s="380"/>
      <c r="SCK72" s="380"/>
      <c r="SCL72" s="380"/>
      <c r="SCM72" s="381"/>
      <c r="SCN72" s="381"/>
      <c r="SCO72" s="381"/>
      <c r="SCP72" s="381"/>
      <c r="SCQ72" s="381"/>
      <c r="SCR72" s="381"/>
      <c r="SCS72" s="381"/>
      <c r="SCT72" s="381"/>
      <c r="SCU72" s="381"/>
      <c r="SCV72" s="381"/>
      <c r="SCW72" s="381"/>
      <c r="SCX72" s="381"/>
      <c r="SCY72" s="381"/>
      <c r="SCZ72" s="381"/>
      <c r="SDA72" s="381"/>
      <c r="SDB72" s="381"/>
      <c r="SDC72" s="381"/>
      <c r="SDD72" s="381"/>
      <c r="SDE72" s="381"/>
      <c r="SDF72" s="381"/>
      <c r="SDG72" s="381"/>
      <c r="SDH72" s="381"/>
      <c r="SDI72" s="381"/>
      <c r="SDJ72" s="381"/>
      <c r="SDK72" s="381"/>
      <c r="SDL72" s="381"/>
      <c r="SDM72" s="379"/>
      <c r="SDN72" s="380"/>
      <c r="SDO72" s="380"/>
      <c r="SDP72" s="380"/>
      <c r="SDQ72" s="381"/>
      <c r="SDR72" s="381"/>
      <c r="SDS72" s="381"/>
      <c r="SDT72" s="381"/>
      <c r="SDU72" s="381"/>
      <c r="SDV72" s="381"/>
      <c r="SDW72" s="381"/>
      <c r="SDX72" s="381"/>
      <c r="SDY72" s="381"/>
      <c r="SDZ72" s="381"/>
      <c r="SEA72" s="381"/>
      <c r="SEB72" s="381"/>
      <c r="SEC72" s="381"/>
      <c r="SED72" s="381"/>
      <c r="SEE72" s="381"/>
      <c r="SEF72" s="381"/>
      <c r="SEG72" s="381"/>
      <c r="SEH72" s="381"/>
      <c r="SEI72" s="381"/>
      <c r="SEJ72" s="381"/>
      <c r="SEK72" s="381"/>
      <c r="SEL72" s="381"/>
      <c r="SEM72" s="381"/>
      <c r="SEN72" s="381"/>
      <c r="SEO72" s="381"/>
      <c r="SEP72" s="381"/>
      <c r="SEQ72" s="379"/>
      <c r="SER72" s="380"/>
      <c r="SES72" s="380"/>
      <c r="SET72" s="380"/>
      <c r="SEU72" s="381"/>
      <c r="SEV72" s="381"/>
      <c r="SEW72" s="381"/>
      <c r="SEX72" s="381"/>
      <c r="SEY72" s="381"/>
      <c r="SEZ72" s="381"/>
      <c r="SFA72" s="381"/>
      <c r="SFB72" s="381"/>
      <c r="SFC72" s="381"/>
      <c r="SFD72" s="381"/>
      <c r="SFE72" s="381"/>
      <c r="SFF72" s="381"/>
      <c r="SFG72" s="381"/>
      <c r="SFH72" s="381"/>
      <c r="SFI72" s="381"/>
      <c r="SFJ72" s="381"/>
      <c r="SFK72" s="381"/>
      <c r="SFL72" s="381"/>
      <c r="SFM72" s="381"/>
      <c r="SFN72" s="381"/>
      <c r="SFO72" s="381"/>
      <c r="SFP72" s="381"/>
      <c r="SFQ72" s="381"/>
      <c r="SFR72" s="381"/>
      <c r="SFS72" s="381"/>
      <c r="SFT72" s="381"/>
      <c r="SFU72" s="379"/>
      <c r="SFV72" s="380"/>
      <c r="SFW72" s="380"/>
      <c r="SFX72" s="380"/>
      <c r="SFY72" s="381"/>
      <c r="SFZ72" s="381"/>
      <c r="SGA72" s="381"/>
      <c r="SGB72" s="381"/>
      <c r="SGC72" s="381"/>
      <c r="SGD72" s="381"/>
      <c r="SGE72" s="381"/>
      <c r="SGF72" s="381"/>
      <c r="SGG72" s="381"/>
      <c r="SGH72" s="381"/>
      <c r="SGI72" s="381"/>
      <c r="SGJ72" s="381"/>
      <c r="SGK72" s="381"/>
      <c r="SGL72" s="381"/>
      <c r="SGM72" s="381"/>
      <c r="SGN72" s="381"/>
      <c r="SGO72" s="381"/>
      <c r="SGP72" s="381"/>
      <c r="SGQ72" s="381"/>
      <c r="SGR72" s="381"/>
      <c r="SGS72" s="381"/>
      <c r="SGT72" s="381"/>
      <c r="SGU72" s="381"/>
      <c r="SGV72" s="381"/>
      <c r="SGW72" s="381"/>
      <c r="SGX72" s="381"/>
      <c r="SGY72" s="379"/>
      <c r="SGZ72" s="380"/>
      <c r="SHA72" s="380"/>
      <c r="SHB72" s="380"/>
      <c r="SHC72" s="381"/>
      <c r="SHD72" s="381"/>
      <c r="SHE72" s="381"/>
      <c r="SHF72" s="381"/>
      <c r="SHG72" s="381"/>
      <c r="SHH72" s="381"/>
      <c r="SHI72" s="381"/>
      <c r="SHJ72" s="381"/>
      <c r="SHK72" s="381"/>
      <c r="SHL72" s="381"/>
      <c r="SHM72" s="381"/>
      <c r="SHN72" s="381"/>
      <c r="SHO72" s="381"/>
      <c r="SHP72" s="381"/>
      <c r="SHQ72" s="381"/>
      <c r="SHR72" s="381"/>
      <c r="SHS72" s="381"/>
      <c r="SHT72" s="381"/>
      <c r="SHU72" s="381"/>
      <c r="SHV72" s="381"/>
      <c r="SHW72" s="381"/>
      <c r="SHX72" s="381"/>
      <c r="SHY72" s="381"/>
      <c r="SHZ72" s="381"/>
      <c r="SIA72" s="381"/>
      <c r="SIB72" s="381"/>
      <c r="SIC72" s="379"/>
      <c r="SID72" s="380"/>
      <c r="SIE72" s="380"/>
      <c r="SIF72" s="380"/>
      <c r="SIG72" s="381"/>
      <c r="SIH72" s="381"/>
      <c r="SII72" s="381"/>
      <c r="SIJ72" s="381"/>
      <c r="SIK72" s="381"/>
      <c r="SIL72" s="381"/>
      <c r="SIM72" s="381"/>
      <c r="SIN72" s="381"/>
      <c r="SIO72" s="381"/>
      <c r="SIP72" s="381"/>
      <c r="SIQ72" s="381"/>
      <c r="SIR72" s="381"/>
      <c r="SIS72" s="381"/>
      <c r="SIT72" s="381"/>
      <c r="SIU72" s="381"/>
      <c r="SIV72" s="381"/>
      <c r="SIW72" s="381"/>
      <c r="SIX72" s="381"/>
      <c r="SIY72" s="381"/>
      <c r="SIZ72" s="381"/>
      <c r="SJA72" s="381"/>
      <c r="SJB72" s="381"/>
      <c r="SJC72" s="381"/>
      <c r="SJD72" s="381"/>
      <c r="SJE72" s="381"/>
      <c r="SJF72" s="381"/>
      <c r="SJG72" s="379"/>
      <c r="SJH72" s="380"/>
      <c r="SJI72" s="380"/>
      <c r="SJJ72" s="380"/>
      <c r="SJK72" s="381"/>
      <c r="SJL72" s="381"/>
      <c r="SJM72" s="381"/>
      <c r="SJN72" s="381"/>
      <c r="SJO72" s="381"/>
      <c r="SJP72" s="381"/>
      <c r="SJQ72" s="381"/>
      <c r="SJR72" s="381"/>
      <c r="SJS72" s="381"/>
      <c r="SJT72" s="381"/>
      <c r="SJU72" s="381"/>
      <c r="SJV72" s="381"/>
      <c r="SJW72" s="381"/>
      <c r="SJX72" s="381"/>
      <c r="SJY72" s="381"/>
      <c r="SJZ72" s="381"/>
      <c r="SKA72" s="381"/>
      <c r="SKB72" s="381"/>
      <c r="SKC72" s="381"/>
      <c r="SKD72" s="381"/>
      <c r="SKE72" s="381"/>
      <c r="SKF72" s="381"/>
      <c r="SKG72" s="381"/>
      <c r="SKH72" s="381"/>
      <c r="SKI72" s="381"/>
      <c r="SKJ72" s="381"/>
      <c r="SKK72" s="379"/>
      <c r="SKL72" s="380"/>
      <c r="SKM72" s="380"/>
      <c r="SKN72" s="380"/>
      <c r="SKO72" s="381"/>
      <c r="SKP72" s="381"/>
      <c r="SKQ72" s="381"/>
      <c r="SKR72" s="381"/>
      <c r="SKS72" s="381"/>
      <c r="SKT72" s="381"/>
      <c r="SKU72" s="381"/>
      <c r="SKV72" s="381"/>
      <c r="SKW72" s="381"/>
      <c r="SKX72" s="381"/>
      <c r="SKY72" s="381"/>
      <c r="SKZ72" s="381"/>
      <c r="SLA72" s="381"/>
      <c r="SLB72" s="381"/>
      <c r="SLC72" s="381"/>
      <c r="SLD72" s="381"/>
      <c r="SLE72" s="381"/>
      <c r="SLF72" s="381"/>
      <c r="SLG72" s="381"/>
      <c r="SLH72" s="381"/>
      <c r="SLI72" s="381"/>
      <c r="SLJ72" s="381"/>
      <c r="SLK72" s="381"/>
      <c r="SLL72" s="381"/>
      <c r="SLM72" s="381"/>
      <c r="SLN72" s="381"/>
      <c r="SLO72" s="379"/>
      <c r="SLP72" s="380"/>
      <c r="SLQ72" s="380"/>
      <c r="SLR72" s="380"/>
      <c r="SLS72" s="381"/>
      <c r="SLT72" s="381"/>
      <c r="SLU72" s="381"/>
      <c r="SLV72" s="381"/>
      <c r="SLW72" s="381"/>
      <c r="SLX72" s="381"/>
      <c r="SLY72" s="381"/>
      <c r="SLZ72" s="381"/>
      <c r="SMA72" s="381"/>
      <c r="SMB72" s="381"/>
      <c r="SMC72" s="381"/>
      <c r="SMD72" s="381"/>
      <c r="SME72" s="381"/>
      <c r="SMF72" s="381"/>
      <c r="SMG72" s="381"/>
      <c r="SMH72" s="381"/>
      <c r="SMI72" s="381"/>
      <c r="SMJ72" s="381"/>
      <c r="SMK72" s="381"/>
      <c r="SML72" s="381"/>
      <c r="SMM72" s="381"/>
      <c r="SMN72" s="381"/>
      <c r="SMO72" s="381"/>
      <c r="SMP72" s="381"/>
      <c r="SMQ72" s="381"/>
      <c r="SMR72" s="381"/>
      <c r="SMS72" s="379"/>
      <c r="SMT72" s="380"/>
      <c r="SMU72" s="380"/>
      <c r="SMV72" s="380"/>
      <c r="SMW72" s="381"/>
      <c r="SMX72" s="381"/>
      <c r="SMY72" s="381"/>
      <c r="SMZ72" s="381"/>
      <c r="SNA72" s="381"/>
      <c r="SNB72" s="381"/>
      <c r="SNC72" s="381"/>
      <c r="SND72" s="381"/>
      <c r="SNE72" s="381"/>
      <c r="SNF72" s="381"/>
      <c r="SNG72" s="381"/>
      <c r="SNH72" s="381"/>
      <c r="SNI72" s="381"/>
      <c r="SNJ72" s="381"/>
      <c r="SNK72" s="381"/>
      <c r="SNL72" s="381"/>
      <c r="SNM72" s="381"/>
      <c r="SNN72" s="381"/>
      <c r="SNO72" s="381"/>
      <c r="SNP72" s="381"/>
      <c r="SNQ72" s="381"/>
      <c r="SNR72" s="381"/>
      <c r="SNS72" s="381"/>
      <c r="SNT72" s="381"/>
      <c r="SNU72" s="381"/>
      <c r="SNV72" s="381"/>
      <c r="SNW72" s="379"/>
      <c r="SNX72" s="380"/>
      <c r="SNY72" s="380"/>
      <c r="SNZ72" s="380"/>
      <c r="SOA72" s="381"/>
      <c r="SOB72" s="381"/>
      <c r="SOC72" s="381"/>
      <c r="SOD72" s="381"/>
      <c r="SOE72" s="381"/>
      <c r="SOF72" s="381"/>
      <c r="SOG72" s="381"/>
      <c r="SOH72" s="381"/>
      <c r="SOI72" s="381"/>
      <c r="SOJ72" s="381"/>
      <c r="SOK72" s="381"/>
      <c r="SOL72" s="381"/>
      <c r="SOM72" s="381"/>
      <c r="SON72" s="381"/>
      <c r="SOO72" s="381"/>
      <c r="SOP72" s="381"/>
      <c r="SOQ72" s="381"/>
      <c r="SOR72" s="381"/>
      <c r="SOS72" s="381"/>
      <c r="SOT72" s="381"/>
      <c r="SOU72" s="381"/>
      <c r="SOV72" s="381"/>
      <c r="SOW72" s="381"/>
      <c r="SOX72" s="381"/>
      <c r="SOY72" s="381"/>
      <c r="SOZ72" s="381"/>
      <c r="SPA72" s="379"/>
      <c r="SPB72" s="380"/>
      <c r="SPC72" s="380"/>
      <c r="SPD72" s="380"/>
      <c r="SPE72" s="381"/>
      <c r="SPF72" s="381"/>
      <c r="SPG72" s="381"/>
      <c r="SPH72" s="381"/>
      <c r="SPI72" s="381"/>
      <c r="SPJ72" s="381"/>
      <c r="SPK72" s="381"/>
      <c r="SPL72" s="381"/>
      <c r="SPM72" s="381"/>
      <c r="SPN72" s="381"/>
      <c r="SPO72" s="381"/>
      <c r="SPP72" s="381"/>
      <c r="SPQ72" s="381"/>
      <c r="SPR72" s="381"/>
      <c r="SPS72" s="381"/>
      <c r="SPT72" s="381"/>
      <c r="SPU72" s="381"/>
      <c r="SPV72" s="381"/>
      <c r="SPW72" s="381"/>
      <c r="SPX72" s="381"/>
      <c r="SPY72" s="381"/>
      <c r="SPZ72" s="381"/>
      <c r="SQA72" s="381"/>
      <c r="SQB72" s="381"/>
      <c r="SQC72" s="381"/>
      <c r="SQD72" s="381"/>
      <c r="SQE72" s="379"/>
      <c r="SQF72" s="380"/>
      <c r="SQG72" s="380"/>
      <c r="SQH72" s="380"/>
      <c r="SQI72" s="381"/>
      <c r="SQJ72" s="381"/>
      <c r="SQK72" s="381"/>
      <c r="SQL72" s="381"/>
      <c r="SQM72" s="381"/>
      <c r="SQN72" s="381"/>
      <c r="SQO72" s="381"/>
      <c r="SQP72" s="381"/>
      <c r="SQQ72" s="381"/>
      <c r="SQR72" s="381"/>
      <c r="SQS72" s="381"/>
      <c r="SQT72" s="381"/>
      <c r="SQU72" s="381"/>
      <c r="SQV72" s="381"/>
      <c r="SQW72" s="381"/>
      <c r="SQX72" s="381"/>
      <c r="SQY72" s="381"/>
      <c r="SQZ72" s="381"/>
      <c r="SRA72" s="381"/>
      <c r="SRB72" s="381"/>
      <c r="SRC72" s="381"/>
      <c r="SRD72" s="381"/>
      <c r="SRE72" s="381"/>
      <c r="SRF72" s="381"/>
      <c r="SRG72" s="381"/>
      <c r="SRH72" s="381"/>
      <c r="SRI72" s="379"/>
      <c r="SRJ72" s="380"/>
      <c r="SRK72" s="380"/>
      <c r="SRL72" s="380"/>
      <c r="SRM72" s="381"/>
      <c r="SRN72" s="381"/>
      <c r="SRO72" s="381"/>
      <c r="SRP72" s="381"/>
      <c r="SRQ72" s="381"/>
      <c r="SRR72" s="381"/>
      <c r="SRS72" s="381"/>
      <c r="SRT72" s="381"/>
      <c r="SRU72" s="381"/>
      <c r="SRV72" s="381"/>
      <c r="SRW72" s="381"/>
      <c r="SRX72" s="381"/>
      <c r="SRY72" s="381"/>
      <c r="SRZ72" s="381"/>
      <c r="SSA72" s="381"/>
      <c r="SSB72" s="381"/>
      <c r="SSC72" s="381"/>
      <c r="SSD72" s="381"/>
      <c r="SSE72" s="381"/>
      <c r="SSF72" s="381"/>
      <c r="SSG72" s="381"/>
      <c r="SSH72" s="381"/>
      <c r="SSI72" s="381"/>
      <c r="SSJ72" s="381"/>
      <c r="SSK72" s="381"/>
      <c r="SSL72" s="381"/>
      <c r="SSM72" s="379"/>
      <c r="SSN72" s="380"/>
      <c r="SSO72" s="380"/>
      <c r="SSP72" s="380"/>
      <c r="SSQ72" s="381"/>
      <c r="SSR72" s="381"/>
      <c r="SSS72" s="381"/>
      <c r="SST72" s="381"/>
      <c r="SSU72" s="381"/>
      <c r="SSV72" s="381"/>
      <c r="SSW72" s="381"/>
      <c r="SSX72" s="381"/>
      <c r="SSY72" s="381"/>
      <c r="SSZ72" s="381"/>
      <c r="STA72" s="381"/>
      <c r="STB72" s="381"/>
      <c r="STC72" s="381"/>
      <c r="STD72" s="381"/>
      <c r="STE72" s="381"/>
      <c r="STF72" s="381"/>
      <c r="STG72" s="381"/>
      <c r="STH72" s="381"/>
      <c r="STI72" s="381"/>
      <c r="STJ72" s="381"/>
      <c r="STK72" s="381"/>
      <c r="STL72" s="381"/>
      <c r="STM72" s="381"/>
      <c r="STN72" s="381"/>
      <c r="STO72" s="381"/>
      <c r="STP72" s="381"/>
      <c r="STQ72" s="379"/>
      <c r="STR72" s="380"/>
      <c r="STS72" s="380"/>
      <c r="STT72" s="380"/>
      <c r="STU72" s="381"/>
      <c r="STV72" s="381"/>
      <c r="STW72" s="381"/>
      <c r="STX72" s="381"/>
      <c r="STY72" s="381"/>
      <c r="STZ72" s="381"/>
      <c r="SUA72" s="381"/>
      <c r="SUB72" s="381"/>
      <c r="SUC72" s="381"/>
      <c r="SUD72" s="381"/>
      <c r="SUE72" s="381"/>
      <c r="SUF72" s="381"/>
      <c r="SUG72" s="381"/>
      <c r="SUH72" s="381"/>
      <c r="SUI72" s="381"/>
      <c r="SUJ72" s="381"/>
      <c r="SUK72" s="381"/>
      <c r="SUL72" s="381"/>
      <c r="SUM72" s="381"/>
      <c r="SUN72" s="381"/>
      <c r="SUO72" s="381"/>
      <c r="SUP72" s="381"/>
      <c r="SUQ72" s="381"/>
      <c r="SUR72" s="381"/>
      <c r="SUS72" s="381"/>
      <c r="SUT72" s="381"/>
      <c r="SUU72" s="379"/>
      <c r="SUV72" s="380"/>
      <c r="SUW72" s="380"/>
      <c r="SUX72" s="380"/>
      <c r="SUY72" s="381"/>
      <c r="SUZ72" s="381"/>
      <c r="SVA72" s="381"/>
      <c r="SVB72" s="381"/>
      <c r="SVC72" s="381"/>
      <c r="SVD72" s="381"/>
      <c r="SVE72" s="381"/>
      <c r="SVF72" s="381"/>
      <c r="SVG72" s="381"/>
      <c r="SVH72" s="381"/>
      <c r="SVI72" s="381"/>
      <c r="SVJ72" s="381"/>
      <c r="SVK72" s="381"/>
      <c r="SVL72" s="381"/>
      <c r="SVM72" s="381"/>
      <c r="SVN72" s="381"/>
      <c r="SVO72" s="381"/>
      <c r="SVP72" s="381"/>
      <c r="SVQ72" s="381"/>
      <c r="SVR72" s="381"/>
      <c r="SVS72" s="381"/>
      <c r="SVT72" s="381"/>
      <c r="SVU72" s="381"/>
      <c r="SVV72" s="381"/>
      <c r="SVW72" s="381"/>
      <c r="SVX72" s="381"/>
      <c r="SVY72" s="379"/>
      <c r="SVZ72" s="380"/>
      <c r="SWA72" s="380"/>
      <c r="SWB72" s="380"/>
      <c r="SWC72" s="381"/>
      <c r="SWD72" s="381"/>
      <c r="SWE72" s="381"/>
      <c r="SWF72" s="381"/>
      <c r="SWG72" s="381"/>
      <c r="SWH72" s="381"/>
      <c r="SWI72" s="381"/>
      <c r="SWJ72" s="381"/>
      <c r="SWK72" s="381"/>
      <c r="SWL72" s="381"/>
      <c r="SWM72" s="381"/>
      <c r="SWN72" s="381"/>
      <c r="SWO72" s="381"/>
      <c r="SWP72" s="381"/>
      <c r="SWQ72" s="381"/>
      <c r="SWR72" s="381"/>
      <c r="SWS72" s="381"/>
      <c r="SWT72" s="381"/>
      <c r="SWU72" s="381"/>
      <c r="SWV72" s="381"/>
      <c r="SWW72" s="381"/>
      <c r="SWX72" s="381"/>
      <c r="SWY72" s="381"/>
      <c r="SWZ72" s="381"/>
      <c r="SXA72" s="381"/>
      <c r="SXB72" s="381"/>
      <c r="SXC72" s="379"/>
      <c r="SXD72" s="380"/>
      <c r="SXE72" s="380"/>
      <c r="SXF72" s="380"/>
      <c r="SXG72" s="381"/>
      <c r="SXH72" s="381"/>
      <c r="SXI72" s="381"/>
      <c r="SXJ72" s="381"/>
      <c r="SXK72" s="381"/>
      <c r="SXL72" s="381"/>
      <c r="SXM72" s="381"/>
      <c r="SXN72" s="381"/>
      <c r="SXO72" s="381"/>
      <c r="SXP72" s="381"/>
      <c r="SXQ72" s="381"/>
      <c r="SXR72" s="381"/>
      <c r="SXS72" s="381"/>
      <c r="SXT72" s="381"/>
      <c r="SXU72" s="381"/>
      <c r="SXV72" s="381"/>
      <c r="SXW72" s="381"/>
      <c r="SXX72" s="381"/>
      <c r="SXY72" s="381"/>
      <c r="SXZ72" s="381"/>
      <c r="SYA72" s="381"/>
      <c r="SYB72" s="381"/>
      <c r="SYC72" s="381"/>
      <c r="SYD72" s="381"/>
      <c r="SYE72" s="381"/>
      <c r="SYF72" s="381"/>
      <c r="SYG72" s="379"/>
      <c r="SYH72" s="380"/>
      <c r="SYI72" s="380"/>
      <c r="SYJ72" s="380"/>
      <c r="SYK72" s="381"/>
      <c r="SYL72" s="381"/>
      <c r="SYM72" s="381"/>
      <c r="SYN72" s="381"/>
      <c r="SYO72" s="381"/>
      <c r="SYP72" s="381"/>
      <c r="SYQ72" s="381"/>
      <c r="SYR72" s="381"/>
      <c r="SYS72" s="381"/>
      <c r="SYT72" s="381"/>
      <c r="SYU72" s="381"/>
      <c r="SYV72" s="381"/>
      <c r="SYW72" s="381"/>
      <c r="SYX72" s="381"/>
      <c r="SYY72" s="381"/>
      <c r="SYZ72" s="381"/>
      <c r="SZA72" s="381"/>
      <c r="SZB72" s="381"/>
      <c r="SZC72" s="381"/>
      <c r="SZD72" s="381"/>
      <c r="SZE72" s="381"/>
      <c r="SZF72" s="381"/>
      <c r="SZG72" s="381"/>
      <c r="SZH72" s="381"/>
      <c r="SZI72" s="381"/>
      <c r="SZJ72" s="381"/>
      <c r="SZK72" s="379"/>
      <c r="SZL72" s="380"/>
      <c r="SZM72" s="380"/>
      <c r="SZN72" s="380"/>
      <c r="SZO72" s="381"/>
      <c r="SZP72" s="381"/>
      <c r="SZQ72" s="381"/>
      <c r="SZR72" s="381"/>
      <c r="SZS72" s="381"/>
      <c r="SZT72" s="381"/>
      <c r="SZU72" s="381"/>
      <c r="SZV72" s="381"/>
      <c r="SZW72" s="381"/>
      <c r="SZX72" s="381"/>
      <c r="SZY72" s="381"/>
      <c r="SZZ72" s="381"/>
      <c r="TAA72" s="381"/>
      <c r="TAB72" s="381"/>
      <c r="TAC72" s="381"/>
      <c r="TAD72" s="381"/>
      <c r="TAE72" s="381"/>
      <c r="TAF72" s="381"/>
      <c r="TAG72" s="381"/>
      <c r="TAH72" s="381"/>
      <c r="TAI72" s="381"/>
      <c r="TAJ72" s="381"/>
      <c r="TAK72" s="381"/>
      <c r="TAL72" s="381"/>
      <c r="TAM72" s="381"/>
      <c r="TAN72" s="381"/>
      <c r="TAO72" s="379"/>
      <c r="TAP72" s="380"/>
      <c r="TAQ72" s="380"/>
      <c r="TAR72" s="380"/>
      <c r="TAS72" s="381"/>
      <c r="TAT72" s="381"/>
      <c r="TAU72" s="381"/>
      <c r="TAV72" s="381"/>
      <c r="TAW72" s="381"/>
      <c r="TAX72" s="381"/>
      <c r="TAY72" s="381"/>
      <c r="TAZ72" s="381"/>
      <c r="TBA72" s="381"/>
      <c r="TBB72" s="381"/>
      <c r="TBC72" s="381"/>
      <c r="TBD72" s="381"/>
      <c r="TBE72" s="381"/>
      <c r="TBF72" s="381"/>
      <c r="TBG72" s="381"/>
      <c r="TBH72" s="381"/>
      <c r="TBI72" s="381"/>
      <c r="TBJ72" s="381"/>
      <c r="TBK72" s="381"/>
      <c r="TBL72" s="381"/>
      <c r="TBM72" s="381"/>
      <c r="TBN72" s="381"/>
      <c r="TBO72" s="381"/>
      <c r="TBP72" s="381"/>
      <c r="TBQ72" s="381"/>
      <c r="TBR72" s="381"/>
      <c r="TBS72" s="379"/>
      <c r="TBT72" s="380"/>
      <c r="TBU72" s="380"/>
      <c r="TBV72" s="380"/>
      <c r="TBW72" s="381"/>
      <c r="TBX72" s="381"/>
      <c r="TBY72" s="381"/>
      <c r="TBZ72" s="381"/>
      <c r="TCA72" s="381"/>
      <c r="TCB72" s="381"/>
      <c r="TCC72" s="381"/>
      <c r="TCD72" s="381"/>
      <c r="TCE72" s="381"/>
      <c r="TCF72" s="381"/>
      <c r="TCG72" s="381"/>
      <c r="TCH72" s="381"/>
      <c r="TCI72" s="381"/>
      <c r="TCJ72" s="381"/>
      <c r="TCK72" s="381"/>
      <c r="TCL72" s="381"/>
      <c r="TCM72" s="381"/>
      <c r="TCN72" s="381"/>
      <c r="TCO72" s="381"/>
      <c r="TCP72" s="381"/>
      <c r="TCQ72" s="381"/>
      <c r="TCR72" s="381"/>
      <c r="TCS72" s="381"/>
      <c r="TCT72" s="381"/>
      <c r="TCU72" s="381"/>
      <c r="TCV72" s="381"/>
      <c r="TCW72" s="379"/>
      <c r="TCX72" s="380"/>
      <c r="TCY72" s="380"/>
      <c r="TCZ72" s="380"/>
      <c r="TDA72" s="381"/>
      <c r="TDB72" s="381"/>
      <c r="TDC72" s="381"/>
      <c r="TDD72" s="381"/>
      <c r="TDE72" s="381"/>
      <c r="TDF72" s="381"/>
      <c r="TDG72" s="381"/>
      <c r="TDH72" s="381"/>
      <c r="TDI72" s="381"/>
      <c r="TDJ72" s="381"/>
      <c r="TDK72" s="381"/>
      <c r="TDL72" s="381"/>
      <c r="TDM72" s="381"/>
      <c r="TDN72" s="381"/>
      <c r="TDO72" s="381"/>
      <c r="TDP72" s="381"/>
      <c r="TDQ72" s="381"/>
      <c r="TDR72" s="381"/>
      <c r="TDS72" s="381"/>
      <c r="TDT72" s="381"/>
      <c r="TDU72" s="381"/>
      <c r="TDV72" s="381"/>
      <c r="TDW72" s="381"/>
      <c r="TDX72" s="381"/>
      <c r="TDY72" s="381"/>
      <c r="TDZ72" s="381"/>
      <c r="TEA72" s="379"/>
      <c r="TEB72" s="380"/>
      <c r="TEC72" s="380"/>
      <c r="TED72" s="380"/>
      <c r="TEE72" s="381"/>
      <c r="TEF72" s="381"/>
      <c r="TEG72" s="381"/>
      <c r="TEH72" s="381"/>
      <c r="TEI72" s="381"/>
      <c r="TEJ72" s="381"/>
      <c r="TEK72" s="381"/>
      <c r="TEL72" s="381"/>
      <c r="TEM72" s="381"/>
      <c r="TEN72" s="381"/>
      <c r="TEO72" s="381"/>
      <c r="TEP72" s="381"/>
      <c r="TEQ72" s="381"/>
      <c r="TER72" s="381"/>
      <c r="TES72" s="381"/>
      <c r="TET72" s="381"/>
      <c r="TEU72" s="381"/>
      <c r="TEV72" s="381"/>
      <c r="TEW72" s="381"/>
      <c r="TEX72" s="381"/>
      <c r="TEY72" s="381"/>
      <c r="TEZ72" s="381"/>
      <c r="TFA72" s="381"/>
      <c r="TFB72" s="381"/>
      <c r="TFC72" s="381"/>
      <c r="TFD72" s="381"/>
      <c r="TFE72" s="379"/>
      <c r="TFF72" s="380"/>
      <c r="TFG72" s="380"/>
      <c r="TFH72" s="380"/>
      <c r="TFI72" s="381"/>
      <c r="TFJ72" s="381"/>
      <c r="TFK72" s="381"/>
      <c r="TFL72" s="381"/>
      <c r="TFM72" s="381"/>
      <c r="TFN72" s="381"/>
      <c r="TFO72" s="381"/>
      <c r="TFP72" s="381"/>
      <c r="TFQ72" s="381"/>
      <c r="TFR72" s="381"/>
      <c r="TFS72" s="381"/>
      <c r="TFT72" s="381"/>
      <c r="TFU72" s="381"/>
      <c r="TFV72" s="381"/>
      <c r="TFW72" s="381"/>
      <c r="TFX72" s="381"/>
      <c r="TFY72" s="381"/>
      <c r="TFZ72" s="381"/>
      <c r="TGA72" s="381"/>
      <c r="TGB72" s="381"/>
      <c r="TGC72" s="381"/>
      <c r="TGD72" s="381"/>
      <c r="TGE72" s="381"/>
      <c r="TGF72" s="381"/>
      <c r="TGG72" s="381"/>
      <c r="TGH72" s="381"/>
      <c r="TGI72" s="379"/>
      <c r="TGJ72" s="380"/>
      <c r="TGK72" s="380"/>
      <c r="TGL72" s="380"/>
      <c r="TGM72" s="381"/>
      <c r="TGN72" s="381"/>
      <c r="TGO72" s="381"/>
      <c r="TGP72" s="381"/>
      <c r="TGQ72" s="381"/>
      <c r="TGR72" s="381"/>
      <c r="TGS72" s="381"/>
      <c r="TGT72" s="381"/>
      <c r="TGU72" s="381"/>
      <c r="TGV72" s="381"/>
      <c r="TGW72" s="381"/>
      <c r="TGX72" s="381"/>
      <c r="TGY72" s="381"/>
      <c r="TGZ72" s="381"/>
      <c r="THA72" s="381"/>
      <c r="THB72" s="381"/>
      <c r="THC72" s="381"/>
      <c r="THD72" s="381"/>
      <c r="THE72" s="381"/>
      <c r="THF72" s="381"/>
      <c r="THG72" s="381"/>
      <c r="THH72" s="381"/>
      <c r="THI72" s="381"/>
      <c r="THJ72" s="381"/>
      <c r="THK72" s="381"/>
      <c r="THL72" s="381"/>
      <c r="THM72" s="379"/>
      <c r="THN72" s="380"/>
      <c r="THO72" s="380"/>
      <c r="THP72" s="380"/>
      <c r="THQ72" s="381"/>
      <c r="THR72" s="381"/>
      <c r="THS72" s="381"/>
      <c r="THT72" s="381"/>
      <c r="THU72" s="381"/>
      <c r="THV72" s="381"/>
      <c r="THW72" s="381"/>
      <c r="THX72" s="381"/>
      <c r="THY72" s="381"/>
      <c r="THZ72" s="381"/>
      <c r="TIA72" s="381"/>
      <c r="TIB72" s="381"/>
      <c r="TIC72" s="381"/>
      <c r="TID72" s="381"/>
      <c r="TIE72" s="381"/>
      <c r="TIF72" s="381"/>
      <c r="TIG72" s="381"/>
      <c r="TIH72" s="381"/>
      <c r="TII72" s="381"/>
      <c r="TIJ72" s="381"/>
      <c r="TIK72" s="381"/>
      <c r="TIL72" s="381"/>
      <c r="TIM72" s="381"/>
      <c r="TIN72" s="381"/>
      <c r="TIO72" s="381"/>
      <c r="TIP72" s="381"/>
      <c r="TIQ72" s="379"/>
      <c r="TIR72" s="380"/>
      <c r="TIS72" s="380"/>
      <c r="TIT72" s="380"/>
      <c r="TIU72" s="381"/>
      <c r="TIV72" s="381"/>
      <c r="TIW72" s="381"/>
      <c r="TIX72" s="381"/>
      <c r="TIY72" s="381"/>
      <c r="TIZ72" s="381"/>
      <c r="TJA72" s="381"/>
      <c r="TJB72" s="381"/>
      <c r="TJC72" s="381"/>
      <c r="TJD72" s="381"/>
      <c r="TJE72" s="381"/>
      <c r="TJF72" s="381"/>
      <c r="TJG72" s="381"/>
      <c r="TJH72" s="381"/>
      <c r="TJI72" s="381"/>
      <c r="TJJ72" s="381"/>
      <c r="TJK72" s="381"/>
      <c r="TJL72" s="381"/>
      <c r="TJM72" s="381"/>
      <c r="TJN72" s="381"/>
      <c r="TJO72" s="381"/>
      <c r="TJP72" s="381"/>
      <c r="TJQ72" s="381"/>
      <c r="TJR72" s="381"/>
      <c r="TJS72" s="381"/>
      <c r="TJT72" s="381"/>
      <c r="TJU72" s="379"/>
      <c r="TJV72" s="380"/>
      <c r="TJW72" s="380"/>
      <c r="TJX72" s="380"/>
      <c r="TJY72" s="381"/>
      <c r="TJZ72" s="381"/>
      <c r="TKA72" s="381"/>
      <c r="TKB72" s="381"/>
      <c r="TKC72" s="381"/>
      <c r="TKD72" s="381"/>
      <c r="TKE72" s="381"/>
      <c r="TKF72" s="381"/>
      <c r="TKG72" s="381"/>
      <c r="TKH72" s="381"/>
      <c r="TKI72" s="381"/>
      <c r="TKJ72" s="381"/>
      <c r="TKK72" s="381"/>
      <c r="TKL72" s="381"/>
      <c r="TKM72" s="381"/>
      <c r="TKN72" s="381"/>
      <c r="TKO72" s="381"/>
      <c r="TKP72" s="381"/>
      <c r="TKQ72" s="381"/>
      <c r="TKR72" s="381"/>
      <c r="TKS72" s="381"/>
      <c r="TKT72" s="381"/>
      <c r="TKU72" s="381"/>
      <c r="TKV72" s="381"/>
      <c r="TKW72" s="381"/>
      <c r="TKX72" s="381"/>
      <c r="TKY72" s="379"/>
      <c r="TKZ72" s="380"/>
      <c r="TLA72" s="380"/>
      <c r="TLB72" s="380"/>
      <c r="TLC72" s="381"/>
      <c r="TLD72" s="381"/>
      <c r="TLE72" s="381"/>
      <c r="TLF72" s="381"/>
      <c r="TLG72" s="381"/>
      <c r="TLH72" s="381"/>
      <c r="TLI72" s="381"/>
      <c r="TLJ72" s="381"/>
      <c r="TLK72" s="381"/>
      <c r="TLL72" s="381"/>
      <c r="TLM72" s="381"/>
      <c r="TLN72" s="381"/>
      <c r="TLO72" s="381"/>
      <c r="TLP72" s="381"/>
      <c r="TLQ72" s="381"/>
      <c r="TLR72" s="381"/>
      <c r="TLS72" s="381"/>
      <c r="TLT72" s="381"/>
      <c r="TLU72" s="381"/>
      <c r="TLV72" s="381"/>
      <c r="TLW72" s="381"/>
      <c r="TLX72" s="381"/>
      <c r="TLY72" s="381"/>
      <c r="TLZ72" s="381"/>
      <c r="TMA72" s="381"/>
      <c r="TMB72" s="381"/>
      <c r="TMC72" s="379"/>
      <c r="TMD72" s="380"/>
      <c r="TME72" s="380"/>
      <c r="TMF72" s="380"/>
      <c r="TMG72" s="381"/>
      <c r="TMH72" s="381"/>
      <c r="TMI72" s="381"/>
      <c r="TMJ72" s="381"/>
      <c r="TMK72" s="381"/>
      <c r="TML72" s="381"/>
      <c r="TMM72" s="381"/>
      <c r="TMN72" s="381"/>
      <c r="TMO72" s="381"/>
      <c r="TMP72" s="381"/>
      <c r="TMQ72" s="381"/>
      <c r="TMR72" s="381"/>
      <c r="TMS72" s="381"/>
      <c r="TMT72" s="381"/>
      <c r="TMU72" s="381"/>
      <c r="TMV72" s="381"/>
      <c r="TMW72" s="381"/>
      <c r="TMX72" s="381"/>
      <c r="TMY72" s="381"/>
      <c r="TMZ72" s="381"/>
      <c r="TNA72" s="381"/>
      <c r="TNB72" s="381"/>
      <c r="TNC72" s="381"/>
      <c r="TND72" s="381"/>
      <c r="TNE72" s="381"/>
      <c r="TNF72" s="381"/>
      <c r="TNG72" s="379"/>
      <c r="TNH72" s="380"/>
      <c r="TNI72" s="380"/>
      <c r="TNJ72" s="380"/>
      <c r="TNK72" s="381"/>
      <c r="TNL72" s="381"/>
      <c r="TNM72" s="381"/>
      <c r="TNN72" s="381"/>
      <c r="TNO72" s="381"/>
      <c r="TNP72" s="381"/>
      <c r="TNQ72" s="381"/>
      <c r="TNR72" s="381"/>
      <c r="TNS72" s="381"/>
      <c r="TNT72" s="381"/>
      <c r="TNU72" s="381"/>
      <c r="TNV72" s="381"/>
      <c r="TNW72" s="381"/>
      <c r="TNX72" s="381"/>
      <c r="TNY72" s="381"/>
      <c r="TNZ72" s="381"/>
      <c r="TOA72" s="381"/>
      <c r="TOB72" s="381"/>
      <c r="TOC72" s="381"/>
      <c r="TOD72" s="381"/>
      <c r="TOE72" s="381"/>
      <c r="TOF72" s="381"/>
      <c r="TOG72" s="381"/>
      <c r="TOH72" s="381"/>
      <c r="TOI72" s="381"/>
      <c r="TOJ72" s="381"/>
      <c r="TOK72" s="379"/>
      <c r="TOL72" s="380"/>
      <c r="TOM72" s="380"/>
      <c r="TON72" s="380"/>
      <c r="TOO72" s="381"/>
      <c r="TOP72" s="381"/>
      <c r="TOQ72" s="381"/>
      <c r="TOR72" s="381"/>
      <c r="TOS72" s="381"/>
      <c r="TOT72" s="381"/>
      <c r="TOU72" s="381"/>
      <c r="TOV72" s="381"/>
      <c r="TOW72" s="381"/>
      <c r="TOX72" s="381"/>
      <c r="TOY72" s="381"/>
      <c r="TOZ72" s="381"/>
      <c r="TPA72" s="381"/>
      <c r="TPB72" s="381"/>
      <c r="TPC72" s="381"/>
      <c r="TPD72" s="381"/>
      <c r="TPE72" s="381"/>
      <c r="TPF72" s="381"/>
      <c r="TPG72" s="381"/>
      <c r="TPH72" s="381"/>
      <c r="TPI72" s="381"/>
      <c r="TPJ72" s="381"/>
      <c r="TPK72" s="381"/>
      <c r="TPL72" s="381"/>
      <c r="TPM72" s="381"/>
      <c r="TPN72" s="381"/>
      <c r="TPO72" s="379"/>
      <c r="TPP72" s="380"/>
      <c r="TPQ72" s="380"/>
      <c r="TPR72" s="380"/>
      <c r="TPS72" s="381"/>
      <c r="TPT72" s="381"/>
      <c r="TPU72" s="381"/>
      <c r="TPV72" s="381"/>
      <c r="TPW72" s="381"/>
      <c r="TPX72" s="381"/>
      <c r="TPY72" s="381"/>
      <c r="TPZ72" s="381"/>
      <c r="TQA72" s="381"/>
      <c r="TQB72" s="381"/>
      <c r="TQC72" s="381"/>
      <c r="TQD72" s="381"/>
      <c r="TQE72" s="381"/>
      <c r="TQF72" s="381"/>
      <c r="TQG72" s="381"/>
      <c r="TQH72" s="381"/>
      <c r="TQI72" s="381"/>
      <c r="TQJ72" s="381"/>
      <c r="TQK72" s="381"/>
      <c r="TQL72" s="381"/>
      <c r="TQM72" s="381"/>
      <c r="TQN72" s="381"/>
      <c r="TQO72" s="381"/>
      <c r="TQP72" s="381"/>
      <c r="TQQ72" s="381"/>
      <c r="TQR72" s="381"/>
      <c r="TQS72" s="379"/>
      <c r="TQT72" s="380"/>
      <c r="TQU72" s="380"/>
      <c r="TQV72" s="380"/>
      <c r="TQW72" s="381"/>
      <c r="TQX72" s="381"/>
      <c r="TQY72" s="381"/>
      <c r="TQZ72" s="381"/>
      <c r="TRA72" s="381"/>
      <c r="TRB72" s="381"/>
      <c r="TRC72" s="381"/>
      <c r="TRD72" s="381"/>
      <c r="TRE72" s="381"/>
      <c r="TRF72" s="381"/>
      <c r="TRG72" s="381"/>
      <c r="TRH72" s="381"/>
      <c r="TRI72" s="381"/>
      <c r="TRJ72" s="381"/>
      <c r="TRK72" s="381"/>
      <c r="TRL72" s="381"/>
      <c r="TRM72" s="381"/>
      <c r="TRN72" s="381"/>
      <c r="TRO72" s="381"/>
      <c r="TRP72" s="381"/>
      <c r="TRQ72" s="381"/>
      <c r="TRR72" s="381"/>
      <c r="TRS72" s="381"/>
      <c r="TRT72" s="381"/>
      <c r="TRU72" s="381"/>
      <c r="TRV72" s="381"/>
      <c r="TRW72" s="379"/>
      <c r="TRX72" s="380"/>
      <c r="TRY72" s="380"/>
      <c r="TRZ72" s="380"/>
      <c r="TSA72" s="381"/>
      <c r="TSB72" s="381"/>
      <c r="TSC72" s="381"/>
      <c r="TSD72" s="381"/>
      <c r="TSE72" s="381"/>
      <c r="TSF72" s="381"/>
      <c r="TSG72" s="381"/>
      <c r="TSH72" s="381"/>
      <c r="TSI72" s="381"/>
      <c r="TSJ72" s="381"/>
      <c r="TSK72" s="381"/>
      <c r="TSL72" s="381"/>
      <c r="TSM72" s="381"/>
      <c r="TSN72" s="381"/>
      <c r="TSO72" s="381"/>
      <c r="TSP72" s="381"/>
      <c r="TSQ72" s="381"/>
      <c r="TSR72" s="381"/>
      <c r="TSS72" s="381"/>
      <c r="TST72" s="381"/>
      <c r="TSU72" s="381"/>
      <c r="TSV72" s="381"/>
      <c r="TSW72" s="381"/>
      <c r="TSX72" s="381"/>
      <c r="TSY72" s="381"/>
      <c r="TSZ72" s="381"/>
      <c r="TTA72" s="379"/>
      <c r="TTB72" s="380"/>
      <c r="TTC72" s="380"/>
      <c r="TTD72" s="380"/>
      <c r="TTE72" s="381"/>
      <c r="TTF72" s="381"/>
      <c r="TTG72" s="381"/>
      <c r="TTH72" s="381"/>
      <c r="TTI72" s="381"/>
      <c r="TTJ72" s="381"/>
      <c r="TTK72" s="381"/>
      <c r="TTL72" s="381"/>
      <c r="TTM72" s="381"/>
      <c r="TTN72" s="381"/>
      <c r="TTO72" s="381"/>
      <c r="TTP72" s="381"/>
      <c r="TTQ72" s="381"/>
      <c r="TTR72" s="381"/>
      <c r="TTS72" s="381"/>
      <c r="TTT72" s="381"/>
      <c r="TTU72" s="381"/>
      <c r="TTV72" s="381"/>
      <c r="TTW72" s="381"/>
      <c r="TTX72" s="381"/>
      <c r="TTY72" s="381"/>
      <c r="TTZ72" s="381"/>
      <c r="TUA72" s="381"/>
      <c r="TUB72" s="381"/>
      <c r="TUC72" s="381"/>
      <c r="TUD72" s="381"/>
      <c r="TUE72" s="379"/>
      <c r="TUF72" s="380"/>
      <c r="TUG72" s="380"/>
      <c r="TUH72" s="380"/>
      <c r="TUI72" s="381"/>
      <c r="TUJ72" s="381"/>
      <c r="TUK72" s="381"/>
      <c r="TUL72" s="381"/>
      <c r="TUM72" s="381"/>
      <c r="TUN72" s="381"/>
      <c r="TUO72" s="381"/>
      <c r="TUP72" s="381"/>
      <c r="TUQ72" s="381"/>
      <c r="TUR72" s="381"/>
      <c r="TUS72" s="381"/>
      <c r="TUT72" s="381"/>
      <c r="TUU72" s="381"/>
      <c r="TUV72" s="381"/>
      <c r="TUW72" s="381"/>
      <c r="TUX72" s="381"/>
      <c r="TUY72" s="381"/>
      <c r="TUZ72" s="381"/>
      <c r="TVA72" s="381"/>
      <c r="TVB72" s="381"/>
      <c r="TVC72" s="381"/>
      <c r="TVD72" s="381"/>
      <c r="TVE72" s="381"/>
      <c r="TVF72" s="381"/>
      <c r="TVG72" s="381"/>
      <c r="TVH72" s="381"/>
      <c r="TVI72" s="379"/>
      <c r="TVJ72" s="380"/>
      <c r="TVK72" s="380"/>
      <c r="TVL72" s="380"/>
      <c r="TVM72" s="381"/>
      <c r="TVN72" s="381"/>
      <c r="TVO72" s="381"/>
      <c r="TVP72" s="381"/>
      <c r="TVQ72" s="381"/>
      <c r="TVR72" s="381"/>
      <c r="TVS72" s="381"/>
      <c r="TVT72" s="381"/>
      <c r="TVU72" s="381"/>
      <c r="TVV72" s="381"/>
      <c r="TVW72" s="381"/>
      <c r="TVX72" s="381"/>
      <c r="TVY72" s="381"/>
      <c r="TVZ72" s="381"/>
      <c r="TWA72" s="381"/>
      <c r="TWB72" s="381"/>
      <c r="TWC72" s="381"/>
      <c r="TWD72" s="381"/>
      <c r="TWE72" s="381"/>
      <c r="TWF72" s="381"/>
      <c r="TWG72" s="381"/>
      <c r="TWH72" s="381"/>
      <c r="TWI72" s="381"/>
      <c r="TWJ72" s="381"/>
      <c r="TWK72" s="381"/>
      <c r="TWL72" s="381"/>
      <c r="TWM72" s="379"/>
      <c r="TWN72" s="380"/>
      <c r="TWO72" s="380"/>
      <c r="TWP72" s="380"/>
      <c r="TWQ72" s="381"/>
      <c r="TWR72" s="381"/>
      <c r="TWS72" s="381"/>
      <c r="TWT72" s="381"/>
      <c r="TWU72" s="381"/>
      <c r="TWV72" s="381"/>
      <c r="TWW72" s="381"/>
      <c r="TWX72" s="381"/>
      <c r="TWY72" s="381"/>
      <c r="TWZ72" s="381"/>
      <c r="TXA72" s="381"/>
      <c r="TXB72" s="381"/>
      <c r="TXC72" s="381"/>
      <c r="TXD72" s="381"/>
      <c r="TXE72" s="381"/>
      <c r="TXF72" s="381"/>
      <c r="TXG72" s="381"/>
      <c r="TXH72" s="381"/>
      <c r="TXI72" s="381"/>
      <c r="TXJ72" s="381"/>
      <c r="TXK72" s="381"/>
      <c r="TXL72" s="381"/>
      <c r="TXM72" s="381"/>
      <c r="TXN72" s="381"/>
      <c r="TXO72" s="381"/>
      <c r="TXP72" s="381"/>
      <c r="TXQ72" s="379"/>
      <c r="TXR72" s="380"/>
      <c r="TXS72" s="380"/>
      <c r="TXT72" s="380"/>
      <c r="TXU72" s="381"/>
      <c r="TXV72" s="381"/>
      <c r="TXW72" s="381"/>
      <c r="TXX72" s="381"/>
      <c r="TXY72" s="381"/>
      <c r="TXZ72" s="381"/>
      <c r="TYA72" s="381"/>
      <c r="TYB72" s="381"/>
      <c r="TYC72" s="381"/>
      <c r="TYD72" s="381"/>
      <c r="TYE72" s="381"/>
      <c r="TYF72" s="381"/>
      <c r="TYG72" s="381"/>
      <c r="TYH72" s="381"/>
      <c r="TYI72" s="381"/>
      <c r="TYJ72" s="381"/>
      <c r="TYK72" s="381"/>
      <c r="TYL72" s="381"/>
      <c r="TYM72" s="381"/>
      <c r="TYN72" s="381"/>
      <c r="TYO72" s="381"/>
      <c r="TYP72" s="381"/>
      <c r="TYQ72" s="381"/>
      <c r="TYR72" s="381"/>
      <c r="TYS72" s="381"/>
      <c r="TYT72" s="381"/>
      <c r="TYU72" s="379"/>
      <c r="TYV72" s="380"/>
      <c r="TYW72" s="380"/>
      <c r="TYX72" s="380"/>
      <c r="TYY72" s="381"/>
      <c r="TYZ72" s="381"/>
      <c r="TZA72" s="381"/>
      <c r="TZB72" s="381"/>
      <c r="TZC72" s="381"/>
      <c r="TZD72" s="381"/>
      <c r="TZE72" s="381"/>
      <c r="TZF72" s="381"/>
      <c r="TZG72" s="381"/>
      <c r="TZH72" s="381"/>
      <c r="TZI72" s="381"/>
      <c r="TZJ72" s="381"/>
      <c r="TZK72" s="381"/>
      <c r="TZL72" s="381"/>
      <c r="TZM72" s="381"/>
      <c r="TZN72" s="381"/>
      <c r="TZO72" s="381"/>
      <c r="TZP72" s="381"/>
      <c r="TZQ72" s="381"/>
      <c r="TZR72" s="381"/>
      <c r="TZS72" s="381"/>
      <c r="TZT72" s="381"/>
      <c r="TZU72" s="381"/>
      <c r="TZV72" s="381"/>
      <c r="TZW72" s="381"/>
      <c r="TZX72" s="381"/>
      <c r="TZY72" s="379"/>
      <c r="TZZ72" s="380"/>
      <c r="UAA72" s="380"/>
      <c r="UAB72" s="380"/>
      <c r="UAC72" s="381"/>
      <c r="UAD72" s="381"/>
      <c r="UAE72" s="381"/>
      <c r="UAF72" s="381"/>
      <c r="UAG72" s="381"/>
      <c r="UAH72" s="381"/>
      <c r="UAI72" s="381"/>
      <c r="UAJ72" s="381"/>
      <c r="UAK72" s="381"/>
      <c r="UAL72" s="381"/>
      <c r="UAM72" s="381"/>
      <c r="UAN72" s="381"/>
      <c r="UAO72" s="381"/>
      <c r="UAP72" s="381"/>
      <c r="UAQ72" s="381"/>
      <c r="UAR72" s="381"/>
      <c r="UAS72" s="381"/>
      <c r="UAT72" s="381"/>
      <c r="UAU72" s="381"/>
      <c r="UAV72" s="381"/>
      <c r="UAW72" s="381"/>
      <c r="UAX72" s="381"/>
      <c r="UAY72" s="381"/>
      <c r="UAZ72" s="381"/>
      <c r="UBA72" s="381"/>
      <c r="UBB72" s="381"/>
      <c r="UBC72" s="379"/>
      <c r="UBD72" s="380"/>
      <c r="UBE72" s="380"/>
      <c r="UBF72" s="380"/>
      <c r="UBG72" s="381"/>
      <c r="UBH72" s="381"/>
      <c r="UBI72" s="381"/>
      <c r="UBJ72" s="381"/>
      <c r="UBK72" s="381"/>
      <c r="UBL72" s="381"/>
      <c r="UBM72" s="381"/>
      <c r="UBN72" s="381"/>
      <c r="UBO72" s="381"/>
      <c r="UBP72" s="381"/>
      <c r="UBQ72" s="381"/>
      <c r="UBR72" s="381"/>
      <c r="UBS72" s="381"/>
      <c r="UBT72" s="381"/>
      <c r="UBU72" s="381"/>
      <c r="UBV72" s="381"/>
      <c r="UBW72" s="381"/>
      <c r="UBX72" s="381"/>
      <c r="UBY72" s="381"/>
      <c r="UBZ72" s="381"/>
      <c r="UCA72" s="381"/>
      <c r="UCB72" s="381"/>
      <c r="UCC72" s="381"/>
      <c r="UCD72" s="381"/>
      <c r="UCE72" s="381"/>
      <c r="UCF72" s="381"/>
      <c r="UCG72" s="379"/>
      <c r="UCH72" s="380"/>
      <c r="UCI72" s="380"/>
      <c r="UCJ72" s="380"/>
      <c r="UCK72" s="381"/>
      <c r="UCL72" s="381"/>
      <c r="UCM72" s="381"/>
      <c r="UCN72" s="381"/>
      <c r="UCO72" s="381"/>
      <c r="UCP72" s="381"/>
      <c r="UCQ72" s="381"/>
      <c r="UCR72" s="381"/>
      <c r="UCS72" s="381"/>
      <c r="UCT72" s="381"/>
      <c r="UCU72" s="381"/>
      <c r="UCV72" s="381"/>
      <c r="UCW72" s="381"/>
      <c r="UCX72" s="381"/>
      <c r="UCY72" s="381"/>
      <c r="UCZ72" s="381"/>
      <c r="UDA72" s="381"/>
      <c r="UDB72" s="381"/>
      <c r="UDC72" s="381"/>
      <c r="UDD72" s="381"/>
      <c r="UDE72" s="381"/>
      <c r="UDF72" s="381"/>
      <c r="UDG72" s="381"/>
      <c r="UDH72" s="381"/>
      <c r="UDI72" s="381"/>
      <c r="UDJ72" s="381"/>
      <c r="UDK72" s="379"/>
      <c r="UDL72" s="380"/>
      <c r="UDM72" s="380"/>
      <c r="UDN72" s="380"/>
      <c r="UDO72" s="381"/>
      <c r="UDP72" s="381"/>
      <c r="UDQ72" s="381"/>
      <c r="UDR72" s="381"/>
      <c r="UDS72" s="381"/>
      <c r="UDT72" s="381"/>
      <c r="UDU72" s="381"/>
      <c r="UDV72" s="381"/>
      <c r="UDW72" s="381"/>
      <c r="UDX72" s="381"/>
      <c r="UDY72" s="381"/>
      <c r="UDZ72" s="381"/>
      <c r="UEA72" s="381"/>
      <c r="UEB72" s="381"/>
      <c r="UEC72" s="381"/>
      <c r="UED72" s="381"/>
      <c r="UEE72" s="381"/>
      <c r="UEF72" s="381"/>
      <c r="UEG72" s="381"/>
      <c r="UEH72" s="381"/>
      <c r="UEI72" s="381"/>
      <c r="UEJ72" s="381"/>
      <c r="UEK72" s="381"/>
      <c r="UEL72" s="381"/>
      <c r="UEM72" s="381"/>
      <c r="UEN72" s="381"/>
      <c r="UEO72" s="379"/>
      <c r="UEP72" s="380"/>
      <c r="UEQ72" s="380"/>
      <c r="UER72" s="380"/>
      <c r="UES72" s="381"/>
      <c r="UET72" s="381"/>
      <c r="UEU72" s="381"/>
      <c r="UEV72" s="381"/>
      <c r="UEW72" s="381"/>
      <c r="UEX72" s="381"/>
      <c r="UEY72" s="381"/>
      <c r="UEZ72" s="381"/>
      <c r="UFA72" s="381"/>
      <c r="UFB72" s="381"/>
      <c r="UFC72" s="381"/>
      <c r="UFD72" s="381"/>
      <c r="UFE72" s="381"/>
      <c r="UFF72" s="381"/>
      <c r="UFG72" s="381"/>
      <c r="UFH72" s="381"/>
      <c r="UFI72" s="381"/>
      <c r="UFJ72" s="381"/>
      <c r="UFK72" s="381"/>
      <c r="UFL72" s="381"/>
      <c r="UFM72" s="381"/>
      <c r="UFN72" s="381"/>
      <c r="UFO72" s="381"/>
      <c r="UFP72" s="381"/>
      <c r="UFQ72" s="381"/>
      <c r="UFR72" s="381"/>
      <c r="UFS72" s="379"/>
      <c r="UFT72" s="380"/>
      <c r="UFU72" s="380"/>
      <c r="UFV72" s="380"/>
      <c r="UFW72" s="381"/>
      <c r="UFX72" s="381"/>
      <c r="UFY72" s="381"/>
      <c r="UFZ72" s="381"/>
      <c r="UGA72" s="381"/>
      <c r="UGB72" s="381"/>
      <c r="UGC72" s="381"/>
      <c r="UGD72" s="381"/>
      <c r="UGE72" s="381"/>
      <c r="UGF72" s="381"/>
      <c r="UGG72" s="381"/>
      <c r="UGH72" s="381"/>
      <c r="UGI72" s="381"/>
      <c r="UGJ72" s="381"/>
      <c r="UGK72" s="381"/>
      <c r="UGL72" s="381"/>
      <c r="UGM72" s="381"/>
      <c r="UGN72" s="381"/>
      <c r="UGO72" s="381"/>
      <c r="UGP72" s="381"/>
      <c r="UGQ72" s="381"/>
      <c r="UGR72" s="381"/>
      <c r="UGS72" s="381"/>
      <c r="UGT72" s="381"/>
      <c r="UGU72" s="381"/>
      <c r="UGV72" s="381"/>
      <c r="UGW72" s="379"/>
      <c r="UGX72" s="380"/>
      <c r="UGY72" s="380"/>
      <c r="UGZ72" s="380"/>
      <c r="UHA72" s="381"/>
      <c r="UHB72" s="381"/>
      <c r="UHC72" s="381"/>
      <c r="UHD72" s="381"/>
      <c r="UHE72" s="381"/>
      <c r="UHF72" s="381"/>
      <c r="UHG72" s="381"/>
      <c r="UHH72" s="381"/>
      <c r="UHI72" s="381"/>
      <c r="UHJ72" s="381"/>
      <c r="UHK72" s="381"/>
      <c r="UHL72" s="381"/>
      <c r="UHM72" s="381"/>
      <c r="UHN72" s="381"/>
      <c r="UHO72" s="381"/>
      <c r="UHP72" s="381"/>
      <c r="UHQ72" s="381"/>
      <c r="UHR72" s="381"/>
      <c r="UHS72" s="381"/>
      <c r="UHT72" s="381"/>
      <c r="UHU72" s="381"/>
      <c r="UHV72" s="381"/>
      <c r="UHW72" s="381"/>
      <c r="UHX72" s="381"/>
      <c r="UHY72" s="381"/>
      <c r="UHZ72" s="381"/>
      <c r="UIA72" s="379"/>
      <c r="UIB72" s="380"/>
      <c r="UIC72" s="380"/>
      <c r="UID72" s="380"/>
      <c r="UIE72" s="381"/>
      <c r="UIF72" s="381"/>
      <c r="UIG72" s="381"/>
      <c r="UIH72" s="381"/>
      <c r="UII72" s="381"/>
      <c r="UIJ72" s="381"/>
      <c r="UIK72" s="381"/>
      <c r="UIL72" s="381"/>
      <c r="UIM72" s="381"/>
      <c r="UIN72" s="381"/>
      <c r="UIO72" s="381"/>
      <c r="UIP72" s="381"/>
      <c r="UIQ72" s="381"/>
      <c r="UIR72" s="381"/>
      <c r="UIS72" s="381"/>
      <c r="UIT72" s="381"/>
      <c r="UIU72" s="381"/>
      <c r="UIV72" s="381"/>
      <c r="UIW72" s="381"/>
      <c r="UIX72" s="381"/>
      <c r="UIY72" s="381"/>
      <c r="UIZ72" s="381"/>
      <c r="UJA72" s="381"/>
      <c r="UJB72" s="381"/>
      <c r="UJC72" s="381"/>
      <c r="UJD72" s="381"/>
      <c r="UJE72" s="379"/>
      <c r="UJF72" s="380"/>
      <c r="UJG72" s="380"/>
      <c r="UJH72" s="380"/>
      <c r="UJI72" s="381"/>
      <c r="UJJ72" s="381"/>
      <c r="UJK72" s="381"/>
      <c r="UJL72" s="381"/>
      <c r="UJM72" s="381"/>
      <c r="UJN72" s="381"/>
      <c r="UJO72" s="381"/>
      <c r="UJP72" s="381"/>
      <c r="UJQ72" s="381"/>
      <c r="UJR72" s="381"/>
      <c r="UJS72" s="381"/>
      <c r="UJT72" s="381"/>
      <c r="UJU72" s="381"/>
      <c r="UJV72" s="381"/>
      <c r="UJW72" s="381"/>
      <c r="UJX72" s="381"/>
      <c r="UJY72" s="381"/>
      <c r="UJZ72" s="381"/>
      <c r="UKA72" s="381"/>
      <c r="UKB72" s="381"/>
      <c r="UKC72" s="381"/>
      <c r="UKD72" s="381"/>
      <c r="UKE72" s="381"/>
      <c r="UKF72" s="381"/>
      <c r="UKG72" s="381"/>
      <c r="UKH72" s="381"/>
      <c r="UKI72" s="379"/>
      <c r="UKJ72" s="380"/>
      <c r="UKK72" s="380"/>
      <c r="UKL72" s="380"/>
      <c r="UKM72" s="381"/>
      <c r="UKN72" s="381"/>
      <c r="UKO72" s="381"/>
      <c r="UKP72" s="381"/>
      <c r="UKQ72" s="381"/>
      <c r="UKR72" s="381"/>
      <c r="UKS72" s="381"/>
      <c r="UKT72" s="381"/>
      <c r="UKU72" s="381"/>
      <c r="UKV72" s="381"/>
      <c r="UKW72" s="381"/>
      <c r="UKX72" s="381"/>
      <c r="UKY72" s="381"/>
      <c r="UKZ72" s="381"/>
      <c r="ULA72" s="381"/>
      <c r="ULB72" s="381"/>
      <c r="ULC72" s="381"/>
      <c r="ULD72" s="381"/>
      <c r="ULE72" s="381"/>
      <c r="ULF72" s="381"/>
      <c r="ULG72" s="381"/>
      <c r="ULH72" s="381"/>
      <c r="ULI72" s="381"/>
      <c r="ULJ72" s="381"/>
      <c r="ULK72" s="381"/>
      <c r="ULL72" s="381"/>
      <c r="ULM72" s="379"/>
      <c r="ULN72" s="380"/>
      <c r="ULO72" s="380"/>
      <c r="ULP72" s="380"/>
      <c r="ULQ72" s="381"/>
      <c r="ULR72" s="381"/>
      <c r="ULS72" s="381"/>
      <c r="ULT72" s="381"/>
      <c r="ULU72" s="381"/>
      <c r="ULV72" s="381"/>
      <c r="ULW72" s="381"/>
      <c r="ULX72" s="381"/>
      <c r="ULY72" s="381"/>
      <c r="ULZ72" s="381"/>
      <c r="UMA72" s="381"/>
      <c r="UMB72" s="381"/>
      <c r="UMC72" s="381"/>
      <c r="UMD72" s="381"/>
      <c r="UME72" s="381"/>
      <c r="UMF72" s="381"/>
      <c r="UMG72" s="381"/>
      <c r="UMH72" s="381"/>
      <c r="UMI72" s="381"/>
      <c r="UMJ72" s="381"/>
      <c r="UMK72" s="381"/>
      <c r="UML72" s="381"/>
      <c r="UMM72" s="381"/>
      <c r="UMN72" s="381"/>
      <c r="UMO72" s="381"/>
      <c r="UMP72" s="381"/>
      <c r="UMQ72" s="379"/>
      <c r="UMR72" s="380"/>
      <c r="UMS72" s="380"/>
      <c r="UMT72" s="380"/>
      <c r="UMU72" s="381"/>
      <c r="UMV72" s="381"/>
      <c r="UMW72" s="381"/>
      <c r="UMX72" s="381"/>
      <c r="UMY72" s="381"/>
      <c r="UMZ72" s="381"/>
      <c r="UNA72" s="381"/>
      <c r="UNB72" s="381"/>
      <c r="UNC72" s="381"/>
      <c r="UND72" s="381"/>
      <c r="UNE72" s="381"/>
      <c r="UNF72" s="381"/>
      <c r="UNG72" s="381"/>
      <c r="UNH72" s="381"/>
      <c r="UNI72" s="381"/>
      <c r="UNJ72" s="381"/>
      <c r="UNK72" s="381"/>
      <c r="UNL72" s="381"/>
      <c r="UNM72" s="381"/>
      <c r="UNN72" s="381"/>
      <c r="UNO72" s="381"/>
      <c r="UNP72" s="381"/>
      <c r="UNQ72" s="381"/>
      <c r="UNR72" s="381"/>
      <c r="UNS72" s="381"/>
      <c r="UNT72" s="381"/>
      <c r="UNU72" s="379"/>
      <c r="UNV72" s="380"/>
      <c r="UNW72" s="380"/>
      <c r="UNX72" s="380"/>
      <c r="UNY72" s="381"/>
      <c r="UNZ72" s="381"/>
      <c r="UOA72" s="381"/>
      <c r="UOB72" s="381"/>
      <c r="UOC72" s="381"/>
      <c r="UOD72" s="381"/>
      <c r="UOE72" s="381"/>
      <c r="UOF72" s="381"/>
      <c r="UOG72" s="381"/>
      <c r="UOH72" s="381"/>
      <c r="UOI72" s="381"/>
      <c r="UOJ72" s="381"/>
      <c r="UOK72" s="381"/>
      <c r="UOL72" s="381"/>
      <c r="UOM72" s="381"/>
      <c r="UON72" s="381"/>
      <c r="UOO72" s="381"/>
      <c r="UOP72" s="381"/>
      <c r="UOQ72" s="381"/>
      <c r="UOR72" s="381"/>
      <c r="UOS72" s="381"/>
      <c r="UOT72" s="381"/>
      <c r="UOU72" s="381"/>
      <c r="UOV72" s="381"/>
      <c r="UOW72" s="381"/>
      <c r="UOX72" s="381"/>
      <c r="UOY72" s="379"/>
      <c r="UOZ72" s="380"/>
      <c r="UPA72" s="380"/>
      <c r="UPB72" s="380"/>
      <c r="UPC72" s="381"/>
      <c r="UPD72" s="381"/>
      <c r="UPE72" s="381"/>
      <c r="UPF72" s="381"/>
      <c r="UPG72" s="381"/>
      <c r="UPH72" s="381"/>
      <c r="UPI72" s="381"/>
      <c r="UPJ72" s="381"/>
      <c r="UPK72" s="381"/>
      <c r="UPL72" s="381"/>
      <c r="UPM72" s="381"/>
      <c r="UPN72" s="381"/>
      <c r="UPO72" s="381"/>
      <c r="UPP72" s="381"/>
      <c r="UPQ72" s="381"/>
      <c r="UPR72" s="381"/>
      <c r="UPS72" s="381"/>
      <c r="UPT72" s="381"/>
      <c r="UPU72" s="381"/>
      <c r="UPV72" s="381"/>
      <c r="UPW72" s="381"/>
      <c r="UPX72" s="381"/>
      <c r="UPY72" s="381"/>
      <c r="UPZ72" s="381"/>
      <c r="UQA72" s="381"/>
      <c r="UQB72" s="381"/>
      <c r="UQC72" s="379"/>
      <c r="UQD72" s="380"/>
      <c r="UQE72" s="380"/>
      <c r="UQF72" s="380"/>
      <c r="UQG72" s="381"/>
      <c r="UQH72" s="381"/>
      <c r="UQI72" s="381"/>
      <c r="UQJ72" s="381"/>
      <c r="UQK72" s="381"/>
      <c r="UQL72" s="381"/>
      <c r="UQM72" s="381"/>
      <c r="UQN72" s="381"/>
      <c r="UQO72" s="381"/>
      <c r="UQP72" s="381"/>
      <c r="UQQ72" s="381"/>
      <c r="UQR72" s="381"/>
      <c r="UQS72" s="381"/>
      <c r="UQT72" s="381"/>
      <c r="UQU72" s="381"/>
      <c r="UQV72" s="381"/>
      <c r="UQW72" s="381"/>
      <c r="UQX72" s="381"/>
      <c r="UQY72" s="381"/>
      <c r="UQZ72" s="381"/>
      <c r="URA72" s="381"/>
      <c r="URB72" s="381"/>
      <c r="URC72" s="381"/>
      <c r="URD72" s="381"/>
      <c r="URE72" s="381"/>
      <c r="URF72" s="381"/>
      <c r="URG72" s="379"/>
      <c r="URH72" s="380"/>
      <c r="URI72" s="380"/>
      <c r="URJ72" s="380"/>
      <c r="URK72" s="381"/>
      <c r="URL72" s="381"/>
      <c r="URM72" s="381"/>
      <c r="URN72" s="381"/>
      <c r="URO72" s="381"/>
      <c r="URP72" s="381"/>
      <c r="URQ72" s="381"/>
      <c r="URR72" s="381"/>
      <c r="URS72" s="381"/>
      <c r="URT72" s="381"/>
      <c r="URU72" s="381"/>
      <c r="URV72" s="381"/>
      <c r="URW72" s="381"/>
      <c r="URX72" s="381"/>
      <c r="URY72" s="381"/>
      <c r="URZ72" s="381"/>
      <c r="USA72" s="381"/>
      <c r="USB72" s="381"/>
      <c r="USC72" s="381"/>
      <c r="USD72" s="381"/>
      <c r="USE72" s="381"/>
      <c r="USF72" s="381"/>
      <c r="USG72" s="381"/>
      <c r="USH72" s="381"/>
      <c r="USI72" s="381"/>
      <c r="USJ72" s="381"/>
      <c r="USK72" s="379"/>
      <c r="USL72" s="380"/>
      <c r="USM72" s="380"/>
      <c r="USN72" s="380"/>
      <c r="USO72" s="381"/>
      <c r="USP72" s="381"/>
      <c r="USQ72" s="381"/>
      <c r="USR72" s="381"/>
      <c r="USS72" s="381"/>
      <c r="UST72" s="381"/>
      <c r="USU72" s="381"/>
      <c r="USV72" s="381"/>
      <c r="USW72" s="381"/>
      <c r="USX72" s="381"/>
      <c r="USY72" s="381"/>
      <c r="USZ72" s="381"/>
      <c r="UTA72" s="381"/>
      <c r="UTB72" s="381"/>
      <c r="UTC72" s="381"/>
      <c r="UTD72" s="381"/>
      <c r="UTE72" s="381"/>
      <c r="UTF72" s="381"/>
      <c r="UTG72" s="381"/>
      <c r="UTH72" s="381"/>
      <c r="UTI72" s="381"/>
      <c r="UTJ72" s="381"/>
      <c r="UTK72" s="381"/>
      <c r="UTL72" s="381"/>
      <c r="UTM72" s="381"/>
      <c r="UTN72" s="381"/>
      <c r="UTO72" s="379"/>
      <c r="UTP72" s="380"/>
      <c r="UTQ72" s="380"/>
      <c r="UTR72" s="380"/>
      <c r="UTS72" s="381"/>
      <c r="UTT72" s="381"/>
      <c r="UTU72" s="381"/>
      <c r="UTV72" s="381"/>
      <c r="UTW72" s="381"/>
      <c r="UTX72" s="381"/>
      <c r="UTY72" s="381"/>
      <c r="UTZ72" s="381"/>
      <c r="UUA72" s="381"/>
      <c r="UUB72" s="381"/>
      <c r="UUC72" s="381"/>
      <c r="UUD72" s="381"/>
      <c r="UUE72" s="381"/>
      <c r="UUF72" s="381"/>
      <c r="UUG72" s="381"/>
      <c r="UUH72" s="381"/>
      <c r="UUI72" s="381"/>
      <c r="UUJ72" s="381"/>
      <c r="UUK72" s="381"/>
      <c r="UUL72" s="381"/>
      <c r="UUM72" s="381"/>
      <c r="UUN72" s="381"/>
      <c r="UUO72" s="381"/>
      <c r="UUP72" s="381"/>
      <c r="UUQ72" s="381"/>
      <c r="UUR72" s="381"/>
      <c r="UUS72" s="379"/>
      <c r="UUT72" s="380"/>
      <c r="UUU72" s="380"/>
      <c r="UUV72" s="380"/>
      <c r="UUW72" s="381"/>
      <c r="UUX72" s="381"/>
      <c r="UUY72" s="381"/>
      <c r="UUZ72" s="381"/>
      <c r="UVA72" s="381"/>
      <c r="UVB72" s="381"/>
      <c r="UVC72" s="381"/>
      <c r="UVD72" s="381"/>
      <c r="UVE72" s="381"/>
      <c r="UVF72" s="381"/>
      <c r="UVG72" s="381"/>
      <c r="UVH72" s="381"/>
      <c r="UVI72" s="381"/>
      <c r="UVJ72" s="381"/>
      <c r="UVK72" s="381"/>
      <c r="UVL72" s="381"/>
      <c r="UVM72" s="381"/>
      <c r="UVN72" s="381"/>
      <c r="UVO72" s="381"/>
      <c r="UVP72" s="381"/>
      <c r="UVQ72" s="381"/>
      <c r="UVR72" s="381"/>
      <c r="UVS72" s="381"/>
      <c r="UVT72" s="381"/>
      <c r="UVU72" s="381"/>
      <c r="UVV72" s="381"/>
      <c r="UVW72" s="379"/>
      <c r="UVX72" s="380"/>
      <c r="UVY72" s="380"/>
      <c r="UVZ72" s="380"/>
      <c r="UWA72" s="381"/>
      <c r="UWB72" s="381"/>
      <c r="UWC72" s="381"/>
      <c r="UWD72" s="381"/>
      <c r="UWE72" s="381"/>
      <c r="UWF72" s="381"/>
      <c r="UWG72" s="381"/>
      <c r="UWH72" s="381"/>
      <c r="UWI72" s="381"/>
      <c r="UWJ72" s="381"/>
      <c r="UWK72" s="381"/>
      <c r="UWL72" s="381"/>
      <c r="UWM72" s="381"/>
      <c r="UWN72" s="381"/>
      <c r="UWO72" s="381"/>
      <c r="UWP72" s="381"/>
      <c r="UWQ72" s="381"/>
      <c r="UWR72" s="381"/>
      <c r="UWS72" s="381"/>
      <c r="UWT72" s="381"/>
      <c r="UWU72" s="381"/>
      <c r="UWV72" s="381"/>
      <c r="UWW72" s="381"/>
      <c r="UWX72" s="381"/>
      <c r="UWY72" s="381"/>
      <c r="UWZ72" s="381"/>
      <c r="UXA72" s="379"/>
      <c r="UXB72" s="380"/>
      <c r="UXC72" s="380"/>
      <c r="UXD72" s="380"/>
      <c r="UXE72" s="381"/>
      <c r="UXF72" s="381"/>
      <c r="UXG72" s="381"/>
      <c r="UXH72" s="381"/>
      <c r="UXI72" s="381"/>
      <c r="UXJ72" s="381"/>
      <c r="UXK72" s="381"/>
      <c r="UXL72" s="381"/>
      <c r="UXM72" s="381"/>
      <c r="UXN72" s="381"/>
      <c r="UXO72" s="381"/>
      <c r="UXP72" s="381"/>
      <c r="UXQ72" s="381"/>
      <c r="UXR72" s="381"/>
      <c r="UXS72" s="381"/>
      <c r="UXT72" s="381"/>
      <c r="UXU72" s="381"/>
      <c r="UXV72" s="381"/>
      <c r="UXW72" s="381"/>
      <c r="UXX72" s="381"/>
      <c r="UXY72" s="381"/>
      <c r="UXZ72" s="381"/>
      <c r="UYA72" s="381"/>
      <c r="UYB72" s="381"/>
      <c r="UYC72" s="381"/>
      <c r="UYD72" s="381"/>
      <c r="UYE72" s="379"/>
      <c r="UYF72" s="380"/>
      <c r="UYG72" s="380"/>
      <c r="UYH72" s="380"/>
      <c r="UYI72" s="381"/>
      <c r="UYJ72" s="381"/>
      <c r="UYK72" s="381"/>
      <c r="UYL72" s="381"/>
      <c r="UYM72" s="381"/>
      <c r="UYN72" s="381"/>
      <c r="UYO72" s="381"/>
      <c r="UYP72" s="381"/>
      <c r="UYQ72" s="381"/>
      <c r="UYR72" s="381"/>
      <c r="UYS72" s="381"/>
      <c r="UYT72" s="381"/>
      <c r="UYU72" s="381"/>
      <c r="UYV72" s="381"/>
      <c r="UYW72" s="381"/>
      <c r="UYX72" s="381"/>
      <c r="UYY72" s="381"/>
      <c r="UYZ72" s="381"/>
      <c r="UZA72" s="381"/>
      <c r="UZB72" s="381"/>
      <c r="UZC72" s="381"/>
      <c r="UZD72" s="381"/>
      <c r="UZE72" s="381"/>
      <c r="UZF72" s="381"/>
      <c r="UZG72" s="381"/>
      <c r="UZH72" s="381"/>
      <c r="UZI72" s="379"/>
      <c r="UZJ72" s="380"/>
      <c r="UZK72" s="380"/>
      <c r="UZL72" s="380"/>
      <c r="UZM72" s="381"/>
      <c r="UZN72" s="381"/>
      <c r="UZO72" s="381"/>
      <c r="UZP72" s="381"/>
      <c r="UZQ72" s="381"/>
      <c r="UZR72" s="381"/>
      <c r="UZS72" s="381"/>
      <c r="UZT72" s="381"/>
      <c r="UZU72" s="381"/>
      <c r="UZV72" s="381"/>
      <c r="UZW72" s="381"/>
      <c r="UZX72" s="381"/>
      <c r="UZY72" s="381"/>
      <c r="UZZ72" s="381"/>
      <c r="VAA72" s="381"/>
      <c r="VAB72" s="381"/>
      <c r="VAC72" s="381"/>
      <c r="VAD72" s="381"/>
      <c r="VAE72" s="381"/>
      <c r="VAF72" s="381"/>
      <c r="VAG72" s="381"/>
      <c r="VAH72" s="381"/>
      <c r="VAI72" s="381"/>
      <c r="VAJ72" s="381"/>
      <c r="VAK72" s="381"/>
      <c r="VAL72" s="381"/>
      <c r="VAM72" s="379"/>
      <c r="VAN72" s="380"/>
      <c r="VAO72" s="380"/>
      <c r="VAP72" s="380"/>
      <c r="VAQ72" s="381"/>
      <c r="VAR72" s="381"/>
      <c r="VAS72" s="381"/>
      <c r="VAT72" s="381"/>
      <c r="VAU72" s="381"/>
      <c r="VAV72" s="381"/>
      <c r="VAW72" s="381"/>
      <c r="VAX72" s="381"/>
      <c r="VAY72" s="381"/>
      <c r="VAZ72" s="381"/>
      <c r="VBA72" s="381"/>
      <c r="VBB72" s="381"/>
      <c r="VBC72" s="381"/>
      <c r="VBD72" s="381"/>
      <c r="VBE72" s="381"/>
      <c r="VBF72" s="381"/>
      <c r="VBG72" s="381"/>
      <c r="VBH72" s="381"/>
      <c r="VBI72" s="381"/>
      <c r="VBJ72" s="381"/>
      <c r="VBK72" s="381"/>
      <c r="VBL72" s="381"/>
      <c r="VBM72" s="381"/>
      <c r="VBN72" s="381"/>
      <c r="VBO72" s="381"/>
      <c r="VBP72" s="381"/>
      <c r="VBQ72" s="379"/>
      <c r="VBR72" s="380"/>
      <c r="VBS72" s="380"/>
      <c r="VBT72" s="380"/>
      <c r="VBU72" s="381"/>
      <c r="VBV72" s="381"/>
      <c r="VBW72" s="381"/>
      <c r="VBX72" s="381"/>
      <c r="VBY72" s="381"/>
      <c r="VBZ72" s="381"/>
      <c r="VCA72" s="381"/>
      <c r="VCB72" s="381"/>
      <c r="VCC72" s="381"/>
      <c r="VCD72" s="381"/>
      <c r="VCE72" s="381"/>
      <c r="VCF72" s="381"/>
      <c r="VCG72" s="381"/>
      <c r="VCH72" s="381"/>
      <c r="VCI72" s="381"/>
      <c r="VCJ72" s="381"/>
      <c r="VCK72" s="381"/>
      <c r="VCL72" s="381"/>
      <c r="VCM72" s="381"/>
      <c r="VCN72" s="381"/>
      <c r="VCO72" s="381"/>
      <c r="VCP72" s="381"/>
      <c r="VCQ72" s="381"/>
      <c r="VCR72" s="381"/>
      <c r="VCS72" s="381"/>
      <c r="VCT72" s="381"/>
      <c r="VCU72" s="379"/>
      <c r="VCV72" s="380"/>
      <c r="VCW72" s="380"/>
      <c r="VCX72" s="380"/>
      <c r="VCY72" s="381"/>
      <c r="VCZ72" s="381"/>
      <c r="VDA72" s="381"/>
      <c r="VDB72" s="381"/>
      <c r="VDC72" s="381"/>
      <c r="VDD72" s="381"/>
      <c r="VDE72" s="381"/>
      <c r="VDF72" s="381"/>
      <c r="VDG72" s="381"/>
      <c r="VDH72" s="381"/>
      <c r="VDI72" s="381"/>
      <c r="VDJ72" s="381"/>
      <c r="VDK72" s="381"/>
      <c r="VDL72" s="381"/>
      <c r="VDM72" s="381"/>
      <c r="VDN72" s="381"/>
      <c r="VDO72" s="381"/>
      <c r="VDP72" s="381"/>
      <c r="VDQ72" s="381"/>
      <c r="VDR72" s="381"/>
      <c r="VDS72" s="381"/>
      <c r="VDT72" s="381"/>
      <c r="VDU72" s="381"/>
      <c r="VDV72" s="381"/>
      <c r="VDW72" s="381"/>
      <c r="VDX72" s="381"/>
      <c r="VDY72" s="379"/>
      <c r="VDZ72" s="380"/>
      <c r="VEA72" s="380"/>
      <c r="VEB72" s="380"/>
      <c r="VEC72" s="381"/>
      <c r="VED72" s="381"/>
      <c r="VEE72" s="381"/>
      <c r="VEF72" s="381"/>
      <c r="VEG72" s="381"/>
      <c r="VEH72" s="381"/>
      <c r="VEI72" s="381"/>
      <c r="VEJ72" s="381"/>
      <c r="VEK72" s="381"/>
      <c r="VEL72" s="381"/>
      <c r="VEM72" s="381"/>
      <c r="VEN72" s="381"/>
      <c r="VEO72" s="381"/>
      <c r="VEP72" s="381"/>
      <c r="VEQ72" s="381"/>
      <c r="VER72" s="381"/>
      <c r="VES72" s="381"/>
      <c r="VET72" s="381"/>
      <c r="VEU72" s="381"/>
      <c r="VEV72" s="381"/>
      <c r="VEW72" s="381"/>
      <c r="VEX72" s="381"/>
      <c r="VEY72" s="381"/>
      <c r="VEZ72" s="381"/>
      <c r="VFA72" s="381"/>
      <c r="VFB72" s="381"/>
      <c r="VFC72" s="379"/>
      <c r="VFD72" s="380"/>
      <c r="VFE72" s="380"/>
      <c r="VFF72" s="380"/>
      <c r="VFG72" s="381"/>
      <c r="VFH72" s="381"/>
      <c r="VFI72" s="381"/>
      <c r="VFJ72" s="381"/>
      <c r="VFK72" s="381"/>
      <c r="VFL72" s="381"/>
      <c r="VFM72" s="381"/>
      <c r="VFN72" s="381"/>
      <c r="VFO72" s="381"/>
      <c r="VFP72" s="381"/>
      <c r="VFQ72" s="381"/>
      <c r="VFR72" s="381"/>
      <c r="VFS72" s="381"/>
      <c r="VFT72" s="381"/>
      <c r="VFU72" s="381"/>
      <c r="VFV72" s="381"/>
      <c r="VFW72" s="381"/>
      <c r="VFX72" s="381"/>
      <c r="VFY72" s="381"/>
      <c r="VFZ72" s="381"/>
      <c r="VGA72" s="381"/>
      <c r="VGB72" s="381"/>
      <c r="VGC72" s="381"/>
      <c r="VGD72" s="381"/>
      <c r="VGE72" s="381"/>
      <c r="VGF72" s="381"/>
      <c r="VGG72" s="379"/>
      <c r="VGH72" s="380"/>
      <c r="VGI72" s="380"/>
      <c r="VGJ72" s="380"/>
      <c r="VGK72" s="381"/>
      <c r="VGL72" s="381"/>
      <c r="VGM72" s="381"/>
      <c r="VGN72" s="381"/>
      <c r="VGO72" s="381"/>
      <c r="VGP72" s="381"/>
      <c r="VGQ72" s="381"/>
      <c r="VGR72" s="381"/>
      <c r="VGS72" s="381"/>
      <c r="VGT72" s="381"/>
      <c r="VGU72" s="381"/>
      <c r="VGV72" s="381"/>
      <c r="VGW72" s="381"/>
      <c r="VGX72" s="381"/>
      <c r="VGY72" s="381"/>
      <c r="VGZ72" s="381"/>
      <c r="VHA72" s="381"/>
      <c r="VHB72" s="381"/>
      <c r="VHC72" s="381"/>
      <c r="VHD72" s="381"/>
      <c r="VHE72" s="381"/>
      <c r="VHF72" s="381"/>
      <c r="VHG72" s="381"/>
      <c r="VHH72" s="381"/>
      <c r="VHI72" s="381"/>
      <c r="VHJ72" s="381"/>
      <c r="VHK72" s="379"/>
      <c r="VHL72" s="380"/>
      <c r="VHM72" s="380"/>
      <c r="VHN72" s="380"/>
      <c r="VHO72" s="381"/>
      <c r="VHP72" s="381"/>
      <c r="VHQ72" s="381"/>
      <c r="VHR72" s="381"/>
      <c r="VHS72" s="381"/>
      <c r="VHT72" s="381"/>
      <c r="VHU72" s="381"/>
      <c r="VHV72" s="381"/>
      <c r="VHW72" s="381"/>
      <c r="VHX72" s="381"/>
      <c r="VHY72" s="381"/>
      <c r="VHZ72" s="381"/>
      <c r="VIA72" s="381"/>
      <c r="VIB72" s="381"/>
      <c r="VIC72" s="381"/>
      <c r="VID72" s="381"/>
      <c r="VIE72" s="381"/>
      <c r="VIF72" s="381"/>
      <c r="VIG72" s="381"/>
      <c r="VIH72" s="381"/>
      <c r="VII72" s="381"/>
      <c r="VIJ72" s="381"/>
      <c r="VIK72" s="381"/>
      <c r="VIL72" s="381"/>
      <c r="VIM72" s="381"/>
      <c r="VIN72" s="381"/>
      <c r="VIO72" s="379"/>
      <c r="VIP72" s="380"/>
      <c r="VIQ72" s="380"/>
      <c r="VIR72" s="380"/>
      <c r="VIS72" s="381"/>
      <c r="VIT72" s="381"/>
      <c r="VIU72" s="381"/>
      <c r="VIV72" s="381"/>
      <c r="VIW72" s="381"/>
      <c r="VIX72" s="381"/>
      <c r="VIY72" s="381"/>
      <c r="VIZ72" s="381"/>
      <c r="VJA72" s="381"/>
      <c r="VJB72" s="381"/>
      <c r="VJC72" s="381"/>
      <c r="VJD72" s="381"/>
      <c r="VJE72" s="381"/>
      <c r="VJF72" s="381"/>
      <c r="VJG72" s="381"/>
      <c r="VJH72" s="381"/>
      <c r="VJI72" s="381"/>
      <c r="VJJ72" s="381"/>
      <c r="VJK72" s="381"/>
      <c r="VJL72" s="381"/>
      <c r="VJM72" s="381"/>
      <c r="VJN72" s="381"/>
      <c r="VJO72" s="381"/>
      <c r="VJP72" s="381"/>
      <c r="VJQ72" s="381"/>
      <c r="VJR72" s="381"/>
      <c r="VJS72" s="379"/>
      <c r="VJT72" s="380"/>
      <c r="VJU72" s="380"/>
      <c r="VJV72" s="380"/>
      <c r="VJW72" s="381"/>
      <c r="VJX72" s="381"/>
      <c r="VJY72" s="381"/>
      <c r="VJZ72" s="381"/>
      <c r="VKA72" s="381"/>
      <c r="VKB72" s="381"/>
      <c r="VKC72" s="381"/>
      <c r="VKD72" s="381"/>
      <c r="VKE72" s="381"/>
      <c r="VKF72" s="381"/>
      <c r="VKG72" s="381"/>
      <c r="VKH72" s="381"/>
      <c r="VKI72" s="381"/>
      <c r="VKJ72" s="381"/>
      <c r="VKK72" s="381"/>
      <c r="VKL72" s="381"/>
      <c r="VKM72" s="381"/>
      <c r="VKN72" s="381"/>
      <c r="VKO72" s="381"/>
      <c r="VKP72" s="381"/>
      <c r="VKQ72" s="381"/>
      <c r="VKR72" s="381"/>
      <c r="VKS72" s="381"/>
      <c r="VKT72" s="381"/>
      <c r="VKU72" s="381"/>
      <c r="VKV72" s="381"/>
      <c r="VKW72" s="379"/>
      <c r="VKX72" s="380"/>
      <c r="VKY72" s="380"/>
      <c r="VKZ72" s="380"/>
      <c r="VLA72" s="381"/>
      <c r="VLB72" s="381"/>
      <c r="VLC72" s="381"/>
      <c r="VLD72" s="381"/>
      <c r="VLE72" s="381"/>
      <c r="VLF72" s="381"/>
      <c r="VLG72" s="381"/>
      <c r="VLH72" s="381"/>
      <c r="VLI72" s="381"/>
      <c r="VLJ72" s="381"/>
      <c r="VLK72" s="381"/>
      <c r="VLL72" s="381"/>
      <c r="VLM72" s="381"/>
      <c r="VLN72" s="381"/>
      <c r="VLO72" s="381"/>
      <c r="VLP72" s="381"/>
      <c r="VLQ72" s="381"/>
      <c r="VLR72" s="381"/>
      <c r="VLS72" s="381"/>
      <c r="VLT72" s="381"/>
      <c r="VLU72" s="381"/>
      <c r="VLV72" s="381"/>
      <c r="VLW72" s="381"/>
      <c r="VLX72" s="381"/>
      <c r="VLY72" s="381"/>
      <c r="VLZ72" s="381"/>
      <c r="VMA72" s="379"/>
      <c r="VMB72" s="380"/>
      <c r="VMC72" s="380"/>
      <c r="VMD72" s="380"/>
      <c r="VME72" s="381"/>
      <c r="VMF72" s="381"/>
      <c r="VMG72" s="381"/>
      <c r="VMH72" s="381"/>
      <c r="VMI72" s="381"/>
      <c r="VMJ72" s="381"/>
      <c r="VMK72" s="381"/>
      <c r="VML72" s="381"/>
      <c r="VMM72" s="381"/>
      <c r="VMN72" s="381"/>
      <c r="VMO72" s="381"/>
      <c r="VMP72" s="381"/>
      <c r="VMQ72" s="381"/>
      <c r="VMR72" s="381"/>
      <c r="VMS72" s="381"/>
      <c r="VMT72" s="381"/>
      <c r="VMU72" s="381"/>
      <c r="VMV72" s="381"/>
      <c r="VMW72" s="381"/>
      <c r="VMX72" s="381"/>
      <c r="VMY72" s="381"/>
      <c r="VMZ72" s="381"/>
      <c r="VNA72" s="381"/>
      <c r="VNB72" s="381"/>
      <c r="VNC72" s="381"/>
      <c r="VND72" s="381"/>
      <c r="VNE72" s="379"/>
      <c r="VNF72" s="380"/>
      <c r="VNG72" s="380"/>
      <c r="VNH72" s="380"/>
      <c r="VNI72" s="381"/>
      <c r="VNJ72" s="381"/>
      <c r="VNK72" s="381"/>
      <c r="VNL72" s="381"/>
      <c r="VNM72" s="381"/>
      <c r="VNN72" s="381"/>
      <c r="VNO72" s="381"/>
      <c r="VNP72" s="381"/>
      <c r="VNQ72" s="381"/>
      <c r="VNR72" s="381"/>
      <c r="VNS72" s="381"/>
      <c r="VNT72" s="381"/>
      <c r="VNU72" s="381"/>
      <c r="VNV72" s="381"/>
      <c r="VNW72" s="381"/>
      <c r="VNX72" s="381"/>
      <c r="VNY72" s="381"/>
      <c r="VNZ72" s="381"/>
      <c r="VOA72" s="381"/>
      <c r="VOB72" s="381"/>
      <c r="VOC72" s="381"/>
      <c r="VOD72" s="381"/>
      <c r="VOE72" s="381"/>
      <c r="VOF72" s="381"/>
      <c r="VOG72" s="381"/>
      <c r="VOH72" s="381"/>
      <c r="VOI72" s="379"/>
      <c r="VOJ72" s="380"/>
      <c r="VOK72" s="380"/>
      <c r="VOL72" s="380"/>
      <c r="VOM72" s="381"/>
      <c r="VON72" s="381"/>
      <c r="VOO72" s="381"/>
      <c r="VOP72" s="381"/>
      <c r="VOQ72" s="381"/>
      <c r="VOR72" s="381"/>
      <c r="VOS72" s="381"/>
      <c r="VOT72" s="381"/>
      <c r="VOU72" s="381"/>
      <c r="VOV72" s="381"/>
      <c r="VOW72" s="381"/>
      <c r="VOX72" s="381"/>
      <c r="VOY72" s="381"/>
      <c r="VOZ72" s="381"/>
      <c r="VPA72" s="381"/>
      <c r="VPB72" s="381"/>
      <c r="VPC72" s="381"/>
      <c r="VPD72" s="381"/>
      <c r="VPE72" s="381"/>
      <c r="VPF72" s="381"/>
      <c r="VPG72" s="381"/>
      <c r="VPH72" s="381"/>
      <c r="VPI72" s="381"/>
      <c r="VPJ72" s="381"/>
      <c r="VPK72" s="381"/>
      <c r="VPL72" s="381"/>
      <c r="VPM72" s="379"/>
      <c r="VPN72" s="380"/>
      <c r="VPO72" s="380"/>
      <c r="VPP72" s="380"/>
      <c r="VPQ72" s="381"/>
      <c r="VPR72" s="381"/>
      <c r="VPS72" s="381"/>
      <c r="VPT72" s="381"/>
      <c r="VPU72" s="381"/>
      <c r="VPV72" s="381"/>
      <c r="VPW72" s="381"/>
      <c r="VPX72" s="381"/>
      <c r="VPY72" s="381"/>
      <c r="VPZ72" s="381"/>
      <c r="VQA72" s="381"/>
      <c r="VQB72" s="381"/>
      <c r="VQC72" s="381"/>
      <c r="VQD72" s="381"/>
      <c r="VQE72" s="381"/>
      <c r="VQF72" s="381"/>
      <c r="VQG72" s="381"/>
      <c r="VQH72" s="381"/>
      <c r="VQI72" s="381"/>
      <c r="VQJ72" s="381"/>
      <c r="VQK72" s="381"/>
      <c r="VQL72" s="381"/>
      <c r="VQM72" s="381"/>
      <c r="VQN72" s="381"/>
      <c r="VQO72" s="381"/>
      <c r="VQP72" s="381"/>
      <c r="VQQ72" s="379"/>
      <c r="VQR72" s="380"/>
      <c r="VQS72" s="380"/>
      <c r="VQT72" s="380"/>
      <c r="VQU72" s="381"/>
      <c r="VQV72" s="381"/>
      <c r="VQW72" s="381"/>
      <c r="VQX72" s="381"/>
      <c r="VQY72" s="381"/>
      <c r="VQZ72" s="381"/>
      <c r="VRA72" s="381"/>
      <c r="VRB72" s="381"/>
      <c r="VRC72" s="381"/>
      <c r="VRD72" s="381"/>
      <c r="VRE72" s="381"/>
      <c r="VRF72" s="381"/>
      <c r="VRG72" s="381"/>
      <c r="VRH72" s="381"/>
      <c r="VRI72" s="381"/>
      <c r="VRJ72" s="381"/>
      <c r="VRK72" s="381"/>
      <c r="VRL72" s="381"/>
      <c r="VRM72" s="381"/>
      <c r="VRN72" s="381"/>
      <c r="VRO72" s="381"/>
      <c r="VRP72" s="381"/>
      <c r="VRQ72" s="381"/>
      <c r="VRR72" s="381"/>
      <c r="VRS72" s="381"/>
      <c r="VRT72" s="381"/>
      <c r="VRU72" s="379"/>
      <c r="VRV72" s="380"/>
      <c r="VRW72" s="380"/>
      <c r="VRX72" s="380"/>
      <c r="VRY72" s="381"/>
      <c r="VRZ72" s="381"/>
      <c r="VSA72" s="381"/>
      <c r="VSB72" s="381"/>
      <c r="VSC72" s="381"/>
      <c r="VSD72" s="381"/>
      <c r="VSE72" s="381"/>
      <c r="VSF72" s="381"/>
      <c r="VSG72" s="381"/>
      <c r="VSH72" s="381"/>
      <c r="VSI72" s="381"/>
      <c r="VSJ72" s="381"/>
      <c r="VSK72" s="381"/>
      <c r="VSL72" s="381"/>
      <c r="VSM72" s="381"/>
      <c r="VSN72" s="381"/>
      <c r="VSO72" s="381"/>
      <c r="VSP72" s="381"/>
      <c r="VSQ72" s="381"/>
      <c r="VSR72" s="381"/>
      <c r="VSS72" s="381"/>
      <c r="VST72" s="381"/>
      <c r="VSU72" s="381"/>
      <c r="VSV72" s="381"/>
      <c r="VSW72" s="381"/>
      <c r="VSX72" s="381"/>
      <c r="VSY72" s="379"/>
      <c r="VSZ72" s="380"/>
      <c r="VTA72" s="380"/>
      <c r="VTB72" s="380"/>
      <c r="VTC72" s="381"/>
      <c r="VTD72" s="381"/>
      <c r="VTE72" s="381"/>
      <c r="VTF72" s="381"/>
      <c r="VTG72" s="381"/>
      <c r="VTH72" s="381"/>
      <c r="VTI72" s="381"/>
      <c r="VTJ72" s="381"/>
      <c r="VTK72" s="381"/>
      <c r="VTL72" s="381"/>
      <c r="VTM72" s="381"/>
      <c r="VTN72" s="381"/>
      <c r="VTO72" s="381"/>
      <c r="VTP72" s="381"/>
      <c r="VTQ72" s="381"/>
      <c r="VTR72" s="381"/>
      <c r="VTS72" s="381"/>
      <c r="VTT72" s="381"/>
      <c r="VTU72" s="381"/>
      <c r="VTV72" s="381"/>
      <c r="VTW72" s="381"/>
      <c r="VTX72" s="381"/>
      <c r="VTY72" s="381"/>
      <c r="VTZ72" s="381"/>
      <c r="VUA72" s="381"/>
      <c r="VUB72" s="381"/>
      <c r="VUC72" s="379"/>
      <c r="VUD72" s="380"/>
      <c r="VUE72" s="380"/>
      <c r="VUF72" s="380"/>
      <c r="VUG72" s="381"/>
      <c r="VUH72" s="381"/>
      <c r="VUI72" s="381"/>
      <c r="VUJ72" s="381"/>
      <c r="VUK72" s="381"/>
      <c r="VUL72" s="381"/>
      <c r="VUM72" s="381"/>
      <c r="VUN72" s="381"/>
      <c r="VUO72" s="381"/>
      <c r="VUP72" s="381"/>
      <c r="VUQ72" s="381"/>
      <c r="VUR72" s="381"/>
      <c r="VUS72" s="381"/>
      <c r="VUT72" s="381"/>
      <c r="VUU72" s="381"/>
      <c r="VUV72" s="381"/>
      <c r="VUW72" s="381"/>
      <c r="VUX72" s="381"/>
      <c r="VUY72" s="381"/>
      <c r="VUZ72" s="381"/>
      <c r="VVA72" s="381"/>
      <c r="VVB72" s="381"/>
      <c r="VVC72" s="381"/>
      <c r="VVD72" s="381"/>
      <c r="VVE72" s="381"/>
      <c r="VVF72" s="381"/>
      <c r="VVG72" s="379"/>
      <c r="VVH72" s="380"/>
      <c r="VVI72" s="380"/>
      <c r="VVJ72" s="380"/>
      <c r="VVK72" s="381"/>
      <c r="VVL72" s="381"/>
      <c r="VVM72" s="381"/>
      <c r="VVN72" s="381"/>
      <c r="VVO72" s="381"/>
      <c r="VVP72" s="381"/>
      <c r="VVQ72" s="381"/>
      <c r="VVR72" s="381"/>
      <c r="VVS72" s="381"/>
      <c r="VVT72" s="381"/>
      <c r="VVU72" s="381"/>
      <c r="VVV72" s="381"/>
      <c r="VVW72" s="381"/>
      <c r="VVX72" s="381"/>
      <c r="VVY72" s="381"/>
      <c r="VVZ72" s="381"/>
      <c r="VWA72" s="381"/>
      <c r="VWB72" s="381"/>
      <c r="VWC72" s="381"/>
      <c r="VWD72" s="381"/>
      <c r="VWE72" s="381"/>
      <c r="VWF72" s="381"/>
      <c r="VWG72" s="381"/>
      <c r="VWH72" s="381"/>
      <c r="VWI72" s="381"/>
      <c r="VWJ72" s="381"/>
      <c r="VWK72" s="379"/>
      <c r="VWL72" s="380"/>
      <c r="VWM72" s="380"/>
      <c r="VWN72" s="380"/>
      <c r="VWO72" s="381"/>
      <c r="VWP72" s="381"/>
      <c r="VWQ72" s="381"/>
      <c r="VWR72" s="381"/>
      <c r="VWS72" s="381"/>
      <c r="VWT72" s="381"/>
      <c r="VWU72" s="381"/>
      <c r="VWV72" s="381"/>
      <c r="VWW72" s="381"/>
      <c r="VWX72" s="381"/>
      <c r="VWY72" s="381"/>
      <c r="VWZ72" s="381"/>
      <c r="VXA72" s="381"/>
      <c r="VXB72" s="381"/>
      <c r="VXC72" s="381"/>
      <c r="VXD72" s="381"/>
      <c r="VXE72" s="381"/>
      <c r="VXF72" s="381"/>
      <c r="VXG72" s="381"/>
      <c r="VXH72" s="381"/>
      <c r="VXI72" s="381"/>
      <c r="VXJ72" s="381"/>
      <c r="VXK72" s="381"/>
      <c r="VXL72" s="381"/>
      <c r="VXM72" s="381"/>
      <c r="VXN72" s="381"/>
      <c r="VXO72" s="379"/>
      <c r="VXP72" s="380"/>
      <c r="VXQ72" s="380"/>
      <c r="VXR72" s="380"/>
      <c r="VXS72" s="381"/>
      <c r="VXT72" s="381"/>
      <c r="VXU72" s="381"/>
      <c r="VXV72" s="381"/>
      <c r="VXW72" s="381"/>
      <c r="VXX72" s="381"/>
      <c r="VXY72" s="381"/>
      <c r="VXZ72" s="381"/>
      <c r="VYA72" s="381"/>
      <c r="VYB72" s="381"/>
      <c r="VYC72" s="381"/>
      <c r="VYD72" s="381"/>
      <c r="VYE72" s="381"/>
      <c r="VYF72" s="381"/>
      <c r="VYG72" s="381"/>
      <c r="VYH72" s="381"/>
      <c r="VYI72" s="381"/>
      <c r="VYJ72" s="381"/>
      <c r="VYK72" s="381"/>
      <c r="VYL72" s="381"/>
      <c r="VYM72" s="381"/>
      <c r="VYN72" s="381"/>
      <c r="VYO72" s="381"/>
      <c r="VYP72" s="381"/>
      <c r="VYQ72" s="381"/>
      <c r="VYR72" s="381"/>
      <c r="VYS72" s="379"/>
      <c r="VYT72" s="380"/>
      <c r="VYU72" s="380"/>
      <c r="VYV72" s="380"/>
      <c r="VYW72" s="381"/>
      <c r="VYX72" s="381"/>
      <c r="VYY72" s="381"/>
      <c r="VYZ72" s="381"/>
      <c r="VZA72" s="381"/>
      <c r="VZB72" s="381"/>
      <c r="VZC72" s="381"/>
      <c r="VZD72" s="381"/>
      <c r="VZE72" s="381"/>
      <c r="VZF72" s="381"/>
      <c r="VZG72" s="381"/>
      <c r="VZH72" s="381"/>
      <c r="VZI72" s="381"/>
      <c r="VZJ72" s="381"/>
      <c r="VZK72" s="381"/>
      <c r="VZL72" s="381"/>
      <c r="VZM72" s="381"/>
      <c r="VZN72" s="381"/>
      <c r="VZO72" s="381"/>
      <c r="VZP72" s="381"/>
      <c r="VZQ72" s="381"/>
      <c r="VZR72" s="381"/>
      <c r="VZS72" s="381"/>
      <c r="VZT72" s="381"/>
      <c r="VZU72" s="381"/>
      <c r="VZV72" s="381"/>
      <c r="VZW72" s="379"/>
      <c r="VZX72" s="380"/>
      <c r="VZY72" s="380"/>
      <c r="VZZ72" s="380"/>
      <c r="WAA72" s="381"/>
      <c r="WAB72" s="381"/>
      <c r="WAC72" s="381"/>
      <c r="WAD72" s="381"/>
      <c r="WAE72" s="381"/>
      <c r="WAF72" s="381"/>
      <c r="WAG72" s="381"/>
      <c r="WAH72" s="381"/>
      <c r="WAI72" s="381"/>
      <c r="WAJ72" s="381"/>
      <c r="WAK72" s="381"/>
      <c r="WAL72" s="381"/>
      <c r="WAM72" s="381"/>
      <c r="WAN72" s="381"/>
      <c r="WAO72" s="381"/>
      <c r="WAP72" s="381"/>
      <c r="WAQ72" s="381"/>
      <c r="WAR72" s="381"/>
      <c r="WAS72" s="381"/>
      <c r="WAT72" s="381"/>
      <c r="WAU72" s="381"/>
      <c r="WAV72" s="381"/>
      <c r="WAW72" s="381"/>
      <c r="WAX72" s="381"/>
      <c r="WAY72" s="381"/>
      <c r="WAZ72" s="381"/>
      <c r="WBA72" s="379"/>
      <c r="WBB72" s="380"/>
      <c r="WBC72" s="380"/>
      <c r="WBD72" s="380"/>
      <c r="WBE72" s="381"/>
      <c r="WBF72" s="381"/>
      <c r="WBG72" s="381"/>
      <c r="WBH72" s="381"/>
      <c r="WBI72" s="381"/>
      <c r="WBJ72" s="381"/>
      <c r="WBK72" s="381"/>
      <c r="WBL72" s="381"/>
      <c r="WBM72" s="381"/>
      <c r="WBN72" s="381"/>
      <c r="WBO72" s="381"/>
      <c r="WBP72" s="381"/>
      <c r="WBQ72" s="381"/>
      <c r="WBR72" s="381"/>
      <c r="WBS72" s="381"/>
      <c r="WBT72" s="381"/>
      <c r="WBU72" s="381"/>
      <c r="WBV72" s="381"/>
      <c r="WBW72" s="381"/>
      <c r="WBX72" s="381"/>
      <c r="WBY72" s="381"/>
      <c r="WBZ72" s="381"/>
      <c r="WCA72" s="381"/>
      <c r="WCB72" s="381"/>
      <c r="WCC72" s="381"/>
      <c r="WCD72" s="381"/>
      <c r="WCE72" s="379"/>
      <c r="WCF72" s="380"/>
      <c r="WCG72" s="380"/>
      <c r="WCH72" s="380"/>
      <c r="WCI72" s="381"/>
      <c r="WCJ72" s="381"/>
      <c r="WCK72" s="381"/>
      <c r="WCL72" s="381"/>
      <c r="WCM72" s="381"/>
      <c r="WCN72" s="381"/>
      <c r="WCO72" s="381"/>
      <c r="WCP72" s="381"/>
      <c r="WCQ72" s="381"/>
      <c r="WCR72" s="381"/>
      <c r="WCS72" s="381"/>
      <c r="WCT72" s="381"/>
      <c r="WCU72" s="381"/>
      <c r="WCV72" s="381"/>
      <c r="WCW72" s="381"/>
      <c r="WCX72" s="381"/>
      <c r="WCY72" s="381"/>
      <c r="WCZ72" s="381"/>
      <c r="WDA72" s="381"/>
      <c r="WDB72" s="381"/>
      <c r="WDC72" s="381"/>
      <c r="WDD72" s="381"/>
      <c r="WDE72" s="381"/>
      <c r="WDF72" s="381"/>
      <c r="WDG72" s="381"/>
      <c r="WDH72" s="381"/>
      <c r="WDI72" s="379"/>
      <c r="WDJ72" s="380"/>
      <c r="WDK72" s="380"/>
      <c r="WDL72" s="380"/>
      <c r="WDM72" s="381"/>
      <c r="WDN72" s="381"/>
      <c r="WDO72" s="381"/>
      <c r="WDP72" s="381"/>
      <c r="WDQ72" s="381"/>
      <c r="WDR72" s="381"/>
      <c r="WDS72" s="381"/>
      <c r="WDT72" s="381"/>
      <c r="WDU72" s="381"/>
      <c r="WDV72" s="381"/>
      <c r="WDW72" s="381"/>
      <c r="WDX72" s="381"/>
      <c r="WDY72" s="381"/>
      <c r="WDZ72" s="381"/>
      <c r="WEA72" s="381"/>
      <c r="WEB72" s="381"/>
      <c r="WEC72" s="381"/>
      <c r="WED72" s="381"/>
      <c r="WEE72" s="381"/>
      <c r="WEF72" s="381"/>
      <c r="WEG72" s="381"/>
      <c r="WEH72" s="381"/>
      <c r="WEI72" s="381"/>
      <c r="WEJ72" s="381"/>
      <c r="WEK72" s="381"/>
      <c r="WEL72" s="381"/>
      <c r="WEM72" s="379"/>
      <c r="WEN72" s="380"/>
      <c r="WEO72" s="380"/>
      <c r="WEP72" s="380"/>
      <c r="WEQ72" s="381"/>
      <c r="WER72" s="381"/>
      <c r="WES72" s="381"/>
      <c r="WET72" s="381"/>
      <c r="WEU72" s="381"/>
      <c r="WEV72" s="381"/>
      <c r="WEW72" s="381"/>
      <c r="WEX72" s="381"/>
      <c r="WEY72" s="381"/>
      <c r="WEZ72" s="381"/>
      <c r="WFA72" s="381"/>
      <c r="WFB72" s="381"/>
      <c r="WFC72" s="381"/>
      <c r="WFD72" s="381"/>
      <c r="WFE72" s="381"/>
      <c r="WFF72" s="381"/>
      <c r="WFG72" s="381"/>
      <c r="WFH72" s="381"/>
      <c r="WFI72" s="381"/>
      <c r="WFJ72" s="381"/>
      <c r="WFK72" s="381"/>
      <c r="WFL72" s="381"/>
      <c r="WFM72" s="381"/>
      <c r="WFN72" s="381"/>
      <c r="WFO72" s="381"/>
      <c r="WFP72" s="381"/>
      <c r="WFQ72" s="379"/>
      <c r="WFR72" s="380"/>
      <c r="WFS72" s="380"/>
      <c r="WFT72" s="380"/>
      <c r="WFU72" s="381"/>
      <c r="WFV72" s="381"/>
      <c r="WFW72" s="381"/>
      <c r="WFX72" s="381"/>
      <c r="WFY72" s="381"/>
      <c r="WFZ72" s="381"/>
      <c r="WGA72" s="381"/>
      <c r="WGB72" s="381"/>
      <c r="WGC72" s="381"/>
      <c r="WGD72" s="381"/>
      <c r="WGE72" s="381"/>
      <c r="WGF72" s="381"/>
      <c r="WGG72" s="381"/>
      <c r="WGH72" s="381"/>
      <c r="WGI72" s="381"/>
      <c r="WGJ72" s="381"/>
      <c r="WGK72" s="381"/>
      <c r="WGL72" s="381"/>
      <c r="WGM72" s="381"/>
      <c r="WGN72" s="381"/>
      <c r="WGO72" s="381"/>
      <c r="WGP72" s="381"/>
      <c r="WGQ72" s="381"/>
      <c r="WGR72" s="381"/>
      <c r="WGS72" s="381"/>
      <c r="WGT72" s="381"/>
      <c r="WGU72" s="379"/>
      <c r="WGV72" s="380"/>
      <c r="WGW72" s="380"/>
      <c r="WGX72" s="380"/>
      <c r="WGY72" s="381"/>
      <c r="WGZ72" s="381"/>
      <c r="WHA72" s="381"/>
      <c r="WHB72" s="381"/>
      <c r="WHC72" s="381"/>
      <c r="WHD72" s="381"/>
      <c r="WHE72" s="381"/>
      <c r="WHF72" s="381"/>
      <c r="WHG72" s="381"/>
      <c r="WHH72" s="381"/>
      <c r="WHI72" s="381"/>
      <c r="WHJ72" s="381"/>
      <c r="WHK72" s="381"/>
      <c r="WHL72" s="381"/>
      <c r="WHM72" s="381"/>
      <c r="WHN72" s="381"/>
      <c r="WHO72" s="381"/>
      <c r="WHP72" s="381"/>
      <c r="WHQ72" s="381"/>
      <c r="WHR72" s="381"/>
      <c r="WHS72" s="381"/>
      <c r="WHT72" s="381"/>
      <c r="WHU72" s="381"/>
      <c r="WHV72" s="381"/>
      <c r="WHW72" s="381"/>
      <c r="WHX72" s="381"/>
      <c r="WHY72" s="379"/>
      <c r="WHZ72" s="380"/>
      <c r="WIA72" s="380"/>
      <c r="WIB72" s="380"/>
      <c r="WIC72" s="381"/>
      <c r="WID72" s="381"/>
      <c r="WIE72" s="381"/>
      <c r="WIF72" s="381"/>
      <c r="WIG72" s="381"/>
      <c r="WIH72" s="381"/>
      <c r="WII72" s="381"/>
      <c r="WIJ72" s="381"/>
      <c r="WIK72" s="381"/>
      <c r="WIL72" s="381"/>
      <c r="WIM72" s="381"/>
      <c r="WIN72" s="381"/>
      <c r="WIO72" s="381"/>
      <c r="WIP72" s="381"/>
      <c r="WIQ72" s="381"/>
      <c r="WIR72" s="381"/>
      <c r="WIS72" s="381"/>
      <c r="WIT72" s="381"/>
      <c r="WIU72" s="381"/>
      <c r="WIV72" s="381"/>
      <c r="WIW72" s="381"/>
      <c r="WIX72" s="381"/>
      <c r="WIY72" s="381"/>
      <c r="WIZ72" s="381"/>
      <c r="WJA72" s="381"/>
      <c r="WJB72" s="381"/>
      <c r="WJC72" s="379"/>
      <c r="WJD72" s="380"/>
      <c r="WJE72" s="380"/>
      <c r="WJF72" s="380"/>
      <c r="WJG72" s="381"/>
      <c r="WJH72" s="381"/>
      <c r="WJI72" s="381"/>
      <c r="WJJ72" s="381"/>
      <c r="WJK72" s="381"/>
      <c r="WJL72" s="381"/>
      <c r="WJM72" s="381"/>
      <c r="WJN72" s="381"/>
      <c r="WJO72" s="381"/>
      <c r="WJP72" s="381"/>
      <c r="WJQ72" s="381"/>
      <c r="WJR72" s="381"/>
      <c r="WJS72" s="381"/>
      <c r="WJT72" s="381"/>
      <c r="WJU72" s="381"/>
      <c r="WJV72" s="381"/>
      <c r="WJW72" s="381"/>
      <c r="WJX72" s="381"/>
      <c r="WJY72" s="381"/>
      <c r="WJZ72" s="381"/>
      <c r="WKA72" s="381"/>
      <c r="WKB72" s="381"/>
      <c r="WKC72" s="381"/>
      <c r="WKD72" s="381"/>
      <c r="WKE72" s="381"/>
      <c r="WKF72" s="381"/>
      <c r="WKG72" s="379"/>
      <c r="WKH72" s="380"/>
      <c r="WKI72" s="380"/>
      <c r="WKJ72" s="380"/>
      <c r="WKK72" s="381"/>
      <c r="WKL72" s="381"/>
      <c r="WKM72" s="381"/>
      <c r="WKN72" s="381"/>
      <c r="WKO72" s="381"/>
      <c r="WKP72" s="381"/>
      <c r="WKQ72" s="381"/>
      <c r="WKR72" s="381"/>
      <c r="WKS72" s="381"/>
      <c r="WKT72" s="381"/>
      <c r="WKU72" s="381"/>
      <c r="WKV72" s="381"/>
      <c r="WKW72" s="381"/>
      <c r="WKX72" s="381"/>
      <c r="WKY72" s="381"/>
      <c r="WKZ72" s="381"/>
      <c r="WLA72" s="381"/>
      <c r="WLB72" s="381"/>
      <c r="WLC72" s="381"/>
      <c r="WLD72" s="381"/>
      <c r="WLE72" s="381"/>
      <c r="WLF72" s="381"/>
      <c r="WLG72" s="381"/>
      <c r="WLH72" s="381"/>
      <c r="WLI72" s="381"/>
      <c r="WLJ72" s="381"/>
      <c r="WLK72" s="379"/>
      <c r="WLL72" s="380"/>
      <c r="WLM72" s="380"/>
      <c r="WLN72" s="380"/>
      <c r="WLO72" s="381"/>
      <c r="WLP72" s="381"/>
      <c r="WLQ72" s="381"/>
      <c r="WLR72" s="381"/>
      <c r="WLS72" s="381"/>
      <c r="WLT72" s="381"/>
      <c r="WLU72" s="381"/>
      <c r="WLV72" s="381"/>
      <c r="WLW72" s="381"/>
      <c r="WLX72" s="381"/>
      <c r="WLY72" s="381"/>
      <c r="WLZ72" s="381"/>
      <c r="WMA72" s="381"/>
      <c r="WMB72" s="381"/>
      <c r="WMC72" s="381"/>
      <c r="WMD72" s="381"/>
      <c r="WME72" s="381"/>
      <c r="WMF72" s="381"/>
      <c r="WMG72" s="381"/>
      <c r="WMH72" s="381"/>
      <c r="WMI72" s="381"/>
      <c r="WMJ72" s="381"/>
      <c r="WMK72" s="381"/>
      <c r="WML72" s="381"/>
      <c r="WMM72" s="381"/>
      <c r="WMN72" s="381"/>
      <c r="WMO72" s="379"/>
      <c r="WMP72" s="380"/>
      <c r="WMQ72" s="380"/>
      <c r="WMR72" s="380"/>
      <c r="WMS72" s="381"/>
      <c r="WMT72" s="381"/>
      <c r="WMU72" s="381"/>
      <c r="WMV72" s="381"/>
      <c r="WMW72" s="381"/>
      <c r="WMX72" s="381"/>
      <c r="WMY72" s="381"/>
      <c r="WMZ72" s="381"/>
      <c r="WNA72" s="381"/>
      <c r="WNB72" s="381"/>
      <c r="WNC72" s="381"/>
      <c r="WND72" s="381"/>
      <c r="WNE72" s="381"/>
      <c r="WNF72" s="381"/>
      <c r="WNG72" s="381"/>
      <c r="WNH72" s="381"/>
      <c r="WNI72" s="381"/>
      <c r="WNJ72" s="381"/>
      <c r="WNK72" s="381"/>
      <c r="WNL72" s="381"/>
      <c r="WNM72" s="381"/>
      <c r="WNN72" s="381"/>
      <c r="WNO72" s="381"/>
      <c r="WNP72" s="381"/>
      <c r="WNQ72" s="381"/>
      <c r="WNR72" s="381"/>
      <c r="WNS72" s="379"/>
      <c r="WNT72" s="380"/>
      <c r="WNU72" s="380"/>
      <c r="WNV72" s="380"/>
      <c r="WNW72" s="381"/>
      <c r="WNX72" s="381"/>
      <c r="WNY72" s="381"/>
      <c r="WNZ72" s="381"/>
      <c r="WOA72" s="381"/>
      <c r="WOB72" s="381"/>
      <c r="WOC72" s="381"/>
      <c r="WOD72" s="381"/>
      <c r="WOE72" s="381"/>
      <c r="WOF72" s="381"/>
      <c r="WOG72" s="381"/>
      <c r="WOH72" s="381"/>
      <c r="WOI72" s="381"/>
      <c r="WOJ72" s="381"/>
      <c r="WOK72" s="381"/>
      <c r="WOL72" s="381"/>
      <c r="WOM72" s="381"/>
      <c r="WON72" s="381"/>
      <c r="WOO72" s="381"/>
      <c r="WOP72" s="381"/>
      <c r="WOQ72" s="381"/>
      <c r="WOR72" s="381"/>
      <c r="WOS72" s="381"/>
      <c r="WOT72" s="381"/>
      <c r="WOU72" s="381"/>
      <c r="WOV72" s="381"/>
      <c r="WOW72" s="379"/>
      <c r="WOX72" s="380"/>
      <c r="WOY72" s="380"/>
      <c r="WOZ72" s="380"/>
      <c r="WPA72" s="381"/>
      <c r="WPB72" s="381"/>
      <c r="WPC72" s="381"/>
      <c r="WPD72" s="381"/>
      <c r="WPE72" s="381"/>
      <c r="WPF72" s="381"/>
      <c r="WPG72" s="381"/>
      <c r="WPH72" s="381"/>
      <c r="WPI72" s="381"/>
      <c r="WPJ72" s="381"/>
      <c r="WPK72" s="381"/>
      <c r="WPL72" s="381"/>
      <c r="WPM72" s="381"/>
      <c r="WPN72" s="381"/>
      <c r="WPO72" s="381"/>
      <c r="WPP72" s="381"/>
      <c r="WPQ72" s="381"/>
      <c r="WPR72" s="381"/>
      <c r="WPS72" s="381"/>
      <c r="WPT72" s="381"/>
      <c r="WPU72" s="381"/>
      <c r="WPV72" s="381"/>
      <c r="WPW72" s="381"/>
      <c r="WPX72" s="381"/>
      <c r="WPY72" s="381"/>
      <c r="WPZ72" s="381"/>
      <c r="WQA72" s="379"/>
      <c r="WQB72" s="380"/>
      <c r="WQC72" s="380"/>
      <c r="WQD72" s="380"/>
      <c r="WQE72" s="381"/>
      <c r="WQF72" s="381"/>
      <c r="WQG72" s="381"/>
      <c r="WQH72" s="381"/>
      <c r="WQI72" s="381"/>
      <c r="WQJ72" s="381"/>
      <c r="WQK72" s="381"/>
      <c r="WQL72" s="381"/>
      <c r="WQM72" s="381"/>
      <c r="WQN72" s="381"/>
      <c r="WQO72" s="381"/>
      <c r="WQP72" s="381"/>
      <c r="WQQ72" s="381"/>
      <c r="WQR72" s="381"/>
      <c r="WQS72" s="381"/>
      <c r="WQT72" s="381"/>
      <c r="WQU72" s="381"/>
      <c r="WQV72" s="381"/>
      <c r="WQW72" s="381"/>
      <c r="WQX72" s="381"/>
      <c r="WQY72" s="381"/>
      <c r="WQZ72" s="381"/>
      <c r="WRA72" s="381"/>
      <c r="WRB72" s="381"/>
      <c r="WRC72" s="381"/>
      <c r="WRD72" s="381"/>
      <c r="WRE72" s="379"/>
      <c r="WRF72" s="380"/>
      <c r="WRG72" s="380"/>
      <c r="WRH72" s="380"/>
      <c r="WRI72" s="381"/>
      <c r="WRJ72" s="381"/>
      <c r="WRK72" s="381"/>
      <c r="WRL72" s="381"/>
      <c r="WRM72" s="381"/>
      <c r="WRN72" s="381"/>
      <c r="WRO72" s="381"/>
      <c r="WRP72" s="381"/>
      <c r="WRQ72" s="381"/>
      <c r="WRR72" s="381"/>
      <c r="WRS72" s="381"/>
      <c r="WRT72" s="381"/>
      <c r="WRU72" s="381"/>
      <c r="WRV72" s="381"/>
      <c r="WRW72" s="381"/>
      <c r="WRX72" s="381"/>
      <c r="WRY72" s="381"/>
      <c r="WRZ72" s="381"/>
      <c r="WSA72" s="381"/>
      <c r="WSB72" s="381"/>
      <c r="WSC72" s="381"/>
      <c r="WSD72" s="381"/>
      <c r="WSE72" s="381"/>
      <c r="WSF72" s="381"/>
      <c r="WSG72" s="381"/>
      <c r="WSH72" s="381"/>
      <c r="WSI72" s="379"/>
      <c r="WSJ72" s="380"/>
      <c r="WSK72" s="380"/>
      <c r="WSL72" s="380"/>
      <c r="WSM72" s="381"/>
      <c r="WSN72" s="381"/>
      <c r="WSO72" s="381"/>
      <c r="WSP72" s="381"/>
      <c r="WSQ72" s="381"/>
      <c r="WSR72" s="381"/>
      <c r="WSS72" s="381"/>
      <c r="WST72" s="381"/>
      <c r="WSU72" s="381"/>
      <c r="WSV72" s="381"/>
      <c r="WSW72" s="381"/>
      <c r="WSX72" s="381"/>
      <c r="WSY72" s="381"/>
      <c r="WSZ72" s="381"/>
      <c r="WTA72" s="381"/>
      <c r="WTB72" s="381"/>
      <c r="WTC72" s="381"/>
      <c r="WTD72" s="381"/>
      <c r="WTE72" s="381"/>
      <c r="WTF72" s="381"/>
      <c r="WTG72" s="381"/>
      <c r="WTH72" s="381"/>
      <c r="WTI72" s="381"/>
      <c r="WTJ72" s="381"/>
      <c r="WTK72" s="381"/>
      <c r="WTL72" s="381"/>
      <c r="WTM72" s="379"/>
      <c r="WTN72" s="380"/>
      <c r="WTO72" s="380"/>
      <c r="WTP72" s="380"/>
      <c r="WTQ72" s="381"/>
      <c r="WTR72" s="381"/>
      <c r="WTS72" s="381"/>
      <c r="WTT72" s="381"/>
      <c r="WTU72" s="381"/>
      <c r="WTV72" s="381"/>
      <c r="WTW72" s="381"/>
      <c r="WTX72" s="381"/>
      <c r="WTY72" s="381"/>
      <c r="WTZ72" s="381"/>
      <c r="WUA72" s="381"/>
      <c r="WUB72" s="381"/>
      <c r="WUC72" s="381"/>
      <c r="WUD72" s="381"/>
      <c r="WUE72" s="381"/>
      <c r="WUF72" s="381"/>
      <c r="WUG72" s="381"/>
      <c r="WUH72" s="381"/>
      <c r="WUI72" s="381"/>
      <c r="WUJ72" s="381"/>
      <c r="WUK72" s="381"/>
      <c r="WUL72" s="381"/>
      <c r="WUM72" s="381"/>
      <c r="WUN72" s="381"/>
      <c r="WUO72" s="381"/>
      <c r="WUP72" s="381"/>
      <c r="WUQ72" s="379"/>
      <c r="WUR72" s="380"/>
      <c r="WUS72" s="380"/>
      <c r="WUT72" s="380"/>
      <c r="WUU72" s="381"/>
      <c r="WUV72" s="381"/>
      <c r="WUW72" s="381"/>
      <c r="WUX72" s="381"/>
      <c r="WUY72" s="381"/>
      <c r="WUZ72" s="381"/>
      <c r="WVA72" s="381"/>
      <c r="WVB72" s="381"/>
      <c r="WVC72" s="381"/>
      <c r="WVD72" s="381"/>
      <c r="WVE72" s="381"/>
      <c r="WVF72" s="381"/>
      <c r="WVG72" s="381"/>
      <c r="WVH72" s="381"/>
      <c r="WVI72" s="381"/>
      <c r="WVJ72" s="381"/>
      <c r="WVK72" s="381"/>
      <c r="WVL72" s="381"/>
      <c r="WVM72" s="381"/>
      <c r="WVN72" s="381"/>
      <c r="WVO72" s="381"/>
      <c r="WVP72" s="381"/>
      <c r="WVQ72" s="381"/>
      <c r="WVR72" s="381"/>
      <c r="WVS72" s="381"/>
      <c r="WVT72" s="381"/>
      <c r="WVU72" s="379"/>
      <c r="WVV72" s="380"/>
      <c r="WVW72" s="380"/>
      <c r="WVX72" s="380"/>
      <c r="WVY72" s="381"/>
      <c r="WVZ72" s="381"/>
      <c r="WWA72" s="381"/>
      <c r="WWB72" s="381"/>
      <c r="WWC72" s="381"/>
      <c r="WWD72" s="381"/>
      <c r="WWE72" s="381"/>
      <c r="WWF72" s="381"/>
      <c r="WWG72" s="381"/>
      <c r="WWH72" s="381"/>
      <c r="WWI72" s="381"/>
      <c r="WWJ72" s="381"/>
      <c r="WWK72" s="381"/>
      <c r="WWL72" s="381"/>
      <c r="WWM72" s="381"/>
      <c r="WWN72" s="381"/>
      <c r="WWO72" s="381"/>
      <c r="WWP72" s="381"/>
      <c r="WWQ72" s="381"/>
      <c r="WWR72" s="381"/>
      <c r="WWS72" s="381"/>
      <c r="WWT72" s="381"/>
      <c r="WWU72" s="381"/>
      <c r="WWV72" s="381"/>
      <c r="WWW72" s="381"/>
      <c r="WWX72" s="381"/>
      <c r="WWY72" s="379"/>
      <c r="WWZ72" s="380"/>
      <c r="WXA72" s="380"/>
      <c r="WXB72" s="380"/>
      <c r="WXC72" s="381"/>
      <c r="WXD72" s="381"/>
      <c r="WXE72" s="381"/>
      <c r="WXF72" s="381"/>
      <c r="WXG72" s="381"/>
      <c r="WXH72" s="381"/>
      <c r="WXI72" s="381"/>
      <c r="WXJ72" s="381"/>
      <c r="WXK72" s="381"/>
      <c r="WXL72" s="381"/>
      <c r="WXM72" s="381"/>
      <c r="WXN72" s="381"/>
      <c r="WXO72" s="381"/>
      <c r="WXP72" s="381"/>
      <c r="WXQ72" s="381"/>
      <c r="WXR72" s="381"/>
      <c r="WXS72" s="381"/>
      <c r="WXT72" s="381"/>
      <c r="WXU72" s="381"/>
      <c r="WXV72" s="381"/>
      <c r="WXW72" s="381"/>
      <c r="WXX72" s="381"/>
      <c r="WXY72" s="381"/>
      <c r="WXZ72" s="381"/>
      <c r="WYA72" s="381"/>
      <c r="WYB72" s="381"/>
      <c r="WYC72" s="379"/>
      <c r="WYD72" s="380"/>
      <c r="WYE72" s="380"/>
      <c r="WYF72" s="380"/>
      <c r="WYG72" s="381"/>
      <c r="WYH72" s="381"/>
      <c r="WYI72" s="381"/>
      <c r="WYJ72" s="381"/>
      <c r="WYK72" s="381"/>
      <c r="WYL72" s="381"/>
      <c r="WYM72" s="381"/>
      <c r="WYN72" s="381"/>
      <c r="WYO72" s="381"/>
      <c r="WYP72" s="381"/>
      <c r="WYQ72" s="381"/>
      <c r="WYR72" s="381"/>
      <c r="WYS72" s="381"/>
      <c r="WYT72" s="381"/>
      <c r="WYU72" s="381"/>
      <c r="WYV72" s="381"/>
      <c r="WYW72" s="381"/>
      <c r="WYX72" s="381"/>
      <c r="WYY72" s="381"/>
      <c r="WYZ72" s="381"/>
      <c r="WZA72" s="381"/>
      <c r="WZB72" s="381"/>
      <c r="WZC72" s="381"/>
      <c r="WZD72" s="381"/>
      <c r="WZE72" s="381"/>
      <c r="WZF72" s="381"/>
      <c r="WZG72" s="379"/>
      <c r="WZH72" s="380"/>
      <c r="WZI72" s="380"/>
      <c r="WZJ72" s="380"/>
      <c r="WZK72" s="381"/>
      <c r="WZL72" s="381"/>
      <c r="WZM72" s="381"/>
      <c r="WZN72" s="381"/>
      <c r="WZO72" s="381"/>
      <c r="WZP72" s="381"/>
      <c r="WZQ72" s="381"/>
      <c r="WZR72" s="381"/>
      <c r="WZS72" s="381"/>
      <c r="WZT72" s="381"/>
      <c r="WZU72" s="381"/>
      <c r="WZV72" s="381"/>
      <c r="WZW72" s="381"/>
      <c r="WZX72" s="381"/>
      <c r="WZY72" s="381"/>
      <c r="WZZ72" s="381"/>
      <c r="XAA72" s="381"/>
      <c r="XAB72" s="381"/>
      <c r="XAC72" s="381"/>
      <c r="XAD72" s="381"/>
      <c r="XAE72" s="381"/>
      <c r="XAF72" s="381"/>
      <c r="XAG72" s="381"/>
      <c r="XAH72" s="381"/>
      <c r="XAI72" s="381"/>
      <c r="XAJ72" s="381"/>
      <c r="XAK72" s="379"/>
      <c r="XAL72" s="380"/>
      <c r="XAM72" s="380"/>
      <c r="XAN72" s="380"/>
      <c r="XAO72" s="381"/>
      <c r="XAP72" s="381"/>
      <c r="XAQ72" s="381"/>
      <c r="XAR72" s="381"/>
      <c r="XAS72" s="381"/>
      <c r="XAT72" s="381"/>
      <c r="XAU72" s="381"/>
      <c r="XAV72" s="381"/>
      <c r="XAW72" s="381"/>
      <c r="XAX72" s="381"/>
      <c r="XAY72" s="381"/>
      <c r="XAZ72" s="381"/>
      <c r="XBA72" s="381"/>
      <c r="XBB72" s="381"/>
      <c r="XBC72" s="381"/>
      <c r="XBD72" s="381"/>
      <c r="XBE72" s="381"/>
      <c r="XBF72" s="381"/>
      <c r="XBG72" s="381"/>
      <c r="XBH72" s="381"/>
      <c r="XBI72" s="381"/>
      <c r="XBJ72" s="381"/>
      <c r="XBK72" s="381"/>
      <c r="XBL72" s="381"/>
      <c r="XBM72" s="381"/>
      <c r="XBN72" s="381"/>
      <c r="XBO72" s="379"/>
      <c r="XBP72" s="380"/>
      <c r="XBQ72" s="380"/>
      <c r="XBR72" s="380"/>
      <c r="XBS72" s="381"/>
      <c r="XBT72" s="381"/>
      <c r="XBU72" s="381"/>
      <c r="XBV72" s="381"/>
      <c r="XBW72" s="381"/>
      <c r="XBX72" s="381"/>
      <c r="XBY72" s="381"/>
      <c r="XBZ72" s="381"/>
      <c r="XCA72" s="381"/>
      <c r="XCB72" s="381"/>
      <c r="XCC72" s="381"/>
      <c r="XCD72" s="381"/>
      <c r="XCE72" s="381"/>
      <c r="XCF72" s="381"/>
      <c r="XCG72" s="381"/>
      <c r="XCH72" s="381"/>
      <c r="XCI72" s="381"/>
      <c r="XCJ72" s="381"/>
      <c r="XCK72" s="381"/>
      <c r="XCL72" s="381"/>
      <c r="XCM72" s="381"/>
      <c r="XCN72" s="381"/>
      <c r="XCO72" s="381"/>
      <c r="XCP72" s="381"/>
      <c r="XCQ72" s="381"/>
      <c r="XCR72" s="381"/>
      <c r="XCS72" s="379"/>
      <c r="XCT72" s="380"/>
      <c r="XCU72" s="380"/>
      <c r="XCV72" s="380"/>
      <c r="XCW72" s="381"/>
      <c r="XCX72" s="381"/>
      <c r="XCY72" s="381"/>
      <c r="XCZ72" s="381"/>
      <c r="XDA72" s="381"/>
      <c r="XDB72" s="381"/>
      <c r="XDC72" s="381"/>
      <c r="XDD72" s="381"/>
      <c r="XDE72" s="381"/>
      <c r="XDF72" s="381"/>
      <c r="XDG72" s="381"/>
      <c r="XDH72" s="381"/>
      <c r="XDI72" s="381"/>
      <c r="XDJ72" s="381"/>
      <c r="XDK72" s="381"/>
      <c r="XDL72" s="381"/>
      <c r="XDM72" s="381"/>
      <c r="XDN72" s="381"/>
      <c r="XDO72" s="381"/>
      <c r="XDP72" s="381"/>
      <c r="XDQ72" s="381"/>
      <c r="XDR72" s="381"/>
      <c r="XDS72" s="381"/>
      <c r="XDT72" s="381"/>
      <c r="XDU72" s="381"/>
      <c r="XDV72" s="381"/>
      <c r="XDW72" s="379"/>
      <c r="XDX72" s="380"/>
      <c r="XDY72" s="380"/>
      <c r="XDZ72" s="380"/>
      <c r="XEA72" s="381"/>
      <c r="XEB72" s="381"/>
      <c r="XEC72" s="381"/>
      <c r="XED72" s="381"/>
      <c r="XEE72" s="381"/>
      <c r="XEF72" s="381"/>
      <c r="XEG72" s="381"/>
      <c r="XEH72" s="381"/>
      <c r="XEI72" s="381"/>
      <c r="XEJ72" s="381"/>
      <c r="XEK72" s="381"/>
      <c r="XEL72" s="381"/>
      <c r="XEM72" s="381"/>
      <c r="XEN72" s="381"/>
      <c r="XEO72" s="381"/>
      <c r="XEP72" s="381"/>
      <c r="XEQ72" s="381"/>
      <c r="XER72" s="381"/>
      <c r="XES72" s="381"/>
      <c r="XET72" s="381"/>
      <c r="XEU72" s="381"/>
      <c r="XEV72" s="381"/>
      <c r="XEW72" s="381"/>
      <c r="XEX72" s="381"/>
      <c r="XEY72" s="381"/>
      <c r="XEZ72" s="381"/>
      <c r="XFA72" s="379"/>
      <c r="XFB72" s="380"/>
      <c r="XFC72" s="380"/>
      <c r="XFD72" s="380"/>
    </row>
    <row r="73" spans="1:16384" s="383" customFormat="1" x14ac:dyDescent="0.35">
      <c r="A73" s="387"/>
      <c r="B73" s="398" t="s">
        <v>754</v>
      </c>
      <c r="E73" s="371"/>
      <c r="F73" s="371"/>
      <c r="G73" s="371"/>
      <c r="H73" s="371"/>
      <c r="I73" s="371"/>
      <c r="J73" s="371"/>
      <c r="K73" s="371"/>
      <c r="L73" s="371"/>
      <c r="M73" s="371"/>
      <c r="N73" s="371"/>
      <c r="O73" s="371"/>
      <c r="P73" s="371"/>
      <c r="Q73" s="371"/>
      <c r="R73" s="371"/>
      <c r="S73" s="371"/>
      <c r="T73" s="371"/>
      <c r="U73" s="371"/>
      <c r="V73" s="371"/>
      <c r="W73" s="371"/>
      <c r="X73" s="371"/>
      <c r="Y73" s="371"/>
      <c r="Z73" s="371"/>
      <c r="AA73" s="371"/>
      <c r="AB73" s="371"/>
      <c r="AC73" s="371"/>
      <c r="AD73" s="371"/>
      <c r="AE73" s="382"/>
      <c r="AI73" s="371"/>
      <c r="AJ73" s="371"/>
      <c r="AK73" s="371"/>
      <c r="AL73" s="371"/>
      <c r="AM73" s="371"/>
      <c r="AN73" s="371"/>
      <c r="AO73" s="371"/>
      <c r="AP73" s="371"/>
      <c r="AQ73" s="371"/>
      <c r="AR73" s="371"/>
      <c r="AS73" s="371"/>
      <c r="AT73" s="371"/>
      <c r="AU73" s="371"/>
      <c r="AV73" s="371"/>
      <c r="AW73" s="371"/>
      <c r="AX73" s="371"/>
      <c r="AY73" s="371"/>
      <c r="AZ73" s="371"/>
      <c r="BA73" s="371"/>
      <c r="BB73" s="371"/>
      <c r="BC73" s="371"/>
      <c r="BD73" s="371"/>
      <c r="BE73" s="371"/>
      <c r="BF73" s="371"/>
      <c r="BG73" s="371"/>
      <c r="BH73" s="371"/>
      <c r="BI73" s="382"/>
      <c r="BM73" s="371"/>
      <c r="BN73" s="371"/>
      <c r="BO73" s="371"/>
      <c r="BP73" s="371"/>
      <c r="BQ73" s="371"/>
      <c r="BR73" s="371"/>
      <c r="BS73" s="371"/>
      <c r="BT73" s="371"/>
      <c r="BU73" s="371"/>
      <c r="BV73" s="371"/>
      <c r="BW73" s="371"/>
      <c r="BX73" s="371"/>
      <c r="BY73" s="371"/>
      <c r="BZ73" s="371"/>
      <c r="CA73" s="371"/>
      <c r="CB73" s="371"/>
      <c r="CC73" s="371"/>
      <c r="CD73" s="371"/>
      <c r="CE73" s="371"/>
      <c r="CF73" s="371"/>
      <c r="CG73" s="371"/>
      <c r="CH73" s="371"/>
      <c r="CI73" s="371"/>
      <c r="CJ73" s="371"/>
      <c r="CK73" s="371"/>
      <c r="CL73" s="371"/>
      <c r="CM73" s="382"/>
      <c r="CQ73" s="371"/>
      <c r="CR73" s="371"/>
      <c r="CS73" s="371"/>
      <c r="CT73" s="371"/>
      <c r="CU73" s="371"/>
      <c r="CV73" s="371"/>
      <c r="CW73" s="371"/>
      <c r="CX73" s="371"/>
      <c r="CY73" s="371"/>
      <c r="CZ73" s="371"/>
      <c r="DA73" s="371"/>
      <c r="DB73" s="371"/>
      <c r="DC73" s="371"/>
      <c r="DD73" s="371"/>
      <c r="DE73" s="371"/>
      <c r="DF73" s="371"/>
      <c r="DG73" s="371"/>
      <c r="DH73" s="371"/>
      <c r="DI73" s="371"/>
      <c r="DJ73" s="371"/>
      <c r="DK73" s="371"/>
      <c r="DL73" s="371"/>
      <c r="DM73" s="371"/>
      <c r="DN73" s="371"/>
      <c r="DO73" s="371"/>
      <c r="DP73" s="371"/>
      <c r="DQ73" s="382"/>
      <c r="DU73" s="371"/>
      <c r="DV73" s="371"/>
      <c r="DW73" s="371"/>
      <c r="DX73" s="371"/>
      <c r="DY73" s="371"/>
      <c r="DZ73" s="371"/>
      <c r="EA73" s="371"/>
      <c r="EB73" s="371"/>
      <c r="EC73" s="371"/>
      <c r="ED73" s="371"/>
      <c r="EE73" s="371"/>
      <c r="EF73" s="371"/>
      <c r="EG73" s="371"/>
      <c r="EH73" s="371"/>
      <c r="EI73" s="371"/>
      <c r="EJ73" s="371"/>
      <c r="EK73" s="371"/>
      <c r="EL73" s="371"/>
      <c r="EM73" s="371"/>
      <c r="EN73" s="371"/>
      <c r="EO73" s="371"/>
      <c r="EP73" s="371"/>
      <c r="EQ73" s="371"/>
      <c r="ER73" s="371"/>
      <c r="ES73" s="371"/>
      <c r="ET73" s="371"/>
      <c r="EU73" s="382"/>
      <c r="EY73" s="371"/>
      <c r="EZ73" s="371"/>
      <c r="FA73" s="371"/>
      <c r="FB73" s="371"/>
      <c r="FC73" s="371"/>
      <c r="FD73" s="371"/>
      <c r="FE73" s="371"/>
      <c r="FF73" s="371"/>
      <c r="FG73" s="371"/>
      <c r="FH73" s="371"/>
      <c r="FI73" s="371"/>
      <c r="FJ73" s="371"/>
      <c r="FK73" s="371"/>
      <c r="FL73" s="371"/>
      <c r="FM73" s="371"/>
      <c r="FN73" s="371"/>
      <c r="FO73" s="371"/>
      <c r="FP73" s="371"/>
      <c r="FQ73" s="371"/>
      <c r="FR73" s="371"/>
      <c r="FS73" s="371"/>
      <c r="FT73" s="371"/>
      <c r="FU73" s="371"/>
      <c r="FV73" s="371"/>
      <c r="FW73" s="371"/>
      <c r="FX73" s="371"/>
      <c r="FY73" s="382"/>
      <c r="GC73" s="371"/>
      <c r="GD73" s="371"/>
      <c r="GE73" s="371"/>
      <c r="GF73" s="371"/>
      <c r="GG73" s="371"/>
      <c r="GH73" s="371"/>
      <c r="GI73" s="371"/>
      <c r="GJ73" s="371"/>
      <c r="GK73" s="371"/>
      <c r="GL73" s="371"/>
      <c r="GM73" s="371"/>
      <c r="GN73" s="371"/>
      <c r="GO73" s="371"/>
      <c r="GP73" s="371"/>
      <c r="GQ73" s="371"/>
      <c r="GR73" s="371"/>
      <c r="GS73" s="371"/>
      <c r="GT73" s="371"/>
      <c r="GU73" s="371"/>
      <c r="GV73" s="371"/>
      <c r="GW73" s="371"/>
      <c r="GX73" s="371"/>
      <c r="GY73" s="371"/>
      <c r="GZ73" s="371"/>
      <c r="HA73" s="371"/>
      <c r="HB73" s="371"/>
      <c r="HC73" s="382"/>
      <c r="HG73" s="371"/>
      <c r="HH73" s="371"/>
      <c r="HI73" s="371"/>
      <c r="HJ73" s="371"/>
      <c r="HK73" s="371"/>
      <c r="HL73" s="371"/>
      <c r="HM73" s="371"/>
      <c r="HN73" s="371"/>
      <c r="HO73" s="371"/>
      <c r="HP73" s="371"/>
      <c r="HQ73" s="371"/>
      <c r="HR73" s="371"/>
      <c r="HS73" s="371"/>
      <c r="HT73" s="371"/>
      <c r="HU73" s="371"/>
      <c r="HV73" s="371"/>
      <c r="HW73" s="371"/>
      <c r="HX73" s="371"/>
      <c r="HY73" s="371"/>
      <c r="HZ73" s="371"/>
      <c r="IA73" s="371"/>
      <c r="IB73" s="371"/>
      <c r="IC73" s="371"/>
      <c r="ID73" s="371"/>
      <c r="IE73" s="371"/>
      <c r="IF73" s="371"/>
      <c r="IG73" s="382"/>
      <c r="IK73" s="371"/>
      <c r="IL73" s="371"/>
      <c r="IM73" s="371"/>
      <c r="IN73" s="371"/>
      <c r="IO73" s="371"/>
      <c r="IP73" s="371"/>
      <c r="IQ73" s="371"/>
      <c r="IR73" s="371"/>
      <c r="IS73" s="371"/>
      <c r="IT73" s="371"/>
      <c r="IU73" s="371"/>
      <c r="IV73" s="371"/>
      <c r="IW73" s="371"/>
      <c r="IX73" s="371"/>
      <c r="IY73" s="371"/>
      <c r="IZ73" s="371"/>
      <c r="JA73" s="371"/>
      <c r="JB73" s="371"/>
      <c r="JC73" s="371"/>
      <c r="JD73" s="371"/>
      <c r="JE73" s="371"/>
      <c r="JF73" s="371"/>
      <c r="JG73" s="371"/>
      <c r="JH73" s="371"/>
      <c r="JI73" s="371"/>
      <c r="JJ73" s="371"/>
      <c r="JK73" s="382"/>
      <c r="JO73" s="371"/>
      <c r="JP73" s="371"/>
      <c r="JQ73" s="371"/>
      <c r="JR73" s="371"/>
      <c r="JS73" s="371"/>
      <c r="JT73" s="371"/>
      <c r="JU73" s="371"/>
      <c r="JV73" s="371"/>
      <c r="JW73" s="371"/>
      <c r="JX73" s="371"/>
      <c r="JY73" s="371"/>
      <c r="JZ73" s="371"/>
      <c r="KA73" s="371"/>
      <c r="KB73" s="371"/>
      <c r="KC73" s="371"/>
      <c r="KD73" s="371"/>
      <c r="KE73" s="371"/>
      <c r="KF73" s="371"/>
      <c r="KG73" s="371"/>
      <c r="KH73" s="371"/>
      <c r="KI73" s="371"/>
      <c r="KJ73" s="371"/>
      <c r="KK73" s="371"/>
      <c r="KL73" s="371"/>
      <c r="KM73" s="371"/>
      <c r="KN73" s="371"/>
      <c r="KO73" s="382"/>
      <c r="KS73" s="371"/>
      <c r="KT73" s="371"/>
      <c r="KU73" s="371"/>
      <c r="KV73" s="371"/>
      <c r="KW73" s="371"/>
      <c r="KX73" s="371"/>
      <c r="KY73" s="371"/>
      <c r="KZ73" s="371"/>
      <c r="LA73" s="371"/>
      <c r="LB73" s="371"/>
      <c r="LC73" s="371"/>
      <c r="LD73" s="371"/>
      <c r="LE73" s="371"/>
      <c r="LF73" s="371"/>
      <c r="LG73" s="371"/>
      <c r="LH73" s="371"/>
      <c r="LI73" s="371"/>
      <c r="LJ73" s="371"/>
      <c r="LK73" s="371"/>
      <c r="LL73" s="371"/>
      <c r="LM73" s="371"/>
      <c r="LN73" s="371"/>
      <c r="LO73" s="371"/>
      <c r="LP73" s="371"/>
      <c r="LQ73" s="371"/>
      <c r="LR73" s="371"/>
      <c r="LS73" s="382"/>
      <c r="LW73" s="371"/>
      <c r="LX73" s="371"/>
      <c r="LY73" s="371"/>
      <c r="LZ73" s="371"/>
      <c r="MA73" s="371"/>
      <c r="MB73" s="371"/>
      <c r="MC73" s="371"/>
      <c r="MD73" s="371"/>
      <c r="ME73" s="371"/>
      <c r="MF73" s="371"/>
      <c r="MG73" s="371"/>
      <c r="MH73" s="371"/>
      <c r="MI73" s="371"/>
      <c r="MJ73" s="371"/>
      <c r="MK73" s="371"/>
      <c r="ML73" s="371"/>
      <c r="MM73" s="371"/>
      <c r="MN73" s="371"/>
      <c r="MO73" s="371"/>
      <c r="MP73" s="371"/>
      <c r="MQ73" s="371"/>
      <c r="MR73" s="371"/>
      <c r="MS73" s="371"/>
      <c r="MT73" s="371"/>
      <c r="MU73" s="371"/>
      <c r="MV73" s="371"/>
      <c r="MW73" s="382"/>
      <c r="NA73" s="371"/>
      <c r="NB73" s="371"/>
      <c r="NC73" s="371"/>
      <c r="ND73" s="371"/>
      <c r="NE73" s="371"/>
      <c r="NF73" s="371"/>
      <c r="NG73" s="371"/>
      <c r="NH73" s="371"/>
      <c r="NI73" s="371"/>
      <c r="NJ73" s="371"/>
      <c r="NK73" s="371"/>
      <c r="NL73" s="371"/>
      <c r="NM73" s="371"/>
      <c r="NN73" s="371"/>
      <c r="NO73" s="371"/>
      <c r="NP73" s="371"/>
      <c r="NQ73" s="371"/>
      <c r="NR73" s="371"/>
      <c r="NS73" s="371"/>
      <c r="NT73" s="371"/>
      <c r="NU73" s="371"/>
      <c r="NV73" s="371"/>
      <c r="NW73" s="371"/>
      <c r="NX73" s="371"/>
      <c r="NY73" s="371"/>
      <c r="NZ73" s="371"/>
      <c r="OA73" s="382"/>
      <c r="OE73" s="371"/>
      <c r="OF73" s="371"/>
      <c r="OG73" s="371"/>
      <c r="OH73" s="371"/>
      <c r="OI73" s="371"/>
      <c r="OJ73" s="371"/>
      <c r="OK73" s="371"/>
      <c r="OL73" s="371"/>
      <c r="OM73" s="371"/>
      <c r="ON73" s="371"/>
      <c r="OO73" s="371"/>
      <c r="OP73" s="371"/>
      <c r="OQ73" s="371"/>
      <c r="OR73" s="371"/>
      <c r="OS73" s="371"/>
      <c r="OT73" s="371"/>
      <c r="OU73" s="371"/>
      <c r="OV73" s="371"/>
      <c r="OW73" s="371"/>
      <c r="OX73" s="371"/>
      <c r="OY73" s="371"/>
      <c r="OZ73" s="371"/>
      <c r="PA73" s="371"/>
      <c r="PB73" s="371"/>
      <c r="PC73" s="371"/>
      <c r="PD73" s="371"/>
      <c r="PE73" s="382"/>
      <c r="PI73" s="371"/>
      <c r="PJ73" s="371"/>
      <c r="PK73" s="371"/>
      <c r="PL73" s="371"/>
      <c r="PM73" s="371"/>
      <c r="PN73" s="371"/>
      <c r="PO73" s="371"/>
      <c r="PP73" s="371"/>
      <c r="PQ73" s="371"/>
      <c r="PR73" s="371"/>
      <c r="PS73" s="371"/>
      <c r="PT73" s="371"/>
      <c r="PU73" s="371"/>
      <c r="PV73" s="371"/>
      <c r="PW73" s="371"/>
      <c r="PX73" s="371"/>
      <c r="PY73" s="371"/>
      <c r="PZ73" s="371"/>
      <c r="QA73" s="371"/>
      <c r="QB73" s="371"/>
      <c r="QC73" s="371"/>
      <c r="QD73" s="371"/>
      <c r="QE73" s="371"/>
      <c r="QF73" s="371"/>
      <c r="QG73" s="371"/>
      <c r="QH73" s="371"/>
      <c r="QI73" s="382"/>
      <c r="QM73" s="371"/>
      <c r="QN73" s="371"/>
      <c r="QO73" s="371"/>
      <c r="QP73" s="371"/>
      <c r="QQ73" s="371"/>
      <c r="QR73" s="371"/>
      <c r="QS73" s="371"/>
      <c r="QT73" s="371"/>
      <c r="QU73" s="371"/>
      <c r="QV73" s="371"/>
      <c r="QW73" s="371"/>
      <c r="QX73" s="371"/>
      <c r="QY73" s="371"/>
      <c r="QZ73" s="371"/>
      <c r="RA73" s="371"/>
      <c r="RB73" s="371"/>
      <c r="RC73" s="371"/>
      <c r="RD73" s="371"/>
      <c r="RE73" s="371"/>
      <c r="RF73" s="371"/>
      <c r="RG73" s="371"/>
      <c r="RH73" s="371"/>
      <c r="RI73" s="371"/>
      <c r="RJ73" s="371"/>
      <c r="RK73" s="371"/>
      <c r="RL73" s="371"/>
      <c r="RM73" s="382"/>
      <c r="RQ73" s="371"/>
      <c r="RR73" s="371"/>
      <c r="RS73" s="371"/>
      <c r="RT73" s="371"/>
      <c r="RU73" s="371"/>
      <c r="RV73" s="371"/>
      <c r="RW73" s="371"/>
      <c r="RX73" s="371"/>
      <c r="RY73" s="371"/>
      <c r="RZ73" s="371"/>
      <c r="SA73" s="371"/>
      <c r="SB73" s="371"/>
      <c r="SC73" s="371"/>
      <c r="SD73" s="371"/>
      <c r="SE73" s="371"/>
      <c r="SF73" s="371"/>
      <c r="SG73" s="371"/>
      <c r="SH73" s="371"/>
      <c r="SI73" s="371"/>
      <c r="SJ73" s="371"/>
      <c r="SK73" s="371"/>
      <c r="SL73" s="371"/>
      <c r="SM73" s="371"/>
      <c r="SN73" s="371"/>
      <c r="SO73" s="371"/>
      <c r="SP73" s="371"/>
      <c r="SQ73" s="382"/>
      <c r="SU73" s="371"/>
      <c r="SV73" s="371"/>
      <c r="SW73" s="371"/>
      <c r="SX73" s="371"/>
      <c r="SY73" s="371"/>
      <c r="SZ73" s="371"/>
      <c r="TA73" s="371"/>
      <c r="TB73" s="371"/>
      <c r="TC73" s="371"/>
      <c r="TD73" s="371"/>
      <c r="TE73" s="371"/>
      <c r="TF73" s="371"/>
      <c r="TG73" s="371"/>
      <c r="TH73" s="371"/>
      <c r="TI73" s="371"/>
      <c r="TJ73" s="371"/>
      <c r="TK73" s="371"/>
      <c r="TL73" s="371"/>
      <c r="TM73" s="371"/>
      <c r="TN73" s="371"/>
      <c r="TO73" s="371"/>
      <c r="TP73" s="371"/>
      <c r="TQ73" s="371"/>
      <c r="TR73" s="371"/>
      <c r="TS73" s="371"/>
      <c r="TT73" s="371"/>
      <c r="TU73" s="382"/>
      <c r="TY73" s="371"/>
      <c r="TZ73" s="371"/>
      <c r="UA73" s="371"/>
      <c r="UB73" s="371"/>
      <c r="UC73" s="371"/>
      <c r="UD73" s="371"/>
      <c r="UE73" s="371"/>
      <c r="UF73" s="371"/>
      <c r="UG73" s="371"/>
      <c r="UH73" s="371"/>
      <c r="UI73" s="371"/>
      <c r="UJ73" s="371"/>
      <c r="UK73" s="371"/>
      <c r="UL73" s="371"/>
      <c r="UM73" s="371"/>
      <c r="UN73" s="371"/>
      <c r="UO73" s="371"/>
      <c r="UP73" s="371"/>
      <c r="UQ73" s="371"/>
      <c r="UR73" s="371"/>
      <c r="US73" s="371"/>
      <c r="UT73" s="371"/>
      <c r="UU73" s="371"/>
      <c r="UV73" s="371"/>
      <c r="UW73" s="371"/>
      <c r="UX73" s="371"/>
      <c r="UY73" s="382"/>
      <c r="VC73" s="371"/>
      <c r="VD73" s="371"/>
      <c r="VE73" s="371"/>
      <c r="VF73" s="371"/>
      <c r="VG73" s="371"/>
      <c r="VH73" s="371"/>
      <c r="VI73" s="371"/>
      <c r="VJ73" s="371"/>
      <c r="VK73" s="371"/>
      <c r="VL73" s="371"/>
      <c r="VM73" s="371"/>
      <c r="VN73" s="371"/>
      <c r="VO73" s="371"/>
      <c r="VP73" s="371"/>
      <c r="VQ73" s="371"/>
      <c r="VR73" s="371"/>
      <c r="VS73" s="371"/>
      <c r="VT73" s="371"/>
      <c r="VU73" s="371"/>
      <c r="VV73" s="371"/>
      <c r="VW73" s="371"/>
      <c r="VX73" s="371"/>
      <c r="VY73" s="371"/>
      <c r="VZ73" s="371"/>
      <c r="WA73" s="371"/>
      <c r="WB73" s="371"/>
      <c r="WC73" s="382"/>
      <c r="WG73" s="371"/>
      <c r="WH73" s="371"/>
      <c r="WI73" s="371"/>
      <c r="WJ73" s="371"/>
      <c r="WK73" s="371"/>
      <c r="WL73" s="371"/>
      <c r="WM73" s="371"/>
      <c r="WN73" s="371"/>
      <c r="WO73" s="371"/>
      <c r="WP73" s="371"/>
      <c r="WQ73" s="371"/>
      <c r="WR73" s="371"/>
      <c r="WS73" s="371"/>
      <c r="WT73" s="371"/>
      <c r="WU73" s="371"/>
      <c r="WV73" s="371"/>
      <c r="WW73" s="371"/>
      <c r="WX73" s="371"/>
      <c r="WY73" s="371"/>
      <c r="WZ73" s="371"/>
      <c r="XA73" s="371"/>
      <c r="XB73" s="371"/>
      <c r="XC73" s="371"/>
      <c r="XD73" s="371"/>
      <c r="XE73" s="371"/>
      <c r="XF73" s="371"/>
      <c r="XG73" s="382"/>
      <c r="XK73" s="371"/>
      <c r="XL73" s="371"/>
      <c r="XM73" s="371"/>
      <c r="XN73" s="371"/>
      <c r="XO73" s="371"/>
      <c r="XP73" s="371"/>
      <c r="XQ73" s="371"/>
      <c r="XR73" s="371"/>
      <c r="XS73" s="371"/>
      <c r="XT73" s="371"/>
      <c r="XU73" s="371"/>
      <c r="XV73" s="371"/>
      <c r="XW73" s="371"/>
      <c r="XX73" s="371"/>
      <c r="XY73" s="371"/>
      <c r="XZ73" s="371"/>
      <c r="YA73" s="371"/>
      <c r="YB73" s="371"/>
      <c r="YC73" s="371"/>
      <c r="YD73" s="371"/>
      <c r="YE73" s="371"/>
      <c r="YF73" s="371"/>
      <c r="YG73" s="371"/>
      <c r="YH73" s="371"/>
      <c r="YI73" s="371"/>
      <c r="YJ73" s="371"/>
      <c r="YK73" s="382"/>
      <c r="YO73" s="371"/>
      <c r="YP73" s="371"/>
      <c r="YQ73" s="371"/>
      <c r="YR73" s="371"/>
      <c r="YS73" s="371"/>
      <c r="YT73" s="371"/>
      <c r="YU73" s="371"/>
      <c r="YV73" s="371"/>
      <c r="YW73" s="371"/>
      <c r="YX73" s="371"/>
      <c r="YY73" s="371"/>
      <c r="YZ73" s="371"/>
      <c r="ZA73" s="371"/>
      <c r="ZB73" s="371"/>
      <c r="ZC73" s="371"/>
      <c r="ZD73" s="371"/>
      <c r="ZE73" s="371"/>
      <c r="ZF73" s="371"/>
      <c r="ZG73" s="371"/>
      <c r="ZH73" s="371"/>
      <c r="ZI73" s="371"/>
      <c r="ZJ73" s="371"/>
      <c r="ZK73" s="371"/>
      <c r="ZL73" s="371"/>
      <c r="ZM73" s="371"/>
      <c r="ZN73" s="371"/>
      <c r="ZO73" s="382"/>
      <c r="ZS73" s="371"/>
      <c r="ZT73" s="371"/>
      <c r="ZU73" s="371"/>
      <c r="ZV73" s="371"/>
      <c r="ZW73" s="371"/>
      <c r="ZX73" s="371"/>
      <c r="ZY73" s="371"/>
      <c r="ZZ73" s="371"/>
      <c r="AAA73" s="371"/>
      <c r="AAB73" s="371"/>
      <c r="AAC73" s="371"/>
      <c r="AAD73" s="371"/>
      <c r="AAE73" s="371"/>
      <c r="AAF73" s="371"/>
      <c r="AAG73" s="371"/>
      <c r="AAH73" s="371"/>
      <c r="AAI73" s="371"/>
      <c r="AAJ73" s="371"/>
      <c r="AAK73" s="371"/>
      <c r="AAL73" s="371"/>
      <c r="AAM73" s="371"/>
      <c r="AAN73" s="371"/>
      <c r="AAO73" s="371"/>
      <c r="AAP73" s="371"/>
      <c r="AAQ73" s="371"/>
      <c r="AAR73" s="371"/>
      <c r="AAS73" s="382"/>
      <c r="AAW73" s="371"/>
      <c r="AAX73" s="371"/>
      <c r="AAY73" s="371"/>
      <c r="AAZ73" s="371"/>
      <c r="ABA73" s="371"/>
      <c r="ABB73" s="371"/>
      <c r="ABC73" s="371"/>
      <c r="ABD73" s="371"/>
      <c r="ABE73" s="371"/>
      <c r="ABF73" s="371"/>
      <c r="ABG73" s="371"/>
      <c r="ABH73" s="371"/>
      <c r="ABI73" s="371"/>
      <c r="ABJ73" s="371"/>
      <c r="ABK73" s="371"/>
      <c r="ABL73" s="371"/>
      <c r="ABM73" s="371"/>
      <c r="ABN73" s="371"/>
      <c r="ABO73" s="371"/>
      <c r="ABP73" s="371"/>
      <c r="ABQ73" s="371"/>
      <c r="ABR73" s="371"/>
      <c r="ABS73" s="371"/>
      <c r="ABT73" s="371"/>
      <c r="ABU73" s="371"/>
      <c r="ABV73" s="371"/>
      <c r="ABW73" s="382"/>
      <c r="ACA73" s="371"/>
      <c r="ACB73" s="371"/>
      <c r="ACC73" s="371"/>
      <c r="ACD73" s="371"/>
      <c r="ACE73" s="371"/>
      <c r="ACF73" s="371"/>
      <c r="ACG73" s="371"/>
      <c r="ACH73" s="371"/>
      <c r="ACI73" s="371"/>
      <c r="ACJ73" s="371"/>
      <c r="ACK73" s="371"/>
      <c r="ACL73" s="371"/>
      <c r="ACM73" s="371"/>
      <c r="ACN73" s="371"/>
      <c r="ACO73" s="371"/>
      <c r="ACP73" s="371"/>
      <c r="ACQ73" s="371"/>
      <c r="ACR73" s="371"/>
      <c r="ACS73" s="371"/>
      <c r="ACT73" s="371"/>
      <c r="ACU73" s="371"/>
      <c r="ACV73" s="371"/>
      <c r="ACW73" s="371"/>
      <c r="ACX73" s="371"/>
      <c r="ACY73" s="371"/>
      <c r="ACZ73" s="371"/>
      <c r="ADA73" s="382"/>
      <c r="ADE73" s="371"/>
      <c r="ADF73" s="371"/>
      <c r="ADG73" s="371"/>
      <c r="ADH73" s="371"/>
      <c r="ADI73" s="371"/>
      <c r="ADJ73" s="371"/>
      <c r="ADK73" s="371"/>
      <c r="ADL73" s="371"/>
      <c r="ADM73" s="371"/>
      <c r="ADN73" s="371"/>
      <c r="ADO73" s="371"/>
      <c r="ADP73" s="371"/>
      <c r="ADQ73" s="371"/>
      <c r="ADR73" s="371"/>
      <c r="ADS73" s="371"/>
      <c r="ADT73" s="371"/>
      <c r="ADU73" s="371"/>
      <c r="ADV73" s="371"/>
      <c r="ADW73" s="371"/>
      <c r="ADX73" s="371"/>
      <c r="ADY73" s="371"/>
      <c r="ADZ73" s="371"/>
      <c r="AEA73" s="371"/>
      <c r="AEB73" s="371"/>
      <c r="AEC73" s="371"/>
      <c r="AED73" s="371"/>
      <c r="AEE73" s="382"/>
      <c r="AEI73" s="371"/>
      <c r="AEJ73" s="371"/>
      <c r="AEK73" s="371"/>
      <c r="AEL73" s="371"/>
      <c r="AEM73" s="371"/>
      <c r="AEN73" s="371"/>
      <c r="AEO73" s="371"/>
      <c r="AEP73" s="371"/>
      <c r="AEQ73" s="371"/>
      <c r="AER73" s="371"/>
      <c r="AES73" s="371"/>
      <c r="AET73" s="371"/>
      <c r="AEU73" s="371"/>
      <c r="AEV73" s="371"/>
      <c r="AEW73" s="371"/>
      <c r="AEX73" s="371"/>
      <c r="AEY73" s="371"/>
      <c r="AEZ73" s="371"/>
      <c r="AFA73" s="371"/>
      <c r="AFB73" s="371"/>
      <c r="AFC73" s="371"/>
      <c r="AFD73" s="371"/>
      <c r="AFE73" s="371"/>
      <c r="AFF73" s="371"/>
      <c r="AFG73" s="371"/>
      <c r="AFH73" s="371"/>
      <c r="AFI73" s="382"/>
      <c r="AFM73" s="371"/>
      <c r="AFN73" s="371"/>
      <c r="AFO73" s="371"/>
      <c r="AFP73" s="371"/>
      <c r="AFQ73" s="371"/>
      <c r="AFR73" s="371"/>
      <c r="AFS73" s="371"/>
      <c r="AFT73" s="371"/>
      <c r="AFU73" s="371"/>
      <c r="AFV73" s="371"/>
      <c r="AFW73" s="371"/>
      <c r="AFX73" s="371"/>
      <c r="AFY73" s="371"/>
      <c r="AFZ73" s="371"/>
      <c r="AGA73" s="371"/>
      <c r="AGB73" s="371"/>
      <c r="AGC73" s="371"/>
      <c r="AGD73" s="371"/>
      <c r="AGE73" s="371"/>
      <c r="AGF73" s="371"/>
      <c r="AGG73" s="371"/>
      <c r="AGH73" s="371"/>
      <c r="AGI73" s="371"/>
      <c r="AGJ73" s="371"/>
      <c r="AGK73" s="371"/>
      <c r="AGL73" s="371"/>
      <c r="AGM73" s="382"/>
      <c r="AGQ73" s="371"/>
      <c r="AGR73" s="371"/>
      <c r="AGS73" s="371"/>
      <c r="AGT73" s="371"/>
      <c r="AGU73" s="371"/>
      <c r="AGV73" s="371"/>
      <c r="AGW73" s="371"/>
      <c r="AGX73" s="371"/>
      <c r="AGY73" s="371"/>
      <c r="AGZ73" s="371"/>
      <c r="AHA73" s="371"/>
      <c r="AHB73" s="371"/>
      <c r="AHC73" s="371"/>
      <c r="AHD73" s="371"/>
      <c r="AHE73" s="371"/>
      <c r="AHF73" s="371"/>
      <c r="AHG73" s="371"/>
      <c r="AHH73" s="371"/>
      <c r="AHI73" s="371"/>
      <c r="AHJ73" s="371"/>
      <c r="AHK73" s="371"/>
      <c r="AHL73" s="371"/>
      <c r="AHM73" s="371"/>
      <c r="AHN73" s="371"/>
      <c r="AHO73" s="371"/>
      <c r="AHP73" s="371"/>
      <c r="AHQ73" s="382"/>
      <c r="AHU73" s="371"/>
      <c r="AHV73" s="371"/>
      <c r="AHW73" s="371"/>
      <c r="AHX73" s="371"/>
      <c r="AHY73" s="371"/>
      <c r="AHZ73" s="371"/>
      <c r="AIA73" s="371"/>
      <c r="AIB73" s="371"/>
      <c r="AIC73" s="371"/>
      <c r="AID73" s="371"/>
      <c r="AIE73" s="371"/>
      <c r="AIF73" s="371"/>
      <c r="AIG73" s="371"/>
      <c r="AIH73" s="371"/>
      <c r="AII73" s="371"/>
      <c r="AIJ73" s="371"/>
      <c r="AIK73" s="371"/>
      <c r="AIL73" s="371"/>
      <c r="AIM73" s="371"/>
      <c r="AIN73" s="371"/>
      <c r="AIO73" s="371"/>
      <c r="AIP73" s="371"/>
      <c r="AIQ73" s="371"/>
      <c r="AIR73" s="371"/>
      <c r="AIS73" s="371"/>
      <c r="AIT73" s="371"/>
      <c r="AIU73" s="382"/>
      <c r="AIY73" s="371"/>
      <c r="AIZ73" s="371"/>
      <c r="AJA73" s="371"/>
      <c r="AJB73" s="371"/>
      <c r="AJC73" s="371"/>
      <c r="AJD73" s="371"/>
      <c r="AJE73" s="371"/>
      <c r="AJF73" s="371"/>
      <c r="AJG73" s="371"/>
      <c r="AJH73" s="371"/>
      <c r="AJI73" s="371"/>
      <c r="AJJ73" s="371"/>
      <c r="AJK73" s="371"/>
      <c r="AJL73" s="371"/>
      <c r="AJM73" s="371"/>
      <c r="AJN73" s="371"/>
      <c r="AJO73" s="371"/>
      <c r="AJP73" s="371"/>
      <c r="AJQ73" s="371"/>
      <c r="AJR73" s="371"/>
      <c r="AJS73" s="371"/>
      <c r="AJT73" s="371"/>
      <c r="AJU73" s="371"/>
      <c r="AJV73" s="371"/>
      <c r="AJW73" s="371"/>
      <c r="AJX73" s="371"/>
      <c r="AJY73" s="382"/>
      <c r="AKC73" s="371"/>
      <c r="AKD73" s="371"/>
      <c r="AKE73" s="371"/>
      <c r="AKF73" s="371"/>
      <c r="AKG73" s="371"/>
      <c r="AKH73" s="371"/>
      <c r="AKI73" s="371"/>
      <c r="AKJ73" s="371"/>
      <c r="AKK73" s="371"/>
      <c r="AKL73" s="371"/>
      <c r="AKM73" s="371"/>
      <c r="AKN73" s="371"/>
      <c r="AKO73" s="371"/>
      <c r="AKP73" s="371"/>
      <c r="AKQ73" s="371"/>
      <c r="AKR73" s="371"/>
      <c r="AKS73" s="371"/>
      <c r="AKT73" s="371"/>
      <c r="AKU73" s="371"/>
      <c r="AKV73" s="371"/>
      <c r="AKW73" s="371"/>
      <c r="AKX73" s="371"/>
      <c r="AKY73" s="371"/>
      <c r="AKZ73" s="371"/>
      <c r="ALA73" s="371"/>
      <c r="ALB73" s="371"/>
      <c r="ALC73" s="382"/>
      <c r="ALG73" s="371"/>
      <c r="ALH73" s="371"/>
      <c r="ALI73" s="371"/>
      <c r="ALJ73" s="371"/>
      <c r="ALK73" s="371"/>
      <c r="ALL73" s="371"/>
      <c r="ALM73" s="371"/>
      <c r="ALN73" s="371"/>
      <c r="ALO73" s="371"/>
      <c r="ALP73" s="371"/>
      <c r="ALQ73" s="371"/>
      <c r="ALR73" s="371"/>
      <c r="ALS73" s="371"/>
      <c r="ALT73" s="371"/>
      <c r="ALU73" s="371"/>
      <c r="ALV73" s="371"/>
      <c r="ALW73" s="371"/>
      <c r="ALX73" s="371"/>
      <c r="ALY73" s="371"/>
      <c r="ALZ73" s="371"/>
      <c r="AMA73" s="371"/>
      <c r="AMB73" s="371"/>
      <c r="AMC73" s="371"/>
      <c r="AMD73" s="371"/>
      <c r="AME73" s="371"/>
      <c r="AMF73" s="371"/>
      <c r="AMG73" s="382"/>
      <c r="AMK73" s="371"/>
      <c r="AML73" s="371"/>
      <c r="AMM73" s="371"/>
      <c r="AMN73" s="371"/>
      <c r="AMO73" s="371"/>
      <c r="AMP73" s="371"/>
      <c r="AMQ73" s="371"/>
      <c r="AMR73" s="371"/>
      <c r="AMS73" s="371"/>
      <c r="AMT73" s="371"/>
      <c r="AMU73" s="371"/>
      <c r="AMV73" s="371"/>
      <c r="AMW73" s="371"/>
      <c r="AMX73" s="371"/>
      <c r="AMY73" s="371"/>
      <c r="AMZ73" s="371"/>
      <c r="ANA73" s="371"/>
      <c r="ANB73" s="371"/>
      <c r="ANC73" s="371"/>
      <c r="AND73" s="371"/>
      <c r="ANE73" s="371"/>
      <c r="ANF73" s="371"/>
      <c r="ANG73" s="371"/>
      <c r="ANH73" s="371"/>
      <c r="ANI73" s="371"/>
      <c r="ANJ73" s="371"/>
      <c r="ANK73" s="382"/>
      <c r="ANO73" s="371"/>
      <c r="ANP73" s="371"/>
      <c r="ANQ73" s="371"/>
      <c r="ANR73" s="371"/>
      <c r="ANS73" s="371"/>
      <c r="ANT73" s="371"/>
      <c r="ANU73" s="371"/>
      <c r="ANV73" s="371"/>
      <c r="ANW73" s="371"/>
      <c r="ANX73" s="371"/>
      <c r="ANY73" s="371"/>
      <c r="ANZ73" s="371"/>
      <c r="AOA73" s="371"/>
      <c r="AOB73" s="371"/>
      <c r="AOC73" s="371"/>
      <c r="AOD73" s="371"/>
      <c r="AOE73" s="371"/>
      <c r="AOF73" s="371"/>
      <c r="AOG73" s="371"/>
      <c r="AOH73" s="371"/>
      <c r="AOI73" s="371"/>
      <c r="AOJ73" s="371"/>
      <c r="AOK73" s="371"/>
      <c r="AOL73" s="371"/>
      <c r="AOM73" s="371"/>
      <c r="AON73" s="371"/>
      <c r="AOO73" s="382"/>
      <c r="AOS73" s="371"/>
      <c r="AOT73" s="371"/>
      <c r="AOU73" s="371"/>
      <c r="AOV73" s="371"/>
      <c r="AOW73" s="371"/>
      <c r="AOX73" s="371"/>
      <c r="AOY73" s="371"/>
      <c r="AOZ73" s="371"/>
      <c r="APA73" s="371"/>
      <c r="APB73" s="371"/>
      <c r="APC73" s="371"/>
      <c r="APD73" s="371"/>
      <c r="APE73" s="371"/>
      <c r="APF73" s="371"/>
      <c r="APG73" s="371"/>
      <c r="APH73" s="371"/>
      <c r="API73" s="371"/>
      <c r="APJ73" s="371"/>
      <c r="APK73" s="371"/>
      <c r="APL73" s="371"/>
      <c r="APM73" s="371"/>
      <c r="APN73" s="371"/>
      <c r="APO73" s="371"/>
      <c r="APP73" s="371"/>
      <c r="APQ73" s="371"/>
      <c r="APR73" s="371"/>
      <c r="APS73" s="382"/>
      <c r="APW73" s="371"/>
      <c r="APX73" s="371"/>
      <c r="APY73" s="371"/>
      <c r="APZ73" s="371"/>
      <c r="AQA73" s="371"/>
      <c r="AQB73" s="371"/>
      <c r="AQC73" s="371"/>
      <c r="AQD73" s="371"/>
      <c r="AQE73" s="371"/>
      <c r="AQF73" s="371"/>
      <c r="AQG73" s="371"/>
      <c r="AQH73" s="371"/>
      <c r="AQI73" s="371"/>
      <c r="AQJ73" s="371"/>
      <c r="AQK73" s="371"/>
      <c r="AQL73" s="371"/>
      <c r="AQM73" s="371"/>
      <c r="AQN73" s="371"/>
      <c r="AQO73" s="371"/>
      <c r="AQP73" s="371"/>
      <c r="AQQ73" s="371"/>
      <c r="AQR73" s="371"/>
      <c r="AQS73" s="371"/>
      <c r="AQT73" s="371"/>
      <c r="AQU73" s="371"/>
      <c r="AQV73" s="371"/>
      <c r="AQW73" s="382"/>
      <c r="ARA73" s="371"/>
      <c r="ARB73" s="371"/>
      <c r="ARC73" s="371"/>
      <c r="ARD73" s="371"/>
      <c r="ARE73" s="371"/>
      <c r="ARF73" s="371"/>
      <c r="ARG73" s="371"/>
      <c r="ARH73" s="371"/>
      <c r="ARI73" s="371"/>
      <c r="ARJ73" s="371"/>
      <c r="ARK73" s="371"/>
      <c r="ARL73" s="371"/>
      <c r="ARM73" s="371"/>
      <c r="ARN73" s="371"/>
      <c r="ARO73" s="371"/>
      <c r="ARP73" s="371"/>
      <c r="ARQ73" s="371"/>
      <c r="ARR73" s="371"/>
      <c r="ARS73" s="371"/>
      <c r="ART73" s="371"/>
      <c r="ARU73" s="371"/>
      <c r="ARV73" s="371"/>
      <c r="ARW73" s="371"/>
      <c r="ARX73" s="371"/>
      <c r="ARY73" s="371"/>
      <c r="ARZ73" s="371"/>
      <c r="ASA73" s="382"/>
      <c r="ASE73" s="371"/>
      <c r="ASF73" s="371"/>
      <c r="ASG73" s="371"/>
      <c r="ASH73" s="371"/>
      <c r="ASI73" s="371"/>
      <c r="ASJ73" s="371"/>
      <c r="ASK73" s="371"/>
      <c r="ASL73" s="371"/>
      <c r="ASM73" s="371"/>
      <c r="ASN73" s="371"/>
      <c r="ASO73" s="371"/>
      <c r="ASP73" s="371"/>
      <c r="ASQ73" s="371"/>
      <c r="ASR73" s="371"/>
      <c r="ASS73" s="371"/>
      <c r="AST73" s="371"/>
      <c r="ASU73" s="371"/>
      <c r="ASV73" s="371"/>
      <c r="ASW73" s="371"/>
      <c r="ASX73" s="371"/>
      <c r="ASY73" s="371"/>
      <c r="ASZ73" s="371"/>
      <c r="ATA73" s="371"/>
      <c r="ATB73" s="371"/>
      <c r="ATC73" s="371"/>
      <c r="ATD73" s="371"/>
      <c r="ATE73" s="382"/>
      <c r="ATI73" s="371"/>
      <c r="ATJ73" s="371"/>
      <c r="ATK73" s="371"/>
      <c r="ATL73" s="371"/>
      <c r="ATM73" s="371"/>
      <c r="ATN73" s="371"/>
      <c r="ATO73" s="371"/>
      <c r="ATP73" s="371"/>
      <c r="ATQ73" s="371"/>
      <c r="ATR73" s="371"/>
      <c r="ATS73" s="371"/>
      <c r="ATT73" s="371"/>
      <c r="ATU73" s="371"/>
      <c r="ATV73" s="371"/>
      <c r="ATW73" s="371"/>
      <c r="ATX73" s="371"/>
      <c r="ATY73" s="371"/>
      <c r="ATZ73" s="371"/>
      <c r="AUA73" s="371"/>
      <c r="AUB73" s="371"/>
      <c r="AUC73" s="371"/>
      <c r="AUD73" s="371"/>
      <c r="AUE73" s="371"/>
      <c r="AUF73" s="371"/>
      <c r="AUG73" s="371"/>
      <c r="AUH73" s="371"/>
      <c r="AUI73" s="382"/>
      <c r="AUM73" s="371"/>
      <c r="AUN73" s="371"/>
      <c r="AUO73" s="371"/>
      <c r="AUP73" s="371"/>
      <c r="AUQ73" s="371"/>
      <c r="AUR73" s="371"/>
      <c r="AUS73" s="371"/>
      <c r="AUT73" s="371"/>
      <c r="AUU73" s="371"/>
      <c r="AUV73" s="371"/>
      <c r="AUW73" s="371"/>
      <c r="AUX73" s="371"/>
      <c r="AUY73" s="371"/>
      <c r="AUZ73" s="371"/>
      <c r="AVA73" s="371"/>
      <c r="AVB73" s="371"/>
      <c r="AVC73" s="371"/>
      <c r="AVD73" s="371"/>
      <c r="AVE73" s="371"/>
      <c r="AVF73" s="371"/>
      <c r="AVG73" s="371"/>
      <c r="AVH73" s="371"/>
      <c r="AVI73" s="371"/>
      <c r="AVJ73" s="371"/>
      <c r="AVK73" s="371"/>
      <c r="AVL73" s="371"/>
      <c r="AVM73" s="382"/>
      <c r="AVQ73" s="371"/>
      <c r="AVR73" s="371"/>
      <c r="AVS73" s="371"/>
      <c r="AVT73" s="371"/>
      <c r="AVU73" s="371"/>
      <c r="AVV73" s="371"/>
      <c r="AVW73" s="371"/>
      <c r="AVX73" s="371"/>
      <c r="AVY73" s="371"/>
      <c r="AVZ73" s="371"/>
      <c r="AWA73" s="371"/>
      <c r="AWB73" s="371"/>
      <c r="AWC73" s="371"/>
      <c r="AWD73" s="371"/>
      <c r="AWE73" s="371"/>
      <c r="AWF73" s="371"/>
      <c r="AWG73" s="371"/>
      <c r="AWH73" s="371"/>
      <c r="AWI73" s="371"/>
      <c r="AWJ73" s="371"/>
      <c r="AWK73" s="371"/>
      <c r="AWL73" s="371"/>
      <c r="AWM73" s="371"/>
      <c r="AWN73" s="371"/>
      <c r="AWO73" s="371"/>
      <c r="AWP73" s="371"/>
      <c r="AWQ73" s="382"/>
      <c r="AWU73" s="371"/>
      <c r="AWV73" s="371"/>
      <c r="AWW73" s="371"/>
      <c r="AWX73" s="371"/>
      <c r="AWY73" s="371"/>
      <c r="AWZ73" s="371"/>
      <c r="AXA73" s="371"/>
      <c r="AXB73" s="371"/>
      <c r="AXC73" s="371"/>
      <c r="AXD73" s="371"/>
      <c r="AXE73" s="371"/>
      <c r="AXF73" s="371"/>
      <c r="AXG73" s="371"/>
      <c r="AXH73" s="371"/>
      <c r="AXI73" s="371"/>
      <c r="AXJ73" s="371"/>
      <c r="AXK73" s="371"/>
      <c r="AXL73" s="371"/>
      <c r="AXM73" s="371"/>
      <c r="AXN73" s="371"/>
      <c r="AXO73" s="371"/>
      <c r="AXP73" s="371"/>
      <c r="AXQ73" s="371"/>
      <c r="AXR73" s="371"/>
      <c r="AXS73" s="371"/>
      <c r="AXT73" s="371"/>
      <c r="AXU73" s="382"/>
      <c r="AXY73" s="371"/>
      <c r="AXZ73" s="371"/>
      <c r="AYA73" s="371"/>
      <c r="AYB73" s="371"/>
      <c r="AYC73" s="371"/>
      <c r="AYD73" s="371"/>
      <c r="AYE73" s="371"/>
      <c r="AYF73" s="371"/>
      <c r="AYG73" s="371"/>
      <c r="AYH73" s="371"/>
      <c r="AYI73" s="371"/>
      <c r="AYJ73" s="371"/>
      <c r="AYK73" s="371"/>
      <c r="AYL73" s="371"/>
      <c r="AYM73" s="371"/>
      <c r="AYN73" s="371"/>
      <c r="AYO73" s="371"/>
      <c r="AYP73" s="371"/>
      <c r="AYQ73" s="371"/>
      <c r="AYR73" s="371"/>
      <c r="AYS73" s="371"/>
      <c r="AYT73" s="371"/>
      <c r="AYU73" s="371"/>
      <c r="AYV73" s="371"/>
      <c r="AYW73" s="371"/>
      <c r="AYX73" s="371"/>
      <c r="AYY73" s="382"/>
      <c r="AZC73" s="371"/>
      <c r="AZD73" s="371"/>
      <c r="AZE73" s="371"/>
      <c r="AZF73" s="371"/>
      <c r="AZG73" s="371"/>
      <c r="AZH73" s="371"/>
      <c r="AZI73" s="371"/>
      <c r="AZJ73" s="371"/>
      <c r="AZK73" s="371"/>
      <c r="AZL73" s="371"/>
      <c r="AZM73" s="371"/>
      <c r="AZN73" s="371"/>
      <c r="AZO73" s="371"/>
      <c r="AZP73" s="371"/>
      <c r="AZQ73" s="371"/>
      <c r="AZR73" s="371"/>
      <c r="AZS73" s="371"/>
      <c r="AZT73" s="371"/>
      <c r="AZU73" s="371"/>
      <c r="AZV73" s="371"/>
      <c r="AZW73" s="371"/>
      <c r="AZX73" s="371"/>
      <c r="AZY73" s="371"/>
      <c r="AZZ73" s="371"/>
      <c r="BAA73" s="371"/>
      <c r="BAB73" s="371"/>
      <c r="BAC73" s="382"/>
      <c r="BAG73" s="371"/>
      <c r="BAH73" s="371"/>
      <c r="BAI73" s="371"/>
      <c r="BAJ73" s="371"/>
      <c r="BAK73" s="371"/>
      <c r="BAL73" s="371"/>
      <c r="BAM73" s="371"/>
      <c r="BAN73" s="371"/>
      <c r="BAO73" s="371"/>
      <c r="BAP73" s="371"/>
      <c r="BAQ73" s="371"/>
      <c r="BAR73" s="371"/>
      <c r="BAS73" s="371"/>
      <c r="BAT73" s="371"/>
      <c r="BAU73" s="371"/>
      <c r="BAV73" s="371"/>
      <c r="BAW73" s="371"/>
      <c r="BAX73" s="371"/>
      <c r="BAY73" s="371"/>
      <c r="BAZ73" s="371"/>
      <c r="BBA73" s="371"/>
      <c r="BBB73" s="371"/>
      <c r="BBC73" s="371"/>
      <c r="BBD73" s="371"/>
      <c r="BBE73" s="371"/>
      <c r="BBF73" s="371"/>
      <c r="BBG73" s="382"/>
      <c r="BBK73" s="371"/>
      <c r="BBL73" s="371"/>
      <c r="BBM73" s="371"/>
      <c r="BBN73" s="371"/>
      <c r="BBO73" s="371"/>
      <c r="BBP73" s="371"/>
      <c r="BBQ73" s="371"/>
      <c r="BBR73" s="371"/>
      <c r="BBS73" s="371"/>
      <c r="BBT73" s="371"/>
      <c r="BBU73" s="371"/>
      <c r="BBV73" s="371"/>
      <c r="BBW73" s="371"/>
      <c r="BBX73" s="371"/>
      <c r="BBY73" s="371"/>
      <c r="BBZ73" s="371"/>
      <c r="BCA73" s="371"/>
      <c r="BCB73" s="371"/>
      <c r="BCC73" s="371"/>
      <c r="BCD73" s="371"/>
      <c r="BCE73" s="371"/>
      <c r="BCF73" s="371"/>
      <c r="BCG73" s="371"/>
      <c r="BCH73" s="371"/>
      <c r="BCI73" s="371"/>
      <c r="BCJ73" s="371"/>
      <c r="BCK73" s="382"/>
      <c r="BCO73" s="371"/>
      <c r="BCP73" s="371"/>
      <c r="BCQ73" s="371"/>
      <c r="BCR73" s="371"/>
      <c r="BCS73" s="371"/>
      <c r="BCT73" s="371"/>
      <c r="BCU73" s="371"/>
      <c r="BCV73" s="371"/>
      <c r="BCW73" s="371"/>
      <c r="BCX73" s="371"/>
      <c r="BCY73" s="371"/>
      <c r="BCZ73" s="371"/>
      <c r="BDA73" s="371"/>
      <c r="BDB73" s="371"/>
      <c r="BDC73" s="371"/>
      <c r="BDD73" s="371"/>
      <c r="BDE73" s="371"/>
      <c r="BDF73" s="371"/>
      <c r="BDG73" s="371"/>
      <c r="BDH73" s="371"/>
      <c r="BDI73" s="371"/>
      <c r="BDJ73" s="371"/>
      <c r="BDK73" s="371"/>
      <c r="BDL73" s="371"/>
      <c r="BDM73" s="371"/>
      <c r="BDN73" s="371"/>
      <c r="BDO73" s="382"/>
      <c r="BDS73" s="371"/>
      <c r="BDT73" s="371"/>
      <c r="BDU73" s="371"/>
      <c r="BDV73" s="371"/>
      <c r="BDW73" s="371"/>
      <c r="BDX73" s="371"/>
      <c r="BDY73" s="371"/>
      <c r="BDZ73" s="371"/>
      <c r="BEA73" s="371"/>
      <c r="BEB73" s="371"/>
      <c r="BEC73" s="371"/>
      <c r="BED73" s="371"/>
      <c r="BEE73" s="371"/>
      <c r="BEF73" s="371"/>
      <c r="BEG73" s="371"/>
      <c r="BEH73" s="371"/>
      <c r="BEI73" s="371"/>
      <c r="BEJ73" s="371"/>
      <c r="BEK73" s="371"/>
      <c r="BEL73" s="371"/>
      <c r="BEM73" s="371"/>
      <c r="BEN73" s="371"/>
      <c r="BEO73" s="371"/>
      <c r="BEP73" s="371"/>
      <c r="BEQ73" s="371"/>
      <c r="BER73" s="371"/>
      <c r="BES73" s="382"/>
      <c r="BEW73" s="371"/>
      <c r="BEX73" s="371"/>
      <c r="BEY73" s="371"/>
      <c r="BEZ73" s="371"/>
      <c r="BFA73" s="371"/>
      <c r="BFB73" s="371"/>
      <c r="BFC73" s="371"/>
      <c r="BFD73" s="371"/>
      <c r="BFE73" s="371"/>
      <c r="BFF73" s="371"/>
      <c r="BFG73" s="371"/>
      <c r="BFH73" s="371"/>
      <c r="BFI73" s="371"/>
      <c r="BFJ73" s="371"/>
      <c r="BFK73" s="371"/>
      <c r="BFL73" s="371"/>
      <c r="BFM73" s="371"/>
      <c r="BFN73" s="371"/>
      <c r="BFO73" s="371"/>
      <c r="BFP73" s="371"/>
      <c r="BFQ73" s="371"/>
      <c r="BFR73" s="371"/>
      <c r="BFS73" s="371"/>
      <c r="BFT73" s="371"/>
      <c r="BFU73" s="371"/>
      <c r="BFV73" s="371"/>
      <c r="BFW73" s="382"/>
      <c r="BGA73" s="371"/>
      <c r="BGB73" s="371"/>
      <c r="BGC73" s="371"/>
      <c r="BGD73" s="371"/>
      <c r="BGE73" s="371"/>
      <c r="BGF73" s="371"/>
      <c r="BGG73" s="371"/>
      <c r="BGH73" s="371"/>
      <c r="BGI73" s="371"/>
      <c r="BGJ73" s="371"/>
      <c r="BGK73" s="371"/>
      <c r="BGL73" s="371"/>
      <c r="BGM73" s="371"/>
      <c r="BGN73" s="371"/>
      <c r="BGO73" s="371"/>
      <c r="BGP73" s="371"/>
      <c r="BGQ73" s="371"/>
      <c r="BGR73" s="371"/>
      <c r="BGS73" s="371"/>
      <c r="BGT73" s="371"/>
      <c r="BGU73" s="371"/>
      <c r="BGV73" s="371"/>
      <c r="BGW73" s="371"/>
      <c r="BGX73" s="371"/>
      <c r="BGY73" s="371"/>
      <c r="BGZ73" s="371"/>
      <c r="BHA73" s="382"/>
      <c r="BHE73" s="371"/>
      <c r="BHF73" s="371"/>
      <c r="BHG73" s="371"/>
      <c r="BHH73" s="371"/>
      <c r="BHI73" s="371"/>
      <c r="BHJ73" s="371"/>
      <c r="BHK73" s="371"/>
      <c r="BHL73" s="371"/>
      <c r="BHM73" s="371"/>
      <c r="BHN73" s="371"/>
      <c r="BHO73" s="371"/>
      <c r="BHP73" s="371"/>
      <c r="BHQ73" s="371"/>
      <c r="BHR73" s="371"/>
      <c r="BHS73" s="371"/>
      <c r="BHT73" s="371"/>
      <c r="BHU73" s="371"/>
      <c r="BHV73" s="371"/>
      <c r="BHW73" s="371"/>
      <c r="BHX73" s="371"/>
      <c r="BHY73" s="371"/>
      <c r="BHZ73" s="371"/>
      <c r="BIA73" s="371"/>
      <c r="BIB73" s="371"/>
      <c r="BIC73" s="371"/>
      <c r="BID73" s="371"/>
      <c r="BIE73" s="382"/>
      <c r="BII73" s="371"/>
      <c r="BIJ73" s="371"/>
      <c r="BIK73" s="371"/>
      <c r="BIL73" s="371"/>
      <c r="BIM73" s="371"/>
      <c r="BIN73" s="371"/>
      <c r="BIO73" s="371"/>
      <c r="BIP73" s="371"/>
      <c r="BIQ73" s="371"/>
      <c r="BIR73" s="371"/>
      <c r="BIS73" s="371"/>
      <c r="BIT73" s="371"/>
      <c r="BIU73" s="371"/>
      <c r="BIV73" s="371"/>
      <c r="BIW73" s="371"/>
      <c r="BIX73" s="371"/>
      <c r="BIY73" s="371"/>
      <c r="BIZ73" s="371"/>
      <c r="BJA73" s="371"/>
      <c r="BJB73" s="371"/>
      <c r="BJC73" s="371"/>
      <c r="BJD73" s="371"/>
      <c r="BJE73" s="371"/>
      <c r="BJF73" s="371"/>
      <c r="BJG73" s="371"/>
      <c r="BJH73" s="371"/>
      <c r="BJI73" s="382"/>
      <c r="BJM73" s="371"/>
      <c r="BJN73" s="371"/>
      <c r="BJO73" s="371"/>
      <c r="BJP73" s="371"/>
      <c r="BJQ73" s="371"/>
      <c r="BJR73" s="371"/>
      <c r="BJS73" s="371"/>
      <c r="BJT73" s="371"/>
      <c r="BJU73" s="371"/>
      <c r="BJV73" s="371"/>
      <c r="BJW73" s="371"/>
      <c r="BJX73" s="371"/>
      <c r="BJY73" s="371"/>
      <c r="BJZ73" s="371"/>
      <c r="BKA73" s="371"/>
      <c r="BKB73" s="371"/>
      <c r="BKC73" s="371"/>
      <c r="BKD73" s="371"/>
      <c r="BKE73" s="371"/>
      <c r="BKF73" s="371"/>
      <c r="BKG73" s="371"/>
      <c r="BKH73" s="371"/>
      <c r="BKI73" s="371"/>
      <c r="BKJ73" s="371"/>
      <c r="BKK73" s="371"/>
      <c r="BKL73" s="371"/>
      <c r="BKM73" s="382"/>
      <c r="BKQ73" s="371"/>
      <c r="BKR73" s="371"/>
      <c r="BKS73" s="371"/>
      <c r="BKT73" s="371"/>
      <c r="BKU73" s="371"/>
      <c r="BKV73" s="371"/>
      <c r="BKW73" s="371"/>
      <c r="BKX73" s="371"/>
      <c r="BKY73" s="371"/>
      <c r="BKZ73" s="371"/>
      <c r="BLA73" s="371"/>
      <c r="BLB73" s="371"/>
      <c r="BLC73" s="371"/>
      <c r="BLD73" s="371"/>
      <c r="BLE73" s="371"/>
      <c r="BLF73" s="371"/>
      <c r="BLG73" s="371"/>
      <c r="BLH73" s="371"/>
      <c r="BLI73" s="371"/>
      <c r="BLJ73" s="371"/>
      <c r="BLK73" s="371"/>
      <c r="BLL73" s="371"/>
      <c r="BLM73" s="371"/>
      <c r="BLN73" s="371"/>
      <c r="BLO73" s="371"/>
      <c r="BLP73" s="371"/>
      <c r="BLQ73" s="382"/>
      <c r="BLU73" s="371"/>
      <c r="BLV73" s="371"/>
      <c r="BLW73" s="371"/>
      <c r="BLX73" s="371"/>
      <c r="BLY73" s="371"/>
      <c r="BLZ73" s="371"/>
      <c r="BMA73" s="371"/>
      <c r="BMB73" s="371"/>
      <c r="BMC73" s="371"/>
      <c r="BMD73" s="371"/>
      <c r="BME73" s="371"/>
      <c r="BMF73" s="371"/>
      <c r="BMG73" s="371"/>
      <c r="BMH73" s="371"/>
      <c r="BMI73" s="371"/>
      <c r="BMJ73" s="371"/>
      <c r="BMK73" s="371"/>
      <c r="BML73" s="371"/>
      <c r="BMM73" s="371"/>
      <c r="BMN73" s="371"/>
      <c r="BMO73" s="371"/>
      <c r="BMP73" s="371"/>
      <c r="BMQ73" s="371"/>
      <c r="BMR73" s="371"/>
      <c r="BMS73" s="371"/>
      <c r="BMT73" s="371"/>
      <c r="BMU73" s="382"/>
      <c r="BMY73" s="371"/>
      <c r="BMZ73" s="371"/>
      <c r="BNA73" s="371"/>
      <c r="BNB73" s="371"/>
      <c r="BNC73" s="371"/>
      <c r="BND73" s="371"/>
      <c r="BNE73" s="371"/>
      <c r="BNF73" s="371"/>
      <c r="BNG73" s="371"/>
      <c r="BNH73" s="371"/>
      <c r="BNI73" s="371"/>
      <c r="BNJ73" s="371"/>
      <c r="BNK73" s="371"/>
      <c r="BNL73" s="371"/>
      <c r="BNM73" s="371"/>
      <c r="BNN73" s="371"/>
      <c r="BNO73" s="371"/>
      <c r="BNP73" s="371"/>
      <c r="BNQ73" s="371"/>
      <c r="BNR73" s="371"/>
      <c r="BNS73" s="371"/>
      <c r="BNT73" s="371"/>
      <c r="BNU73" s="371"/>
      <c r="BNV73" s="371"/>
      <c r="BNW73" s="371"/>
      <c r="BNX73" s="371"/>
      <c r="BNY73" s="382"/>
      <c r="BOC73" s="371"/>
      <c r="BOD73" s="371"/>
      <c r="BOE73" s="371"/>
      <c r="BOF73" s="371"/>
      <c r="BOG73" s="371"/>
      <c r="BOH73" s="371"/>
      <c r="BOI73" s="371"/>
      <c r="BOJ73" s="371"/>
      <c r="BOK73" s="371"/>
      <c r="BOL73" s="371"/>
      <c r="BOM73" s="371"/>
      <c r="BON73" s="371"/>
      <c r="BOO73" s="371"/>
      <c r="BOP73" s="371"/>
      <c r="BOQ73" s="371"/>
      <c r="BOR73" s="371"/>
      <c r="BOS73" s="371"/>
      <c r="BOT73" s="371"/>
      <c r="BOU73" s="371"/>
      <c r="BOV73" s="371"/>
      <c r="BOW73" s="371"/>
      <c r="BOX73" s="371"/>
      <c r="BOY73" s="371"/>
      <c r="BOZ73" s="371"/>
      <c r="BPA73" s="371"/>
      <c r="BPB73" s="371"/>
      <c r="BPC73" s="382"/>
      <c r="BPG73" s="371"/>
      <c r="BPH73" s="371"/>
      <c r="BPI73" s="371"/>
      <c r="BPJ73" s="371"/>
      <c r="BPK73" s="371"/>
      <c r="BPL73" s="371"/>
      <c r="BPM73" s="371"/>
      <c r="BPN73" s="371"/>
      <c r="BPO73" s="371"/>
      <c r="BPP73" s="371"/>
      <c r="BPQ73" s="371"/>
      <c r="BPR73" s="371"/>
      <c r="BPS73" s="371"/>
      <c r="BPT73" s="371"/>
      <c r="BPU73" s="371"/>
      <c r="BPV73" s="371"/>
      <c r="BPW73" s="371"/>
      <c r="BPX73" s="371"/>
      <c r="BPY73" s="371"/>
      <c r="BPZ73" s="371"/>
      <c r="BQA73" s="371"/>
      <c r="BQB73" s="371"/>
      <c r="BQC73" s="371"/>
      <c r="BQD73" s="371"/>
      <c r="BQE73" s="371"/>
      <c r="BQF73" s="371"/>
      <c r="BQG73" s="382"/>
      <c r="BQK73" s="371"/>
      <c r="BQL73" s="371"/>
      <c r="BQM73" s="371"/>
      <c r="BQN73" s="371"/>
      <c r="BQO73" s="371"/>
      <c r="BQP73" s="371"/>
      <c r="BQQ73" s="371"/>
      <c r="BQR73" s="371"/>
      <c r="BQS73" s="371"/>
      <c r="BQT73" s="371"/>
      <c r="BQU73" s="371"/>
      <c r="BQV73" s="371"/>
      <c r="BQW73" s="371"/>
      <c r="BQX73" s="371"/>
      <c r="BQY73" s="371"/>
      <c r="BQZ73" s="371"/>
      <c r="BRA73" s="371"/>
      <c r="BRB73" s="371"/>
      <c r="BRC73" s="371"/>
      <c r="BRD73" s="371"/>
      <c r="BRE73" s="371"/>
      <c r="BRF73" s="371"/>
      <c r="BRG73" s="371"/>
      <c r="BRH73" s="371"/>
      <c r="BRI73" s="371"/>
      <c r="BRJ73" s="371"/>
      <c r="BRK73" s="382"/>
      <c r="BRO73" s="371"/>
      <c r="BRP73" s="371"/>
      <c r="BRQ73" s="371"/>
      <c r="BRR73" s="371"/>
      <c r="BRS73" s="371"/>
      <c r="BRT73" s="371"/>
      <c r="BRU73" s="371"/>
      <c r="BRV73" s="371"/>
      <c r="BRW73" s="371"/>
      <c r="BRX73" s="371"/>
      <c r="BRY73" s="371"/>
      <c r="BRZ73" s="371"/>
      <c r="BSA73" s="371"/>
      <c r="BSB73" s="371"/>
      <c r="BSC73" s="371"/>
      <c r="BSD73" s="371"/>
      <c r="BSE73" s="371"/>
      <c r="BSF73" s="371"/>
      <c r="BSG73" s="371"/>
      <c r="BSH73" s="371"/>
      <c r="BSI73" s="371"/>
      <c r="BSJ73" s="371"/>
      <c r="BSK73" s="371"/>
      <c r="BSL73" s="371"/>
      <c r="BSM73" s="371"/>
      <c r="BSN73" s="371"/>
      <c r="BSO73" s="382"/>
      <c r="BSS73" s="371"/>
      <c r="BST73" s="371"/>
      <c r="BSU73" s="371"/>
      <c r="BSV73" s="371"/>
      <c r="BSW73" s="371"/>
      <c r="BSX73" s="371"/>
      <c r="BSY73" s="371"/>
      <c r="BSZ73" s="371"/>
      <c r="BTA73" s="371"/>
      <c r="BTB73" s="371"/>
      <c r="BTC73" s="371"/>
      <c r="BTD73" s="371"/>
      <c r="BTE73" s="371"/>
      <c r="BTF73" s="371"/>
      <c r="BTG73" s="371"/>
      <c r="BTH73" s="371"/>
      <c r="BTI73" s="371"/>
      <c r="BTJ73" s="371"/>
      <c r="BTK73" s="371"/>
      <c r="BTL73" s="371"/>
      <c r="BTM73" s="371"/>
      <c r="BTN73" s="371"/>
      <c r="BTO73" s="371"/>
      <c r="BTP73" s="371"/>
      <c r="BTQ73" s="371"/>
      <c r="BTR73" s="371"/>
      <c r="BTS73" s="382"/>
      <c r="BTW73" s="371"/>
      <c r="BTX73" s="371"/>
      <c r="BTY73" s="371"/>
      <c r="BTZ73" s="371"/>
      <c r="BUA73" s="371"/>
      <c r="BUB73" s="371"/>
      <c r="BUC73" s="371"/>
      <c r="BUD73" s="371"/>
      <c r="BUE73" s="371"/>
      <c r="BUF73" s="371"/>
      <c r="BUG73" s="371"/>
      <c r="BUH73" s="371"/>
      <c r="BUI73" s="371"/>
      <c r="BUJ73" s="371"/>
      <c r="BUK73" s="371"/>
      <c r="BUL73" s="371"/>
      <c r="BUM73" s="371"/>
      <c r="BUN73" s="371"/>
      <c r="BUO73" s="371"/>
      <c r="BUP73" s="371"/>
      <c r="BUQ73" s="371"/>
      <c r="BUR73" s="371"/>
      <c r="BUS73" s="371"/>
      <c r="BUT73" s="371"/>
      <c r="BUU73" s="371"/>
      <c r="BUV73" s="371"/>
      <c r="BUW73" s="382"/>
      <c r="BVA73" s="371"/>
      <c r="BVB73" s="371"/>
      <c r="BVC73" s="371"/>
      <c r="BVD73" s="371"/>
      <c r="BVE73" s="371"/>
      <c r="BVF73" s="371"/>
      <c r="BVG73" s="371"/>
      <c r="BVH73" s="371"/>
      <c r="BVI73" s="371"/>
      <c r="BVJ73" s="371"/>
      <c r="BVK73" s="371"/>
      <c r="BVL73" s="371"/>
      <c r="BVM73" s="371"/>
      <c r="BVN73" s="371"/>
      <c r="BVO73" s="371"/>
      <c r="BVP73" s="371"/>
      <c r="BVQ73" s="371"/>
      <c r="BVR73" s="371"/>
      <c r="BVS73" s="371"/>
      <c r="BVT73" s="371"/>
      <c r="BVU73" s="371"/>
      <c r="BVV73" s="371"/>
      <c r="BVW73" s="371"/>
      <c r="BVX73" s="371"/>
      <c r="BVY73" s="371"/>
      <c r="BVZ73" s="371"/>
      <c r="BWA73" s="382"/>
      <c r="BWE73" s="371"/>
      <c r="BWF73" s="371"/>
      <c r="BWG73" s="371"/>
      <c r="BWH73" s="371"/>
      <c r="BWI73" s="371"/>
      <c r="BWJ73" s="371"/>
      <c r="BWK73" s="371"/>
      <c r="BWL73" s="371"/>
      <c r="BWM73" s="371"/>
      <c r="BWN73" s="371"/>
      <c r="BWO73" s="371"/>
      <c r="BWP73" s="371"/>
      <c r="BWQ73" s="371"/>
      <c r="BWR73" s="371"/>
      <c r="BWS73" s="371"/>
      <c r="BWT73" s="371"/>
      <c r="BWU73" s="371"/>
      <c r="BWV73" s="371"/>
      <c r="BWW73" s="371"/>
      <c r="BWX73" s="371"/>
      <c r="BWY73" s="371"/>
      <c r="BWZ73" s="371"/>
      <c r="BXA73" s="371"/>
      <c r="BXB73" s="371"/>
      <c r="BXC73" s="371"/>
      <c r="BXD73" s="371"/>
      <c r="BXE73" s="382"/>
      <c r="BXI73" s="371"/>
      <c r="BXJ73" s="371"/>
      <c r="BXK73" s="371"/>
      <c r="BXL73" s="371"/>
      <c r="BXM73" s="371"/>
      <c r="BXN73" s="371"/>
      <c r="BXO73" s="371"/>
      <c r="BXP73" s="371"/>
      <c r="BXQ73" s="371"/>
      <c r="BXR73" s="371"/>
      <c r="BXS73" s="371"/>
      <c r="BXT73" s="371"/>
      <c r="BXU73" s="371"/>
      <c r="BXV73" s="371"/>
      <c r="BXW73" s="371"/>
      <c r="BXX73" s="371"/>
      <c r="BXY73" s="371"/>
      <c r="BXZ73" s="371"/>
      <c r="BYA73" s="371"/>
      <c r="BYB73" s="371"/>
      <c r="BYC73" s="371"/>
      <c r="BYD73" s="371"/>
      <c r="BYE73" s="371"/>
      <c r="BYF73" s="371"/>
      <c r="BYG73" s="371"/>
      <c r="BYH73" s="371"/>
      <c r="BYI73" s="382"/>
      <c r="BYM73" s="371"/>
      <c r="BYN73" s="371"/>
      <c r="BYO73" s="371"/>
      <c r="BYP73" s="371"/>
      <c r="BYQ73" s="371"/>
      <c r="BYR73" s="371"/>
      <c r="BYS73" s="371"/>
      <c r="BYT73" s="371"/>
      <c r="BYU73" s="371"/>
      <c r="BYV73" s="371"/>
      <c r="BYW73" s="371"/>
      <c r="BYX73" s="371"/>
      <c r="BYY73" s="371"/>
      <c r="BYZ73" s="371"/>
      <c r="BZA73" s="371"/>
      <c r="BZB73" s="371"/>
      <c r="BZC73" s="371"/>
      <c r="BZD73" s="371"/>
      <c r="BZE73" s="371"/>
      <c r="BZF73" s="371"/>
      <c r="BZG73" s="371"/>
      <c r="BZH73" s="371"/>
      <c r="BZI73" s="371"/>
      <c r="BZJ73" s="371"/>
      <c r="BZK73" s="371"/>
      <c r="BZL73" s="371"/>
      <c r="BZM73" s="382"/>
      <c r="BZQ73" s="371"/>
      <c r="BZR73" s="371"/>
      <c r="BZS73" s="371"/>
      <c r="BZT73" s="371"/>
      <c r="BZU73" s="371"/>
      <c r="BZV73" s="371"/>
      <c r="BZW73" s="371"/>
      <c r="BZX73" s="371"/>
      <c r="BZY73" s="371"/>
      <c r="BZZ73" s="371"/>
      <c r="CAA73" s="371"/>
      <c r="CAB73" s="371"/>
      <c r="CAC73" s="371"/>
      <c r="CAD73" s="371"/>
      <c r="CAE73" s="371"/>
      <c r="CAF73" s="371"/>
      <c r="CAG73" s="371"/>
      <c r="CAH73" s="371"/>
      <c r="CAI73" s="371"/>
      <c r="CAJ73" s="371"/>
      <c r="CAK73" s="371"/>
      <c r="CAL73" s="371"/>
      <c r="CAM73" s="371"/>
      <c r="CAN73" s="371"/>
      <c r="CAO73" s="371"/>
      <c r="CAP73" s="371"/>
      <c r="CAQ73" s="382"/>
      <c r="CAU73" s="371"/>
      <c r="CAV73" s="371"/>
      <c r="CAW73" s="371"/>
      <c r="CAX73" s="371"/>
      <c r="CAY73" s="371"/>
      <c r="CAZ73" s="371"/>
      <c r="CBA73" s="371"/>
      <c r="CBB73" s="371"/>
      <c r="CBC73" s="371"/>
      <c r="CBD73" s="371"/>
      <c r="CBE73" s="371"/>
      <c r="CBF73" s="371"/>
      <c r="CBG73" s="371"/>
      <c r="CBH73" s="371"/>
      <c r="CBI73" s="371"/>
      <c r="CBJ73" s="371"/>
      <c r="CBK73" s="371"/>
      <c r="CBL73" s="371"/>
      <c r="CBM73" s="371"/>
      <c r="CBN73" s="371"/>
      <c r="CBO73" s="371"/>
      <c r="CBP73" s="371"/>
      <c r="CBQ73" s="371"/>
      <c r="CBR73" s="371"/>
      <c r="CBS73" s="371"/>
      <c r="CBT73" s="371"/>
      <c r="CBU73" s="382"/>
      <c r="CBY73" s="371"/>
      <c r="CBZ73" s="371"/>
      <c r="CCA73" s="371"/>
      <c r="CCB73" s="371"/>
      <c r="CCC73" s="371"/>
      <c r="CCD73" s="371"/>
      <c r="CCE73" s="371"/>
      <c r="CCF73" s="371"/>
      <c r="CCG73" s="371"/>
      <c r="CCH73" s="371"/>
      <c r="CCI73" s="371"/>
      <c r="CCJ73" s="371"/>
      <c r="CCK73" s="371"/>
      <c r="CCL73" s="371"/>
      <c r="CCM73" s="371"/>
      <c r="CCN73" s="371"/>
      <c r="CCO73" s="371"/>
      <c r="CCP73" s="371"/>
      <c r="CCQ73" s="371"/>
      <c r="CCR73" s="371"/>
      <c r="CCS73" s="371"/>
      <c r="CCT73" s="371"/>
      <c r="CCU73" s="371"/>
      <c r="CCV73" s="371"/>
      <c r="CCW73" s="371"/>
      <c r="CCX73" s="371"/>
      <c r="CCY73" s="382"/>
      <c r="CDC73" s="371"/>
      <c r="CDD73" s="371"/>
      <c r="CDE73" s="371"/>
      <c r="CDF73" s="371"/>
      <c r="CDG73" s="371"/>
      <c r="CDH73" s="371"/>
      <c r="CDI73" s="371"/>
      <c r="CDJ73" s="371"/>
      <c r="CDK73" s="371"/>
      <c r="CDL73" s="371"/>
      <c r="CDM73" s="371"/>
      <c r="CDN73" s="371"/>
      <c r="CDO73" s="371"/>
      <c r="CDP73" s="371"/>
      <c r="CDQ73" s="371"/>
      <c r="CDR73" s="371"/>
      <c r="CDS73" s="371"/>
      <c r="CDT73" s="371"/>
      <c r="CDU73" s="371"/>
      <c r="CDV73" s="371"/>
      <c r="CDW73" s="371"/>
      <c r="CDX73" s="371"/>
      <c r="CDY73" s="371"/>
      <c r="CDZ73" s="371"/>
      <c r="CEA73" s="371"/>
      <c r="CEB73" s="371"/>
      <c r="CEC73" s="382"/>
      <c r="CEG73" s="371"/>
      <c r="CEH73" s="371"/>
      <c r="CEI73" s="371"/>
      <c r="CEJ73" s="371"/>
      <c r="CEK73" s="371"/>
      <c r="CEL73" s="371"/>
      <c r="CEM73" s="371"/>
      <c r="CEN73" s="371"/>
      <c r="CEO73" s="371"/>
      <c r="CEP73" s="371"/>
      <c r="CEQ73" s="371"/>
      <c r="CER73" s="371"/>
      <c r="CES73" s="371"/>
      <c r="CET73" s="371"/>
      <c r="CEU73" s="371"/>
      <c r="CEV73" s="371"/>
      <c r="CEW73" s="371"/>
      <c r="CEX73" s="371"/>
      <c r="CEY73" s="371"/>
      <c r="CEZ73" s="371"/>
      <c r="CFA73" s="371"/>
      <c r="CFB73" s="371"/>
      <c r="CFC73" s="371"/>
      <c r="CFD73" s="371"/>
      <c r="CFE73" s="371"/>
      <c r="CFF73" s="371"/>
      <c r="CFG73" s="382"/>
      <c r="CFK73" s="371"/>
      <c r="CFL73" s="371"/>
      <c r="CFM73" s="371"/>
      <c r="CFN73" s="371"/>
      <c r="CFO73" s="371"/>
      <c r="CFP73" s="371"/>
      <c r="CFQ73" s="371"/>
      <c r="CFR73" s="371"/>
      <c r="CFS73" s="371"/>
      <c r="CFT73" s="371"/>
      <c r="CFU73" s="371"/>
      <c r="CFV73" s="371"/>
      <c r="CFW73" s="371"/>
      <c r="CFX73" s="371"/>
      <c r="CFY73" s="371"/>
      <c r="CFZ73" s="371"/>
      <c r="CGA73" s="371"/>
      <c r="CGB73" s="371"/>
      <c r="CGC73" s="371"/>
      <c r="CGD73" s="371"/>
      <c r="CGE73" s="371"/>
      <c r="CGF73" s="371"/>
      <c r="CGG73" s="371"/>
      <c r="CGH73" s="371"/>
      <c r="CGI73" s="371"/>
      <c r="CGJ73" s="371"/>
      <c r="CGK73" s="382"/>
      <c r="CGO73" s="371"/>
      <c r="CGP73" s="371"/>
      <c r="CGQ73" s="371"/>
      <c r="CGR73" s="371"/>
      <c r="CGS73" s="371"/>
      <c r="CGT73" s="371"/>
      <c r="CGU73" s="371"/>
      <c r="CGV73" s="371"/>
      <c r="CGW73" s="371"/>
      <c r="CGX73" s="371"/>
      <c r="CGY73" s="371"/>
      <c r="CGZ73" s="371"/>
      <c r="CHA73" s="371"/>
      <c r="CHB73" s="371"/>
      <c r="CHC73" s="371"/>
      <c r="CHD73" s="371"/>
      <c r="CHE73" s="371"/>
      <c r="CHF73" s="371"/>
      <c r="CHG73" s="371"/>
      <c r="CHH73" s="371"/>
      <c r="CHI73" s="371"/>
      <c r="CHJ73" s="371"/>
      <c r="CHK73" s="371"/>
      <c r="CHL73" s="371"/>
      <c r="CHM73" s="371"/>
      <c r="CHN73" s="371"/>
      <c r="CHO73" s="382"/>
      <c r="CHS73" s="371"/>
      <c r="CHT73" s="371"/>
      <c r="CHU73" s="371"/>
      <c r="CHV73" s="371"/>
      <c r="CHW73" s="371"/>
      <c r="CHX73" s="371"/>
      <c r="CHY73" s="371"/>
      <c r="CHZ73" s="371"/>
      <c r="CIA73" s="371"/>
      <c r="CIB73" s="371"/>
      <c r="CIC73" s="371"/>
      <c r="CID73" s="371"/>
      <c r="CIE73" s="371"/>
      <c r="CIF73" s="371"/>
      <c r="CIG73" s="371"/>
      <c r="CIH73" s="371"/>
      <c r="CII73" s="371"/>
      <c r="CIJ73" s="371"/>
      <c r="CIK73" s="371"/>
      <c r="CIL73" s="371"/>
      <c r="CIM73" s="371"/>
      <c r="CIN73" s="371"/>
      <c r="CIO73" s="371"/>
      <c r="CIP73" s="371"/>
      <c r="CIQ73" s="371"/>
      <c r="CIR73" s="371"/>
      <c r="CIS73" s="382"/>
      <c r="CIW73" s="371"/>
      <c r="CIX73" s="371"/>
      <c r="CIY73" s="371"/>
      <c r="CIZ73" s="371"/>
      <c r="CJA73" s="371"/>
      <c r="CJB73" s="371"/>
      <c r="CJC73" s="371"/>
      <c r="CJD73" s="371"/>
      <c r="CJE73" s="371"/>
      <c r="CJF73" s="371"/>
      <c r="CJG73" s="371"/>
      <c r="CJH73" s="371"/>
      <c r="CJI73" s="371"/>
      <c r="CJJ73" s="371"/>
      <c r="CJK73" s="371"/>
      <c r="CJL73" s="371"/>
      <c r="CJM73" s="371"/>
      <c r="CJN73" s="371"/>
      <c r="CJO73" s="371"/>
      <c r="CJP73" s="371"/>
      <c r="CJQ73" s="371"/>
      <c r="CJR73" s="371"/>
      <c r="CJS73" s="371"/>
      <c r="CJT73" s="371"/>
      <c r="CJU73" s="371"/>
      <c r="CJV73" s="371"/>
      <c r="CJW73" s="382"/>
      <c r="CKA73" s="371"/>
      <c r="CKB73" s="371"/>
      <c r="CKC73" s="371"/>
      <c r="CKD73" s="371"/>
      <c r="CKE73" s="371"/>
      <c r="CKF73" s="371"/>
      <c r="CKG73" s="371"/>
      <c r="CKH73" s="371"/>
      <c r="CKI73" s="371"/>
      <c r="CKJ73" s="371"/>
      <c r="CKK73" s="371"/>
      <c r="CKL73" s="371"/>
      <c r="CKM73" s="371"/>
      <c r="CKN73" s="371"/>
      <c r="CKO73" s="371"/>
      <c r="CKP73" s="371"/>
      <c r="CKQ73" s="371"/>
      <c r="CKR73" s="371"/>
      <c r="CKS73" s="371"/>
      <c r="CKT73" s="371"/>
      <c r="CKU73" s="371"/>
      <c r="CKV73" s="371"/>
      <c r="CKW73" s="371"/>
      <c r="CKX73" s="371"/>
      <c r="CKY73" s="371"/>
      <c r="CKZ73" s="371"/>
      <c r="CLA73" s="382"/>
      <c r="CLE73" s="371"/>
      <c r="CLF73" s="371"/>
      <c r="CLG73" s="371"/>
      <c r="CLH73" s="371"/>
      <c r="CLI73" s="371"/>
      <c r="CLJ73" s="371"/>
      <c r="CLK73" s="371"/>
      <c r="CLL73" s="371"/>
      <c r="CLM73" s="371"/>
      <c r="CLN73" s="371"/>
      <c r="CLO73" s="371"/>
      <c r="CLP73" s="371"/>
      <c r="CLQ73" s="371"/>
      <c r="CLR73" s="371"/>
      <c r="CLS73" s="371"/>
      <c r="CLT73" s="371"/>
      <c r="CLU73" s="371"/>
      <c r="CLV73" s="371"/>
      <c r="CLW73" s="371"/>
      <c r="CLX73" s="371"/>
      <c r="CLY73" s="371"/>
      <c r="CLZ73" s="371"/>
      <c r="CMA73" s="371"/>
      <c r="CMB73" s="371"/>
      <c r="CMC73" s="371"/>
      <c r="CMD73" s="371"/>
      <c r="CME73" s="382"/>
      <c r="CMI73" s="371"/>
      <c r="CMJ73" s="371"/>
      <c r="CMK73" s="371"/>
      <c r="CML73" s="371"/>
      <c r="CMM73" s="371"/>
      <c r="CMN73" s="371"/>
      <c r="CMO73" s="371"/>
      <c r="CMP73" s="371"/>
      <c r="CMQ73" s="371"/>
      <c r="CMR73" s="371"/>
      <c r="CMS73" s="371"/>
      <c r="CMT73" s="371"/>
      <c r="CMU73" s="371"/>
      <c r="CMV73" s="371"/>
      <c r="CMW73" s="371"/>
      <c r="CMX73" s="371"/>
      <c r="CMY73" s="371"/>
      <c r="CMZ73" s="371"/>
      <c r="CNA73" s="371"/>
      <c r="CNB73" s="371"/>
      <c r="CNC73" s="371"/>
      <c r="CND73" s="371"/>
      <c r="CNE73" s="371"/>
      <c r="CNF73" s="371"/>
      <c r="CNG73" s="371"/>
      <c r="CNH73" s="371"/>
      <c r="CNI73" s="382"/>
      <c r="CNM73" s="371"/>
      <c r="CNN73" s="371"/>
      <c r="CNO73" s="371"/>
      <c r="CNP73" s="371"/>
      <c r="CNQ73" s="371"/>
      <c r="CNR73" s="371"/>
      <c r="CNS73" s="371"/>
      <c r="CNT73" s="371"/>
      <c r="CNU73" s="371"/>
      <c r="CNV73" s="371"/>
      <c r="CNW73" s="371"/>
      <c r="CNX73" s="371"/>
      <c r="CNY73" s="371"/>
      <c r="CNZ73" s="371"/>
      <c r="COA73" s="371"/>
      <c r="COB73" s="371"/>
      <c r="COC73" s="371"/>
      <c r="COD73" s="371"/>
      <c r="COE73" s="371"/>
      <c r="COF73" s="371"/>
      <c r="COG73" s="371"/>
      <c r="COH73" s="371"/>
      <c r="COI73" s="371"/>
      <c r="COJ73" s="371"/>
      <c r="COK73" s="371"/>
      <c r="COL73" s="371"/>
      <c r="COM73" s="382"/>
      <c r="COQ73" s="371"/>
      <c r="COR73" s="371"/>
      <c r="COS73" s="371"/>
      <c r="COT73" s="371"/>
      <c r="COU73" s="371"/>
      <c r="COV73" s="371"/>
      <c r="COW73" s="371"/>
      <c r="COX73" s="371"/>
      <c r="COY73" s="371"/>
      <c r="COZ73" s="371"/>
      <c r="CPA73" s="371"/>
      <c r="CPB73" s="371"/>
      <c r="CPC73" s="371"/>
      <c r="CPD73" s="371"/>
      <c r="CPE73" s="371"/>
      <c r="CPF73" s="371"/>
      <c r="CPG73" s="371"/>
      <c r="CPH73" s="371"/>
      <c r="CPI73" s="371"/>
      <c r="CPJ73" s="371"/>
      <c r="CPK73" s="371"/>
      <c r="CPL73" s="371"/>
      <c r="CPM73" s="371"/>
      <c r="CPN73" s="371"/>
      <c r="CPO73" s="371"/>
      <c r="CPP73" s="371"/>
      <c r="CPQ73" s="382"/>
      <c r="CPU73" s="371"/>
      <c r="CPV73" s="371"/>
      <c r="CPW73" s="371"/>
      <c r="CPX73" s="371"/>
      <c r="CPY73" s="371"/>
      <c r="CPZ73" s="371"/>
      <c r="CQA73" s="371"/>
      <c r="CQB73" s="371"/>
      <c r="CQC73" s="371"/>
      <c r="CQD73" s="371"/>
      <c r="CQE73" s="371"/>
      <c r="CQF73" s="371"/>
      <c r="CQG73" s="371"/>
      <c r="CQH73" s="371"/>
      <c r="CQI73" s="371"/>
      <c r="CQJ73" s="371"/>
      <c r="CQK73" s="371"/>
      <c r="CQL73" s="371"/>
      <c r="CQM73" s="371"/>
      <c r="CQN73" s="371"/>
      <c r="CQO73" s="371"/>
      <c r="CQP73" s="371"/>
      <c r="CQQ73" s="371"/>
      <c r="CQR73" s="371"/>
      <c r="CQS73" s="371"/>
      <c r="CQT73" s="371"/>
      <c r="CQU73" s="382"/>
      <c r="CQY73" s="371"/>
      <c r="CQZ73" s="371"/>
      <c r="CRA73" s="371"/>
      <c r="CRB73" s="371"/>
      <c r="CRC73" s="371"/>
      <c r="CRD73" s="371"/>
      <c r="CRE73" s="371"/>
      <c r="CRF73" s="371"/>
      <c r="CRG73" s="371"/>
      <c r="CRH73" s="371"/>
      <c r="CRI73" s="371"/>
      <c r="CRJ73" s="371"/>
      <c r="CRK73" s="371"/>
      <c r="CRL73" s="371"/>
      <c r="CRM73" s="371"/>
      <c r="CRN73" s="371"/>
      <c r="CRO73" s="371"/>
      <c r="CRP73" s="371"/>
      <c r="CRQ73" s="371"/>
      <c r="CRR73" s="371"/>
      <c r="CRS73" s="371"/>
      <c r="CRT73" s="371"/>
      <c r="CRU73" s="371"/>
      <c r="CRV73" s="371"/>
      <c r="CRW73" s="371"/>
      <c r="CRX73" s="371"/>
      <c r="CRY73" s="382"/>
      <c r="CSC73" s="371"/>
      <c r="CSD73" s="371"/>
      <c r="CSE73" s="371"/>
      <c r="CSF73" s="371"/>
      <c r="CSG73" s="371"/>
      <c r="CSH73" s="371"/>
      <c r="CSI73" s="371"/>
      <c r="CSJ73" s="371"/>
      <c r="CSK73" s="371"/>
      <c r="CSL73" s="371"/>
      <c r="CSM73" s="371"/>
      <c r="CSN73" s="371"/>
      <c r="CSO73" s="371"/>
      <c r="CSP73" s="371"/>
      <c r="CSQ73" s="371"/>
      <c r="CSR73" s="371"/>
      <c r="CSS73" s="371"/>
      <c r="CST73" s="371"/>
      <c r="CSU73" s="371"/>
      <c r="CSV73" s="371"/>
      <c r="CSW73" s="371"/>
      <c r="CSX73" s="371"/>
      <c r="CSY73" s="371"/>
      <c r="CSZ73" s="371"/>
      <c r="CTA73" s="371"/>
      <c r="CTB73" s="371"/>
      <c r="CTC73" s="382"/>
      <c r="CTG73" s="371"/>
      <c r="CTH73" s="371"/>
      <c r="CTI73" s="371"/>
      <c r="CTJ73" s="371"/>
      <c r="CTK73" s="371"/>
      <c r="CTL73" s="371"/>
      <c r="CTM73" s="371"/>
      <c r="CTN73" s="371"/>
      <c r="CTO73" s="371"/>
      <c r="CTP73" s="371"/>
      <c r="CTQ73" s="371"/>
      <c r="CTR73" s="371"/>
      <c r="CTS73" s="371"/>
      <c r="CTT73" s="371"/>
      <c r="CTU73" s="371"/>
      <c r="CTV73" s="371"/>
      <c r="CTW73" s="371"/>
      <c r="CTX73" s="371"/>
      <c r="CTY73" s="371"/>
      <c r="CTZ73" s="371"/>
      <c r="CUA73" s="371"/>
      <c r="CUB73" s="371"/>
      <c r="CUC73" s="371"/>
      <c r="CUD73" s="371"/>
      <c r="CUE73" s="371"/>
      <c r="CUF73" s="371"/>
      <c r="CUG73" s="382"/>
      <c r="CUK73" s="371"/>
      <c r="CUL73" s="371"/>
      <c r="CUM73" s="371"/>
      <c r="CUN73" s="371"/>
      <c r="CUO73" s="371"/>
      <c r="CUP73" s="371"/>
      <c r="CUQ73" s="371"/>
      <c r="CUR73" s="371"/>
      <c r="CUS73" s="371"/>
      <c r="CUT73" s="371"/>
      <c r="CUU73" s="371"/>
      <c r="CUV73" s="371"/>
      <c r="CUW73" s="371"/>
      <c r="CUX73" s="371"/>
      <c r="CUY73" s="371"/>
      <c r="CUZ73" s="371"/>
      <c r="CVA73" s="371"/>
      <c r="CVB73" s="371"/>
      <c r="CVC73" s="371"/>
      <c r="CVD73" s="371"/>
      <c r="CVE73" s="371"/>
      <c r="CVF73" s="371"/>
      <c r="CVG73" s="371"/>
      <c r="CVH73" s="371"/>
      <c r="CVI73" s="371"/>
      <c r="CVJ73" s="371"/>
      <c r="CVK73" s="382"/>
      <c r="CVO73" s="371"/>
      <c r="CVP73" s="371"/>
      <c r="CVQ73" s="371"/>
      <c r="CVR73" s="371"/>
      <c r="CVS73" s="371"/>
      <c r="CVT73" s="371"/>
      <c r="CVU73" s="371"/>
      <c r="CVV73" s="371"/>
      <c r="CVW73" s="371"/>
      <c r="CVX73" s="371"/>
      <c r="CVY73" s="371"/>
      <c r="CVZ73" s="371"/>
      <c r="CWA73" s="371"/>
      <c r="CWB73" s="371"/>
      <c r="CWC73" s="371"/>
      <c r="CWD73" s="371"/>
      <c r="CWE73" s="371"/>
      <c r="CWF73" s="371"/>
      <c r="CWG73" s="371"/>
      <c r="CWH73" s="371"/>
      <c r="CWI73" s="371"/>
      <c r="CWJ73" s="371"/>
      <c r="CWK73" s="371"/>
      <c r="CWL73" s="371"/>
      <c r="CWM73" s="371"/>
      <c r="CWN73" s="371"/>
      <c r="CWO73" s="382"/>
      <c r="CWS73" s="371"/>
      <c r="CWT73" s="371"/>
      <c r="CWU73" s="371"/>
      <c r="CWV73" s="371"/>
      <c r="CWW73" s="371"/>
      <c r="CWX73" s="371"/>
      <c r="CWY73" s="371"/>
      <c r="CWZ73" s="371"/>
      <c r="CXA73" s="371"/>
      <c r="CXB73" s="371"/>
      <c r="CXC73" s="371"/>
      <c r="CXD73" s="371"/>
      <c r="CXE73" s="371"/>
      <c r="CXF73" s="371"/>
      <c r="CXG73" s="371"/>
      <c r="CXH73" s="371"/>
      <c r="CXI73" s="371"/>
      <c r="CXJ73" s="371"/>
      <c r="CXK73" s="371"/>
      <c r="CXL73" s="371"/>
      <c r="CXM73" s="371"/>
      <c r="CXN73" s="371"/>
      <c r="CXO73" s="371"/>
      <c r="CXP73" s="371"/>
      <c r="CXQ73" s="371"/>
      <c r="CXR73" s="371"/>
      <c r="CXS73" s="382"/>
      <c r="CXW73" s="371"/>
      <c r="CXX73" s="371"/>
      <c r="CXY73" s="371"/>
      <c r="CXZ73" s="371"/>
      <c r="CYA73" s="371"/>
      <c r="CYB73" s="371"/>
      <c r="CYC73" s="371"/>
      <c r="CYD73" s="371"/>
      <c r="CYE73" s="371"/>
      <c r="CYF73" s="371"/>
      <c r="CYG73" s="371"/>
      <c r="CYH73" s="371"/>
      <c r="CYI73" s="371"/>
      <c r="CYJ73" s="371"/>
      <c r="CYK73" s="371"/>
      <c r="CYL73" s="371"/>
      <c r="CYM73" s="371"/>
      <c r="CYN73" s="371"/>
      <c r="CYO73" s="371"/>
      <c r="CYP73" s="371"/>
      <c r="CYQ73" s="371"/>
      <c r="CYR73" s="371"/>
      <c r="CYS73" s="371"/>
      <c r="CYT73" s="371"/>
      <c r="CYU73" s="371"/>
      <c r="CYV73" s="371"/>
      <c r="CYW73" s="382"/>
      <c r="CZA73" s="371"/>
      <c r="CZB73" s="371"/>
      <c r="CZC73" s="371"/>
      <c r="CZD73" s="371"/>
      <c r="CZE73" s="371"/>
      <c r="CZF73" s="371"/>
      <c r="CZG73" s="371"/>
      <c r="CZH73" s="371"/>
      <c r="CZI73" s="371"/>
      <c r="CZJ73" s="371"/>
      <c r="CZK73" s="371"/>
      <c r="CZL73" s="371"/>
      <c r="CZM73" s="371"/>
      <c r="CZN73" s="371"/>
      <c r="CZO73" s="371"/>
      <c r="CZP73" s="371"/>
      <c r="CZQ73" s="371"/>
      <c r="CZR73" s="371"/>
      <c r="CZS73" s="371"/>
      <c r="CZT73" s="371"/>
      <c r="CZU73" s="371"/>
      <c r="CZV73" s="371"/>
      <c r="CZW73" s="371"/>
      <c r="CZX73" s="371"/>
      <c r="CZY73" s="371"/>
      <c r="CZZ73" s="371"/>
      <c r="DAA73" s="382"/>
      <c r="DAE73" s="371"/>
      <c r="DAF73" s="371"/>
      <c r="DAG73" s="371"/>
      <c r="DAH73" s="371"/>
      <c r="DAI73" s="371"/>
      <c r="DAJ73" s="371"/>
      <c r="DAK73" s="371"/>
      <c r="DAL73" s="371"/>
      <c r="DAM73" s="371"/>
      <c r="DAN73" s="371"/>
      <c r="DAO73" s="371"/>
      <c r="DAP73" s="371"/>
      <c r="DAQ73" s="371"/>
      <c r="DAR73" s="371"/>
      <c r="DAS73" s="371"/>
      <c r="DAT73" s="371"/>
      <c r="DAU73" s="371"/>
      <c r="DAV73" s="371"/>
      <c r="DAW73" s="371"/>
      <c r="DAX73" s="371"/>
      <c r="DAY73" s="371"/>
      <c r="DAZ73" s="371"/>
      <c r="DBA73" s="371"/>
      <c r="DBB73" s="371"/>
      <c r="DBC73" s="371"/>
      <c r="DBD73" s="371"/>
      <c r="DBE73" s="382"/>
      <c r="DBI73" s="371"/>
      <c r="DBJ73" s="371"/>
      <c r="DBK73" s="371"/>
      <c r="DBL73" s="371"/>
      <c r="DBM73" s="371"/>
      <c r="DBN73" s="371"/>
      <c r="DBO73" s="371"/>
      <c r="DBP73" s="371"/>
      <c r="DBQ73" s="371"/>
      <c r="DBR73" s="371"/>
      <c r="DBS73" s="371"/>
      <c r="DBT73" s="371"/>
      <c r="DBU73" s="371"/>
      <c r="DBV73" s="371"/>
      <c r="DBW73" s="371"/>
      <c r="DBX73" s="371"/>
      <c r="DBY73" s="371"/>
      <c r="DBZ73" s="371"/>
      <c r="DCA73" s="371"/>
      <c r="DCB73" s="371"/>
      <c r="DCC73" s="371"/>
      <c r="DCD73" s="371"/>
      <c r="DCE73" s="371"/>
      <c r="DCF73" s="371"/>
      <c r="DCG73" s="371"/>
      <c r="DCH73" s="371"/>
      <c r="DCI73" s="382"/>
      <c r="DCM73" s="371"/>
      <c r="DCN73" s="371"/>
      <c r="DCO73" s="371"/>
      <c r="DCP73" s="371"/>
      <c r="DCQ73" s="371"/>
      <c r="DCR73" s="371"/>
      <c r="DCS73" s="371"/>
      <c r="DCT73" s="371"/>
      <c r="DCU73" s="371"/>
      <c r="DCV73" s="371"/>
      <c r="DCW73" s="371"/>
      <c r="DCX73" s="371"/>
      <c r="DCY73" s="371"/>
      <c r="DCZ73" s="371"/>
      <c r="DDA73" s="371"/>
      <c r="DDB73" s="371"/>
      <c r="DDC73" s="371"/>
      <c r="DDD73" s="371"/>
      <c r="DDE73" s="371"/>
      <c r="DDF73" s="371"/>
      <c r="DDG73" s="371"/>
      <c r="DDH73" s="371"/>
      <c r="DDI73" s="371"/>
      <c r="DDJ73" s="371"/>
      <c r="DDK73" s="371"/>
      <c r="DDL73" s="371"/>
      <c r="DDM73" s="382"/>
      <c r="DDQ73" s="371"/>
      <c r="DDR73" s="371"/>
      <c r="DDS73" s="371"/>
      <c r="DDT73" s="371"/>
      <c r="DDU73" s="371"/>
      <c r="DDV73" s="371"/>
      <c r="DDW73" s="371"/>
      <c r="DDX73" s="371"/>
      <c r="DDY73" s="371"/>
      <c r="DDZ73" s="371"/>
      <c r="DEA73" s="371"/>
      <c r="DEB73" s="371"/>
      <c r="DEC73" s="371"/>
      <c r="DED73" s="371"/>
      <c r="DEE73" s="371"/>
      <c r="DEF73" s="371"/>
      <c r="DEG73" s="371"/>
      <c r="DEH73" s="371"/>
      <c r="DEI73" s="371"/>
      <c r="DEJ73" s="371"/>
      <c r="DEK73" s="371"/>
      <c r="DEL73" s="371"/>
      <c r="DEM73" s="371"/>
      <c r="DEN73" s="371"/>
      <c r="DEO73" s="371"/>
      <c r="DEP73" s="371"/>
      <c r="DEQ73" s="382"/>
      <c r="DEU73" s="371"/>
      <c r="DEV73" s="371"/>
      <c r="DEW73" s="371"/>
      <c r="DEX73" s="371"/>
      <c r="DEY73" s="371"/>
      <c r="DEZ73" s="371"/>
      <c r="DFA73" s="371"/>
      <c r="DFB73" s="371"/>
      <c r="DFC73" s="371"/>
      <c r="DFD73" s="371"/>
      <c r="DFE73" s="371"/>
      <c r="DFF73" s="371"/>
      <c r="DFG73" s="371"/>
      <c r="DFH73" s="371"/>
      <c r="DFI73" s="371"/>
      <c r="DFJ73" s="371"/>
      <c r="DFK73" s="371"/>
      <c r="DFL73" s="371"/>
      <c r="DFM73" s="371"/>
      <c r="DFN73" s="371"/>
      <c r="DFO73" s="371"/>
      <c r="DFP73" s="371"/>
      <c r="DFQ73" s="371"/>
      <c r="DFR73" s="371"/>
      <c r="DFS73" s="371"/>
      <c r="DFT73" s="371"/>
      <c r="DFU73" s="382"/>
      <c r="DFY73" s="371"/>
      <c r="DFZ73" s="371"/>
      <c r="DGA73" s="371"/>
      <c r="DGB73" s="371"/>
      <c r="DGC73" s="371"/>
      <c r="DGD73" s="371"/>
      <c r="DGE73" s="371"/>
      <c r="DGF73" s="371"/>
      <c r="DGG73" s="371"/>
      <c r="DGH73" s="371"/>
      <c r="DGI73" s="371"/>
      <c r="DGJ73" s="371"/>
      <c r="DGK73" s="371"/>
      <c r="DGL73" s="371"/>
      <c r="DGM73" s="371"/>
      <c r="DGN73" s="371"/>
      <c r="DGO73" s="371"/>
      <c r="DGP73" s="371"/>
      <c r="DGQ73" s="371"/>
      <c r="DGR73" s="371"/>
      <c r="DGS73" s="371"/>
      <c r="DGT73" s="371"/>
      <c r="DGU73" s="371"/>
      <c r="DGV73" s="371"/>
      <c r="DGW73" s="371"/>
      <c r="DGX73" s="371"/>
      <c r="DGY73" s="382"/>
      <c r="DHC73" s="371"/>
      <c r="DHD73" s="371"/>
      <c r="DHE73" s="371"/>
      <c r="DHF73" s="371"/>
      <c r="DHG73" s="371"/>
      <c r="DHH73" s="371"/>
      <c r="DHI73" s="371"/>
      <c r="DHJ73" s="371"/>
      <c r="DHK73" s="371"/>
      <c r="DHL73" s="371"/>
      <c r="DHM73" s="371"/>
      <c r="DHN73" s="371"/>
      <c r="DHO73" s="371"/>
      <c r="DHP73" s="371"/>
      <c r="DHQ73" s="371"/>
      <c r="DHR73" s="371"/>
      <c r="DHS73" s="371"/>
      <c r="DHT73" s="371"/>
      <c r="DHU73" s="371"/>
      <c r="DHV73" s="371"/>
      <c r="DHW73" s="371"/>
      <c r="DHX73" s="371"/>
      <c r="DHY73" s="371"/>
      <c r="DHZ73" s="371"/>
      <c r="DIA73" s="371"/>
      <c r="DIB73" s="371"/>
      <c r="DIC73" s="382"/>
      <c r="DIG73" s="371"/>
      <c r="DIH73" s="371"/>
      <c r="DII73" s="371"/>
      <c r="DIJ73" s="371"/>
      <c r="DIK73" s="371"/>
      <c r="DIL73" s="371"/>
      <c r="DIM73" s="371"/>
      <c r="DIN73" s="371"/>
      <c r="DIO73" s="371"/>
      <c r="DIP73" s="371"/>
      <c r="DIQ73" s="371"/>
      <c r="DIR73" s="371"/>
      <c r="DIS73" s="371"/>
      <c r="DIT73" s="371"/>
      <c r="DIU73" s="371"/>
      <c r="DIV73" s="371"/>
      <c r="DIW73" s="371"/>
      <c r="DIX73" s="371"/>
      <c r="DIY73" s="371"/>
      <c r="DIZ73" s="371"/>
      <c r="DJA73" s="371"/>
      <c r="DJB73" s="371"/>
      <c r="DJC73" s="371"/>
      <c r="DJD73" s="371"/>
      <c r="DJE73" s="371"/>
      <c r="DJF73" s="371"/>
      <c r="DJG73" s="382"/>
      <c r="DJK73" s="371"/>
      <c r="DJL73" s="371"/>
      <c r="DJM73" s="371"/>
      <c r="DJN73" s="371"/>
      <c r="DJO73" s="371"/>
      <c r="DJP73" s="371"/>
      <c r="DJQ73" s="371"/>
      <c r="DJR73" s="371"/>
      <c r="DJS73" s="371"/>
      <c r="DJT73" s="371"/>
      <c r="DJU73" s="371"/>
      <c r="DJV73" s="371"/>
      <c r="DJW73" s="371"/>
      <c r="DJX73" s="371"/>
      <c r="DJY73" s="371"/>
      <c r="DJZ73" s="371"/>
      <c r="DKA73" s="371"/>
      <c r="DKB73" s="371"/>
      <c r="DKC73" s="371"/>
      <c r="DKD73" s="371"/>
      <c r="DKE73" s="371"/>
      <c r="DKF73" s="371"/>
      <c r="DKG73" s="371"/>
      <c r="DKH73" s="371"/>
      <c r="DKI73" s="371"/>
      <c r="DKJ73" s="371"/>
      <c r="DKK73" s="382"/>
      <c r="DKO73" s="371"/>
      <c r="DKP73" s="371"/>
      <c r="DKQ73" s="371"/>
      <c r="DKR73" s="371"/>
      <c r="DKS73" s="371"/>
      <c r="DKT73" s="371"/>
      <c r="DKU73" s="371"/>
      <c r="DKV73" s="371"/>
      <c r="DKW73" s="371"/>
      <c r="DKX73" s="371"/>
      <c r="DKY73" s="371"/>
      <c r="DKZ73" s="371"/>
      <c r="DLA73" s="371"/>
      <c r="DLB73" s="371"/>
      <c r="DLC73" s="371"/>
      <c r="DLD73" s="371"/>
      <c r="DLE73" s="371"/>
      <c r="DLF73" s="371"/>
      <c r="DLG73" s="371"/>
      <c r="DLH73" s="371"/>
      <c r="DLI73" s="371"/>
      <c r="DLJ73" s="371"/>
      <c r="DLK73" s="371"/>
      <c r="DLL73" s="371"/>
      <c r="DLM73" s="371"/>
      <c r="DLN73" s="371"/>
      <c r="DLO73" s="382"/>
      <c r="DLS73" s="371"/>
      <c r="DLT73" s="371"/>
      <c r="DLU73" s="371"/>
      <c r="DLV73" s="371"/>
      <c r="DLW73" s="371"/>
      <c r="DLX73" s="371"/>
      <c r="DLY73" s="371"/>
      <c r="DLZ73" s="371"/>
      <c r="DMA73" s="371"/>
      <c r="DMB73" s="371"/>
      <c r="DMC73" s="371"/>
      <c r="DMD73" s="371"/>
      <c r="DME73" s="371"/>
      <c r="DMF73" s="371"/>
      <c r="DMG73" s="371"/>
      <c r="DMH73" s="371"/>
      <c r="DMI73" s="371"/>
      <c r="DMJ73" s="371"/>
      <c r="DMK73" s="371"/>
      <c r="DML73" s="371"/>
      <c r="DMM73" s="371"/>
      <c r="DMN73" s="371"/>
      <c r="DMO73" s="371"/>
      <c r="DMP73" s="371"/>
      <c r="DMQ73" s="371"/>
      <c r="DMR73" s="371"/>
      <c r="DMS73" s="382"/>
      <c r="DMW73" s="371"/>
      <c r="DMX73" s="371"/>
      <c r="DMY73" s="371"/>
      <c r="DMZ73" s="371"/>
      <c r="DNA73" s="371"/>
      <c r="DNB73" s="371"/>
      <c r="DNC73" s="371"/>
      <c r="DND73" s="371"/>
      <c r="DNE73" s="371"/>
      <c r="DNF73" s="371"/>
      <c r="DNG73" s="371"/>
      <c r="DNH73" s="371"/>
      <c r="DNI73" s="371"/>
      <c r="DNJ73" s="371"/>
      <c r="DNK73" s="371"/>
      <c r="DNL73" s="371"/>
      <c r="DNM73" s="371"/>
      <c r="DNN73" s="371"/>
      <c r="DNO73" s="371"/>
      <c r="DNP73" s="371"/>
      <c r="DNQ73" s="371"/>
      <c r="DNR73" s="371"/>
      <c r="DNS73" s="371"/>
      <c r="DNT73" s="371"/>
      <c r="DNU73" s="371"/>
      <c r="DNV73" s="371"/>
      <c r="DNW73" s="382"/>
      <c r="DOA73" s="371"/>
      <c r="DOB73" s="371"/>
      <c r="DOC73" s="371"/>
      <c r="DOD73" s="371"/>
      <c r="DOE73" s="371"/>
      <c r="DOF73" s="371"/>
      <c r="DOG73" s="371"/>
      <c r="DOH73" s="371"/>
      <c r="DOI73" s="371"/>
      <c r="DOJ73" s="371"/>
      <c r="DOK73" s="371"/>
      <c r="DOL73" s="371"/>
      <c r="DOM73" s="371"/>
      <c r="DON73" s="371"/>
      <c r="DOO73" s="371"/>
      <c r="DOP73" s="371"/>
      <c r="DOQ73" s="371"/>
      <c r="DOR73" s="371"/>
      <c r="DOS73" s="371"/>
      <c r="DOT73" s="371"/>
      <c r="DOU73" s="371"/>
      <c r="DOV73" s="371"/>
      <c r="DOW73" s="371"/>
      <c r="DOX73" s="371"/>
      <c r="DOY73" s="371"/>
      <c r="DOZ73" s="371"/>
      <c r="DPA73" s="382"/>
      <c r="DPE73" s="371"/>
      <c r="DPF73" s="371"/>
      <c r="DPG73" s="371"/>
      <c r="DPH73" s="371"/>
      <c r="DPI73" s="371"/>
      <c r="DPJ73" s="371"/>
      <c r="DPK73" s="371"/>
      <c r="DPL73" s="371"/>
      <c r="DPM73" s="371"/>
      <c r="DPN73" s="371"/>
      <c r="DPO73" s="371"/>
      <c r="DPP73" s="371"/>
      <c r="DPQ73" s="371"/>
      <c r="DPR73" s="371"/>
      <c r="DPS73" s="371"/>
      <c r="DPT73" s="371"/>
      <c r="DPU73" s="371"/>
      <c r="DPV73" s="371"/>
      <c r="DPW73" s="371"/>
      <c r="DPX73" s="371"/>
      <c r="DPY73" s="371"/>
      <c r="DPZ73" s="371"/>
      <c r="DQA73" s="371"/>
      <c r="DQB73" s="371"/>
      <c r="DQC73" s="371"/>
      <c r="DQD73" s="371"/>
      <c r="DQE73" s="382"/>
      <c r="DQI73" s="371"/>
      <c r="DQJ73" s="371"/>
      <c r="DQK73" s="371"/>
      <c r="DQL73" s="371"/>
      <c r="DQM73" s="371"/>
      <c r="DQN73" s="371"/>
      <c r="DQO73" s="371"/>
      <c r="DQP73" s="371"/>
      <c r="DQQ73" s="371"/>
      <c r="DQR73" s="371"/>
      <c r="DQS73" s="371"/>
      <c r="DQT73" s="371"/>
      <c r="DQU73" s="371"/>
      <c r="DQV73" s="371"/>
      <c r="DQW73" s="371"/>
      <c r="DQX73" s="371"/>
      <c r="DQY73" s="371"/>
      <c r="DQZ73" s="371"/>
      <c r="DRA73" s="371"/>
      <c r="DRB73" s="371"/>
      <c r="DRC73" s="371"/>
      <c r="DRD73" s="371"/>
      <c r="DRE73" s="371"/>
      <c r="DRF73" s="371"/>
      <c r="DRG73" s="371"/>
      <c r="DRH73" s="371"/>
      <c r="DRI73" s="382"/>
      <c r="DRM73" s="371"/>
      <c r="DRN73" s="371"/>
      <c r="DRO73" s="371"/>
      <c r="DRP73" s="371"/>
      <c r="DRQ73" s="371"/>
      <c r="DRR73" s="371"/>
      <c r="DRS73" s="371"/>
      <c r="DRT73" s="371"/>
      <c r="DRU73" s="371"/>
      <c r="DRV73" s="371"/>
      <c r="DRW73" s="371"/>
      <c r="DRX73" s="371"/>
      <c r="DRY73" s="371"/>
      <c r="DRZ73" s="371"/>
      <c r="DSA73" s="371"/>
      <c r="DSB73" s="371"/>
      <c r="DSC73" s="371"/>
      <c r="DSD73" s="371"/>
      <c r="DSE73" s="371"/>
      <c r="DSF73" s="371"/>
      <c r="DSG73" s="371"/>
      <c r="DSH73" s="371"/>
      <c r="DSI73" s="371"/>
      <c r="DSJ73" s="371"/>
      <c r="DSK73" s="371"/>
      <c r="DSL73" s="371"/>
      <c r="DSM73" s="382"/>
      <c r="DSQ73" s="371"/>
      <c r="DSR73" s="371"/>
      <c r="DSS73" s="371"/>
      <c r="DST73" s="371"/>
      <c r="DSU73" s="371"/>
      <c r="DSV73" s="371"/>
      <c r="DSW73" s="371"/>
      <c r="DSX73" s="371"/>
      <c r="DSY73" s="371"/>
      <c r="DSZ73" s="371"/>
      <c r="DTA73" s="371"/>
      <c r="DTB73" s="371"/>
      <c r="DTC73" s="371"/>
      <c r="DTD73" s="371"/>
      <c r="DTE73" s="371"/>
      <c r="DTF73" s="371"/>
      <c r="DTG73" s="371"/>
      <c r="DTH73" s="371"/>
      <c r="DTI73" s="371"/>
      <c r="DTJ73" s="371"/>
      <c r="DTK73" s="371"/>
      <c r="DTL73" s="371"/>
      <c r="DTM73" s="371"/>
      <c r="DTN73" s="371"/>
      <c r="DTO73" s="371"/>
      <c r="DTP73" s="371"/>
      <c r="DTQ73" s="382"/>
      <c r="DTU73" s="371"/>
      <c r="DTV73" s="371"/>
      <c r="DTW73" s="371"/>
      <c r="DTX73" s="371"/>
      <c r="DTY73" s="371"/>
      <c r="DTZ73" s="371"/>
      <c r="DUA73" s="371"/>
      <c r="DUB73" s="371"/>
      <c r="DUC73" s="371"/>
      <c r="DUD73" s="371"/>
      <c r="DUE73" s="371"/>
      <c r="DUF73" s="371"/>
      <c r="DUG73" s="371"/>
      <c r="DUH73" s="371"/>
      <c r="DUI73" s="371"/>
      <c r="DUJ73" s="371"/>
      <c r="DUK73" s="371"/>
      <c r="DUL73" s="371"/>
      <c r="DUM73" s="371"/>
      <c r="DUN73" s="371"/>
      <c r="DUO73" s="371"/>
      <c r="DUP73" s="371"/>
      <c r="DUQ73" s="371"/>
      <c r="DUR73" s="371"/>
      <c r="DUS73" s="371"/>
      <c r="DUT73" s="371"/>
      <c r="DUU73" s="382"/>
      <c r="DUY73" s="371"/>
      <c r="DUZ73" s="371"/>
      <c r="DVA73" s="371"/>
      <c r="DVB73" s="371"/>
      <c r="DVC73" s="371"/>
      <c r="DVD73" s="371"/>
      <c r="DVE73" s="371"/>
      <c r="DVF73" s="371"/>
      <c r="DVG73" s="371"/>
      <c r="DVH73" s="371"/>
      <c r="DVI73" s="371"/>
      <c r="DVJ73" s="371"/>
      <c r="DVK73" s="371"/>
      <c r="DVL73" s="371"/>
      <c r="DVM73" s="371"/>
      <c r="DVN73" s="371"/>
      <c r="DVO73" s="371"/>
      <c r="DVP73" s="371"/>
      <c r="DVQ73" s="371"/>
      <c r="DVR73" s="371"/>
      <c r="DVS73" s="371"/>
      <c r="DVT73" s="371"/>
      <c r="DVU73" s="371"/>
      <c r="DVV73" s="371"/>
      <c r="DVW73" s="371"/>
      <c r="DVX73" s="371"/>
      <c r="DVY73" s="382"/>
      <c r="DWC73" s="371"/>
      <c r="DWD73" s="371"/>
      <c r="DWE73" s="371"/>
      <c r="DWF73" s="371"/>
      <c r="DWG73" s="371"/>
      <c r="DWH73" s="371"/>
      <c r="DWI73" s="371"/>
      <c r="DWJ73" s="371"/>
      <c r="DWK73" s="371"/>
      <c r="DWL73" s="371"/>
      <c r="DWM73" s="371"/>
      <c r="DWN73" s="371"/>
      <c r="DWO73" s="371"/>
      <c r="DWP73" s="371"/>
      <c r="DWQ73" s="371"/>
      <c r="DWR73" s="371"/>
      <c r="DWS73" s="371"/>
      <c r="DWT73" s="371"/>
      <c r="DWU73" s="371"/>
      <c r="DWV73" s="371"/>
      <c r="DWW73" s="371"/>
      <c r="DWX73" s="371"/>
      <c r="DWY73" s="371"/>
      <c r="DWZ73" s="371"/>
      <c r="DXA73" s="371"/>
      <c r="DXB73" s="371"/>
      <c r="DXC73" s="382"/>
      <c r="DXG73" s="371"/>
      <c r="DXH73" s="371"/>
      <c r="DXI73" s="371"/>
      <c r="DXJ73" s="371"/>
      <c r="DXK73" s="371"/>
      <c r="DXL73" s="371"/>
      <c r="DXM73" s="371"/>
      <c r="DXN73" s="371"/>
      <c r="DXO73" s="371"/>
      <c r="DXP73" s="371"/>
      <c r="DXQ73" s="371"/>
      <c r="DXR73" s="371"/>
      <c r="DXS73" s="371"/>
      <c r="DXT73" s="371"/>
      <c r="DXU73" s="371"/>
      <c r="DXV73" s="371"/>
      <c r="DXW73" s="371"/>
      <c r="DXX73" s="371"/>
      <c r="DXY73" s="371"/>
      <c r="DXZ73" s="371"/>
      <c r="DYA73" s="371"/>
      <c r="DYB73" s="371"/>
      <c r="DYC73" s="371"/>
      <c r="DYD73" s="371"/>
      <c r="DYE73" s="371"/>
      <c r="DYF73" s="371"/>
      <c r="DYG73" s="382"/>
      <c r="DYK73" s="371"/>
      <c r="DYL73" s="371"/>
      <c r="DYM73" s="371"/>
      <c r="DYN73" s="371"/>
      <c r="DYO73" s="371"/>
      <c r="DYP73" s="371"/>
      <c r="DYQ73" s="371"/>
      <c r="DYR73" s="371"/>
      <c r="DYS73" s="371"/>
      <c r="DYT73" s="371"/>
      <c r="DYU73" s="371"/>
      <c r="DYV73" s="371"/>
      <c r="DYW73" s="371"/>
      <c r="DYX73" s="371"/>
      <c r="DYY73" s="371"/>
      <c r="DYZ73" s="371"/>
      <c r="DZA73" s="371"/>
      <c r="DZB73" s="371"/>
      <c r="DZC73" s="371"/>
      <c r="DZD73" s="371"/>
      <c r="DZE73" s="371"/>
      <c r="DZF73" s="371"/>
      <c r="DZG73" s="371"/>
      <c r="DZH73" s="371"/>
      <c r="DZI73" s="371"/>
      <c r="DZJ73" s="371"/>
      <c r="DZK73" s="382"/>
      <c r="DZO73" s="371"/>
      <c r="DZP73" s="371"/>
      <c r="DZQ73" s="371"/>
      <c r="DZR73" s="371"/>
      <c r="DZS73" s="371"/>
      <c r="DZT73" s="371"/>
      <c r="DZU73" s="371"/>
      <c r="DZV73" s="371"/>
      <c r="DZW73" s="371"/>
      <c r="DZX73" s="371"/>
      <c r="DZY73" s="371"/>
      <c r="DZZ73" s="371"/>
      <c r="EAA73" s="371"/>
      <c r="EAB73" s="371"/>
      <c r="EAC73" s="371"/>
      <c r="EAD73" s="371"/>
      <c r="EAE73" s="371"/>
      <c r="EAF73" s="371"/>
      <c r="EAG73" s="371"/>
      <c r="EAH73" s="371"/>
      <c r="EAI73" s="371"/>
      <c r="EAJ73" s="371"/>
      <c r="EAK73" s="371"/>
      <c r="EAL73" s="371"/>
      <c r="EAM73" s="371"/>
      <c r="EAN73" s="371"/>
      <c r="EAO73" s="382"/>
      <c r="EAS73" s="371"/>
      <c r="EAT73" s="371"/>
      <c r="EAU73" s="371"/>
      <c r="EAV73" s="371"/>
      <c r="EAW73" s="371"/>
      <c r="EAX73" s="371"/>
      <c r="EAY73" s="371"/>
      <c r="EAZ73" s="371"/>
      <c r="EBA73" s="371"/>
      <c r="EBB73" s="371"/>
      <c r="EBC73" s="371"/>
      <c r="EBD73" s="371"/>
      <c r="EBE73" s="371"/>
      <c r="EBF73" s="371"/>
      <c r="EBG73" s="371"/>
      <c r="EBH73" s="371"/>
      <c r="EBI73" s="371"/>
      <c r="EBJ73" s="371"/>
      <c r="EBK73" s="371"/>
      <c r="EBL73" s="371"/>
      <c r="EBM73" s="371"/>
      <c r="EBN73" s="371"/>
      <c r="EBO73" s="371"/>
      <c r="EBP73" s="371"/>
      <c r="EBQ73" s="371"/>
      <c r="EBR73" s="371"/>
      <c r="EBS73" s="382"/>
      <c r="EBW73" s="371"/>
      <c r="EBX73" s="371"/>
      <c r="EBY73" s="371"/>
      <c r="EBZ73" s="371"/>
      <c r="ECA73" s="371"/>
      <c r="ECB73" s="371"/>
      <c r="ECC73" s="371"/>
      <c r="ECD73" s="371"/>
      <c r="ECE73" s="371"/>
      <c r="ECF73" s="371"/>
      <c r="ECG73" s="371"/>
      <c r="ECH73" s="371"/>
      <c r="ECI73" s="371"/>
      <c r="ECJ73" s="371"/>
      <c r="ECK73" s="371"/>
      <c r="ECL73" s="371"/>
      <c r="ECM73" s="371"/>
      <c r="ECN73" s="371"/>
      <c r="ECO73" s="371"/>
      <c r="ECP73" s="371"/>
      <c r="ECQ73" s="371"/>
      <c r="ECR73" s="371"/>
      <c r="ECS73" s="371"/>
      <c r="ECT73" s="371"/>
      <c r="ECU73" s="371"/>
      <c r="ECV73" s="371"/>
      <c r="ECW73" s="382"/>
      <c r="EDA73" s="371"/>
      <c r="EDB73" s="371"/>
      <c r="EDC73" s="371"/>
      <c r="EDD73" s="371"/>
      <c r="EDE73" s="371"/>
      <c r="EDF73" s="371"/>
      <c r="EDG73" s="371"/>
      <c r="EDH73" s="371"/>
      <c r="EDI73" s="371"/>
      <c r="EDJ73" s="371"/>
      <c r="EDK73" s="371"/>
      <c r="EDL73" s="371"/>
      <c r="EDM73" s="371"/>
      <c r="EDN73" s="371"/>
      <c r="EDO73" s="371"/>
      <c r="EDP73" s="371"/>
      <c r="EDQ73" s="371"/>
      <c r="EDR73" s="371"/>
      <c r="EDS73" s="371"/>
      <c r="EDT73" s="371"/>
      <c r="EDU73" s="371"/>
      <c r="EDV73" s="371"/>
      <c r="EDW73" s="371"/>
      <c r="EDX73" s="371"/>
      <c r="EDY73" s="371"/>
      <c r="EDZ73" s="371"/>
      <c r="EEA73" s="382"/>
      <c r="EEE73" s="371"/>
      <c r="EEF73" s="371"/>
      <c r="EEG73" s="371"/>
      <c r="EEH73" s="371"/>
      <c r="EEI73" s="371"/>
      <c r="EEJ73" s="371"/>
      <c r="EEK73" s="371"/>
      <c r="EEL73" s="371"/>
      <c r="EEM73" s="371"/>
      <c r="EEN73" s="371"/>
      <c r="EEO73" s="371"/>
      <c r="EEP73" s="371"/>
      <c r="EEQ73" s="371"/>
      <c r="EER73" s="371"/>
      <c r="EES73" s="371"/>
      <c r="EET73" s="371"/>
      <c r="EEU73" s="371"/>
      <c r="EEV73" s="371"/>
      <c r="EEW73" s="371"/>
      <c r="EEX73" s="371"/>
      <c r="EEY73" s="371"/>
      <c r="EEZ73" s="371"/>
      <c r="EFA73" s="371"/>
      <c r="EFB73" s="371"/>
      <c r="EFC73" s="371"/>
      <c r="EFD73" s="371"/>
      <c r="EFE73" s="382"/>
      <c r="EFI73" s="371"/>
      <c r="EFJ73" s="371"/>
      <c r="EFK73" s="371"/>
      <c r="EFL73" s="371"/>
      <c r="EFM73" s="371"/>
      <c r="EFN73" s="371"/>
      <c r="EFO73" s="371"/>
      <c r="EFP73" s="371"/>
      <c r="EFQ73" s="371"/>
      <c r="EFR73" s="371"/>
      <c r="EFS73" s="371"/>
      <c r="EFT73" s="371"/>
      <c r="EFU73" s="371"/>
      <c r="EFV73" s="371"/>
      <c r="EFW73" s="371"/>
      <c r="EFX73" s="371"/>
      <c r="EFY73" s="371"/>
      <c r="EFZ73" s="371"/>
      <c r="EGA73" s="371"/>
      <c r="EGB73" s="371"/>
      <c r="EGC73" s="371"/>
      <c r="EGD73" s="371"/>
      <c r="EGE73" s="371"/>
      <c r="EGF73" s="371"/>
      <c r="EGG73" s="371"/>
      <c r="EGH73" s="371"/>
      <c r="EGI73" s="382"/>
      <c r="EGM73" s="371"/>
      <c r="EGN73" s="371"/>
      <c r="EGO73" s="371"/>
      <c r="EGP73" s="371"/>
      <c r="EGQ73" s="371"/>
      <c r="EGR73" s="371"/>
      <c r="EGS73" s="371"/>
      <c r="EGT73" s="371"/>
      <c r="EGU73" s="371"/>
      <c r="EGV73" s="371"/>
      <c r="EGW73" s="371"/>
      <c r="EGX73" s="371"/>
      <c r="EGY73" s="371"/>
      <c r="EGZ73" s="371"/>
      <c r="EHA73" s="371"/>
      <c r="EHB73" s="371"/>
      <c r="EHC73" s="371"/>
      <c r="EHD73" s="371"/>
      <c r="EHE73" s="371"/>
      <c r="EHF73" s="371"/>
      <c r="EHG73" s="371"/>
      <c r="EHH73" s="371"/>
      <c r="EHI73" s="371"/>
      <c r="EHJ73" s="371"/>
      <c r="EHK73" s="371"/>
      <c r="EHL73" s="371"/>
      <c r="EHM73" s="382"/>
      <c r="EHQ73" s="371"/>
      <c r="EHR73" s="371"/>
      <c r="EHS73" s="371"/>
      <c r="EHT73" s="371"/>
      <c r="EHU73" s="371"/>
      <c r="EHV73" s="371"/>
      <c r="EHW73" s="371"/>
      <c r="EHX73" s="371"/>
      <c r="EHY73" s="371"/>
      <c r="EHZ73" s="371"/>
      <c r="EIA73" s="371"/>
      <c r="EIB73" s="371"/>
      <c r="EIC73" s="371"/>
      <c r="EID73" s="371"/>
      <c r="EIE73" s="371"/>
      <c r="EIF73" s="371"/>
      <c r="EIG73" s="371"/>
      <c r="EIH73" s="371"/>
      <c r="EII73" s="371"/>
      <c r="EIJ73" s="371"/>
      <c r="EIK73" s="371"/>
      <c r="EIL73" s="371"/>
      <c r="EIM73" s="371"/>
      <c r="EIN73" s="371"/>
      <c r="EIO73" s="371"/>
      <c r="EIP73" s="371"/>
      <c r="EIQ73" s="382"/>
      <c r="EIU73" s="371"/>
      <c r="EIV73" s="371"/>
      <c r="EIW73" s="371"/>
      <c r="EIX73" s="371"/>
      <c r="EIY73" s="371"/>
      <c r="EIZ73" s="371"/>
      <c r="EJA73" s="371"/>
      <c r="EJB73" s="371"/>
      <c r="EJC73" s="371"/>
      <c r="EJD73" s="371"/>
      <c r="EJE73" s="371"/>
      <c r="EJF73" s="371"/>
      <c r="EJG73" s="371"/>
      <c r="EJH73" s="371"/>
      <c r="EJI73" s="371"/>
      <c r="EJJ73" s="371"/>
      <c r="EJK73" s="371"/>
      <c r="EJL73" s="371"/>
      <c r="EJM73" s="371"/>
      <c r="EJN73" s="371"/>
      <c r="EJO73" s="371"/>
      <c r="EJP73" s="371"/>
      <c r="EJQ73" s="371"/>
      <c r="EJR73" s="371"/>
      <c r="EJS73" s="371"/>
      <c r="EJT73" s="371"/>
      <c r="EJU73" s="382"/>
      <c r="EJY73" s="371"/>
      <c r="EJZ73" s="371"/>
      <c r="EKA73" s="371"/>
      <c r="EKB73" s="371"/>
      <c r="EKC73" s="371"/>
      <c r="EKD73" s="371"/>
      <c r="EKE73" s="371"/>
      <c r="EKF73" s="371"/>
      <c r="EKG73" s="371"/>
      <c r="EKH73" s="371"/>
      <c r="EKI73" s="371"/>
      <c r="EKJ73" s="371"/>
      <c r="EKK73" s="371"/>
      <c r="EKL73" s="371"/>
      <c r="EKM73" s="371"/>
      <c r="EKN73" s="371"/>
      <c r="EKO73" s="371"/>
      <c r="EKP73" s="371"/>
      <c r="EKQ73" s="371"/>
      <c r="EKR73" s="371"/>
      <c r="EKS73" s="371"/>
      <c r="EKT73" s="371"/>
      <c r="EKU73" s="371"/>
      <c r="EKV73" s="371"/>
      <c r="EKW73" s="371"/>
      <c r="EKX73" s="371"/>
      <c r="EKY73" s="382"/>
      <c r="ELC73" s="371"/>
      <c r="ELD73" s="371"/>
      <c r="ELE73" s="371"/>
      <c r="ELF73" s="371"/>
      <c r="ELG73" s="371"/>
      <c r="ELH73" s="371"/>
      <c r="ELI73" s="371"/>
      <c r="ELJ73" s="371"/>
      <c r="ELK73" s="371"/>
      <c r="ELL73" s="371"/>
      <c r="ELM73" s="371"/>
      <c r="ELN73" s="371"/>
      <c r="ELO73" s="371"/>
      <c r="ELP73" s="371"/>
      <c r="ELQ73" s="371"/>
      <c r="ELR73" s="371"/>
      <c r="ELS73" s="371"/>
      <c r="ELT73" s="371"/>
      <c r="ELU73" s="371"/>
      <c r="ELV73" s="371"/>
      <c r="ELW73" s="371"/>
      <c r="ELX73" s="371"/>
      <c r="ELY73" s="371"/>
      <c r="ELZ73" s="371"/>
      <c r="EMA73" s="371"/>
      <c r="EMB73" s="371"/>
      <c r="EMC73" s="382"/>
      <c r="EMG73" s="371"/>
      <c r="EMH73" s="371"/>
      <c r="EMI73" s="371"/>
      <c r="EMJ73" s="371"/>
      <c r="EMK73" s="371"/>
      <c r="EML73" s="371"/>
      <c r="EMM73" s="371"/>
      <c r="EMN73" s="371"/>
      <c r="EMO73" s="371"/>
      <c r="EMP73" s="371"/>
      <c r="EMQ73" s="371"/>
      <c r="EMR73" s="371"/>
      <c r="EMS73" s="371"/>
      <c r="EMT73" s="371"/>
      <c r="EMU73" s="371"/>
      <c r="EMV73" s="371"/>
      <c r="EMW73" s="371"/>
      <c r="EMX73" s="371"/>
      <c r="EMY73" s="371"/>
      <c r="EMZ73" s="371"/>
      <c r="ENA73" s="371"/>
      <c r="ENB73" s="371"/>
      <c r="ENC73" s="371"/>
      <c r="END73" s="371"/>
      <c r="ENE73" s="371"/>
      <c r="ENF73" s="371"/>
      <c r="ENG73" s="382"/>
      <c r="ENK73" s="371"/>
      <c r="ENL73" s="371"/>
      <c r="ENM73" s="371"/>
      <c r="ENN73" s="371"/>
      <c r="ENO73" s="371"/>
      <c r="ENP73" s="371"/>
      <c r="ENQ73" s="371"/>
      <c r="ENR73" s="371"/>
      <c r="ENS73" s="371"/>
      <c r="ENT73" s="371"/>
      <c r="ENU73" s="371"/>
      <c r="ENV73" s="371"/>
      <c r="ENW73" s="371"/>
      <c r="ENX73" s="371"/>
      <c r="ENY73" s="371"/>
      <c r="ENZ73" s="371"/>
      <c r="EOA73" s="371"/>
      <c r="EOB73" s="371"/>
      <c r="EOC73" s="371"/>
      <c r="EOD73" s="371"/>
      <c r="EOE73" s="371"/>
      <c r="EOF73" s="371"/>
      <c r="EOG73" s="371"/>
      <c r="EOH73" s="371"/>
      <c r="EOI73" s="371"/>
      <c r="EOJ73" s="371"/>
      <c r="EOK73" s="382"/>
      <c r="EOO73" s="371"/>
      <c r="EOP73" s="371"/>
      <c r="EOQ73" s="371"/>
      <c r="EOR73" s="371"/>
      <c r="EOS73" s="371"/>
      <c r="EOT73" s="371"/>
      <c r="EOU73" s="371"/>
      <c r="EOV73" s="371"/>
      <c r="EOW73" s="371"/>
      <c r="EOX73" s="371"/>
      <c r="EOY73" s="371"/>
      <c r="EOZ73" s="371"/>
      <c r="EPA73" s="371"/>
      <c r="EPB73" s="371"/>
      <c r="EPC73" s="371"/>
      <c r="EPD73" s="371"/>
      <c r="EPE73" s="371"/>
      <c r="EPF73" s="371"/>
      <c r="EPG73" s="371"/>
      <c r="EPH73" s="371"/>
      <c r="EPI73" s="371"/>
      <c r="EPJ73" s="371"/>
      <c r="EPK73" s="371"/>
      <c r="EPL73" s="371"/>
      <c r="EPM73" s="371"/>
      <c r="EPN73" s="371"/>
      <c r="EPO73" s="382"/>
      <c r="EPS73" s="371"/>
      <c r="EPT73" s="371"/>
      <c r="EPU73" s="371"/>
      <c r="EPV73" s="371"/>
      <c r="EPW73" s="371"/>
      <c r="EPX73" s="371"/>
      <c r="EPY73" s="371"/>
      <c r="EPZ73" s="371"/>
      <c r="EQA73" s="371"/>
      <c r="EQB73" s="371"/>
      <c r="EQC73" s="371"/>
      <c r="EQD73" s="371"/>
      <c r="EQE73" s="371"/>
      <c r="EQF73" s="371"/>
      <c r="EQG73" s="371"/>
      <c r="EQH73" s="371"/>
      <c r="EQI73" s="371"/>
      <c r="EQJ73" s="371"/>
      <c r="EQK73" s="371"/>
      <c r="EQL73" s="371"/>
      <c r="EQM73" s="371"/>
      <c r="EQN73" s="371"/>
      <c r="EQO73" s="371"/>
      <c r="EQP73" s="371"/>
      <c r="EQQ73" s="371"/>
      <c r="EQR73" s="371"/>
      <c r="EQS73" s="382"/>
      <c r="EQW73" s="371"/>
      <c r="EQX73" s="371"/>
      <c r="EQY73" s="371"/>
      <c r="EQZ73" s="371"/>
      <c r="ERA73" s="371"/>
      <c r="ERB73" s="371"/>
      <c r="ERC73" s="371"/>
      <c r="ERD73" s="371"/>
      <c r="ERE73" s="371"/>
      <c r="ERF73" s="371"/>
      <c r="ERG73" s="371"/>
      <c r="ERH73" s="371"/>
      <c r="ERI73" s="371"/>
      <c r="ERJ73" s="371"/>
      <c r="ERK73" s="371"/>
      <c r="ERL73" s="371"/>
      <c r="ERM73" s="371"/>
      <c r="ERN73" s="371"/>
      <c r="ERO73" s="371"/>
      <c r="ERP73" s="371"/>
      <c r="ERQ73" s="371"/>
      <c r="ERR73" s="371"/>
      <c r="ERS73" s="371"/>
      <c r="ERT73" s="371"/>
      <c r="ERU73" s="371"/>
      <c r="ERV73" s="371"/>
      <c r="ERW73" s="382"/>
      <c r="ESA73" s="371"/>
      <c r="ESB73" s="371"/>
      <c r="ESC73" s="371"/>
      <c r="ESD73" s="371"/>
      <c r="ESE73" s="371"/>
      <c r="ESF73" s="371"/>
      <c r="ESG73" s="371"/>
      <c r="ESH73" s="371"/>
      <c r="ESI73" s="371"/>
      <c r="ESJ73" s="371"/>
      <c r="ESK73" s="371"/>
      <c r="ESL73" s="371"/>
      <c r="ESM73" s="371"/>
      <c r="ESN73" s="371"/>
      <c r="ESO73" s="371"/>
      <c r="ESP73" s="371"/>
      <c r="ESQ73" s="371"/>
      <c r="ESR73" s="371"/>
      <c r="ESS73" s="371"/>
      <c r="EST73" s="371"/>
      <c r="ESU73" s="371"/>
      <c r="ESV73" s="371"/>
      <c r="ESW73" s="371"/>
      <c r="ESX73" s="371"/>
      <c r="ESY73" s="371"/>
      <c r="ESZ73" s="371"/>
      <c r="ETA73" s="382"/>
      <c r="ETE73" s="371"/>
      <c r="ETF73" s="371"/>
      <c r="ETG73" s="371"/>
      <c r="ETH73" s="371"/>
      <c r="ETI73" s="371"/>
      <c r="ETJ73" s="371"/>
      <c r="ETK73" s="371"/>
      <c r="ETL73" s="371"/>
      <c r="ETM73" s="371"/>
      <c r="ETN73" s="371"/>
      <c r="ETO73" s="371"/>
      <c r="ETP73" s="371"/>
      <c r="ETQ73" s="371"/>
      <c r="ETR73" s="371"/>
      <c r="ETS73" s="371"/>
      <c r="ETT73" s="371"/>
      <c r="ETU73" s="371"/>
      <c r="ETV73" s="371"/>
      <c r="ETW73" s="371"/>
      <c r="ETX73" s="371"/>
      <c r="ETY73" s="371"/>
      <c r="ETZ73" s="371"/>
      <c r="EUA73" s="371"/>
      <c r="EUB73" s="371"/>
      <c r="EUC73" s="371"/>
      <c r="EUD73" s="371"/>
      <c r="EUE73" s="382"/>
      <c r="EUI73" s="371"/>
      <c r="EUJ73" s="371"/>
      <c r="EUK73" s="371"/>
      <c r="EUL73" s="371"/>
      <c r="EUM73" s="371"/>
      <c r="EUN73" s="371"/>
      <c r="EUO73" s="371"/>
      <c r="EUP73" s="371"/>
      <c r="EUQ73" s="371"/>
      <c r="EUR73" s="371"/>
      <c r="EUS73" s="371"/>
      <c r="EUT73" s="371"/>
      <c r="EUU73" s="371"/>
      <c r="EUV73" s="371"/>
      <c r="EUW73" s="371"/>
      <c r="EUX73" s="371"/>
      <c r="EUY73" s="371"/>
      <c r="EUZ73" s="371"/>
      <c r="EVA73" s="371"/>
      <c r="EVB73" s="371"/>
      <c r="EVC73" s="371"/>
      <c r="EVD73" s="371"/>
      <c r="EVE73" s="371"/>
      <c r="EVF73" s="371"/>
      <c r="EVG73" s="371"/>
      <c r="EVH73" s="371"/>
      <c r="EVI73" s="382"/>
      <c r="EVM73" s="371"/>
      <c r="EVN73" s="371"/>
      <c r="EVO73" s="371"/>
      <c r="EVP73" s="371"/>
      <c r="EVQ73" s="371"/>
      <c r="EVR73" s="371"/>
      <c r="EVS73" s="371"/>
      <c r="EVT73" s="371"/>
      <c r="EVU73" s="371"/>
      <c r="EVV73" s="371"/>
      <c r="EVW73" s="371"/>
      <c r="EVX73" s="371"/>
      <c r="EVY73" s="371"/>
      <c r="EVZ73" s="371"/>
      <c r="EWA73" s="371"/>
      <c r="EWB73" s="371"/>
      <c r="EWC73" s="371"/>
      <c r="EWD73" s="371"/>
      <c r="EWE73" s="371"/>
      <c r="EWF73" s="371"/>
      <c r="EWG73" s="371"/>
      <c r="EWH73" s="371"/>
      <c r="EWI73" s="371"/>
      <c r="EWJ73" s="371"/>
      <c r="EWK73" s="371"/>
      <c r="EWL73" s="371"/>
      <c r="EWM73" s="382"/>
      <c r="EWQ73" s="371"/>
      <c r="EWR73" s="371"/>
      <c r="EWS73" s="371"/>
      <c r="EWT73" s="371"/>
      <c r="EWU73" s="371"/>
      <c r="EWV73" s="371"/>
      <c r="EWW73" s="371"/>
      <c r="EWX73" s="371"/>
      <c r="EWY73" s="371"/>
      <c r="EWZ73" s="371"/>
      <c r="EXA73" s="371"/>
      <c r="EXB73" s="371"/>
      <c r="EXC73" s="371"/>
      <c r="EXD73" s="371"/>
      <c r="EXE73" s="371"/>
      <c r="EXF73" s="371"/>
      <c r="EXG73" s="371"/>
      <c r="EXH73" s="371"/>
      <c r="EXI73" s="371"/>
      <c r="EXJ73" s="371"/>
      <c r="EXK73" s="371"/>
      <c r="EXL73" s="371"/>
      <c r="EXM73" s="371"/>
      <c r="EXN73" s="371"/>
      <c r="EXO73" s="371"/>
      <c r="EXP73" s="371"/>
      <c r="EXQ73" s="382"/>
      <c r="EXU73" s="371"/>
      <c r="EXV73" s="371"/>
      <c r="EXW73" s="371"/>
      <c r="EXX73" s="371"/>
      <c r="EXY73" s="371"/>
      <c r="EXZ73" s="371"/>
      <c r="EYA73" s="371"/>
      <c r="EYB73" s="371"/>
      <c r="EYC73" s="371"/>
      <c r="EYD73" s="371"/>
      <c r="EYE73" s="371"/>
      <c r="EYF73" s="371"/>
      <c r="EYG73" s="371"/>
      <c r="EYH73" s="371"/>
      <c r="EYI73" s="371"/>
      <c r="EYJ73" s="371"/>
      <c r="EYK73" s="371"/>
      <c r="EYL73" s="371"/>
      <c r="EYM73" s="371"/>
      <c r="EYN73" s="371"/>
      <c r="EYO73" s="371"/>
      <c r="EYP73" s="371"/>
      <c r="EYQ73" s="371"/>
      <c r="EYR73" s="371"/>
      <c r="EYS73" s="371"/>
      <c r="EYT73" s="371"/>
      <c r="EYU73" s="382"/>
      <c r="EYY73" s="371"/>
      <c r="EYZ73" s="371"/>
      <c r="EZA73" s="371"/>
      <c r="EZB73" s="371"/>
      <c r="EZC73" s="371"/>
      <c r="EZD73" s="371"/>
      <c r="EZE73" s="371"/>
      <c r="EZF73" s="371"/>
      <c r="EZG73" s="371"/>
      <c r="EZH73" s="371"/>
      <c r="EZI73" s="371"/>
      <c r="EZJ73" s="371"/>
      <c r="EZK73" s="371"/>
      <c r="EZL73" s="371"/>
      <c r="EZM73" s="371"/>
      <c r="EZN73" s="371"/>
      <c r="EZO73" s="371"/>
      <c r="EZP73" s="371"/>
      <c r="EZQ73" s="371"/>
      <c r="EZR73" s="371"/>
      <c r="EZS73" s="371"/>
      <c r="EZT73" s="371"/>
      <c r="EZU73" s="371"/>
      <c r="EZV73" s="371"/>
      <c r="EZW73" s="371"/>
      <c r="EZX73" s="371"/>
      <c r="EZY73" s="382"/>
      <c r="FAC73" s="371"/>
      <c r="FAD73" s="371"/>
      <c r="FAE73" s="371"/>
      <c r="FAF73" s="371"/>
      <c r="FAG73" s="371"/>
      <c r="FAH73" s="371"/>
      <c r="FAI73" s="371"/>
      <c r="FAJ73" s="371"/>
      <c r="FAK73" s="371"/>
      <c r="FAL73" s="371"/>
      <c r="FAM73" s="371"/>
      <c r="FAN73" s="371"/>
      <c r="FAO73" s="371"/>
      <c r="FAP73" s="371"/>
      <c r="FAQ73" s="371"/>
      <c r="FAR73" s="371"/>
      <c r="FAS73" s="371"/>
      <c r="FAT73" s="371"/>
      <c r="FAU73" s="371"/>
      <c r="FAV73" s="371"/>
      <c r="FAW73" s="371"/>
      <c r="FAX73" s="371"/>
      <c r="FAY73" s="371"/>
      <c r="FAZ73" s="371"/>
      <c r="FBA73" s="371"/>
      <c r="FBB73" s="371"/>
      <c r="FBC73" s="382"/>
      <c r="FBG73" s="371"/>
      <c r="FBH73" s="371"/>
      <c r="FBI73" s="371"/>
      <c r="FBJ73" s="371"/>
      <c r="FBK73" s="371"/>
      <c r="FBL73" s="371"/>
      <c r="FBM73" s="371"/>
      <c r="FBN73" s="371"/>
      <c r="FBO73" s="371"/>
      <c r="FBP73" s="371"/>
      <c r="FBQ73" s="371"/>
      <c r="FBR73" s="371"/>
      <c r="FBS73" s="371"/>
      <c r="FBT73" s="371"/>
      <c r="FBU73" s="371"/>
      <c r="FBV73" s="371"/>
      <c r="FBW73" s="371"/>
      <c r="FBX73" s="371"/>
      <c r="FBY73" s="371"/>
      <c r="FBZ73" s="371"/>
      <c r="FCA73" s="371"/>
      <c r="FCB73" s="371"/>
      <c r="FCC73" s="371"/>
      <c r="FCD73" s="371"/>
      <c r="FCE73" s="371"/>
      <c r="FCF73" s="371"/>
      <c r="FCG73" s="382"/>
      <c r="FCK73" s="371"/>
      <c r="FCL73" s="371"/>
      <c r="FCM73" s="371"/>
      <c r="FCN73" s="371"/>
      <c r="FCO73" s="371"/>
      <c r="FCP73" s="371"/>
      <c r="FCQ73" s="371"/>
      <c r="FCR73" s="371"/>
      <c r="FCS73" s="371"/>
      <c r="FCT73" s="371"/>
      <c r="FCU73" s="371"/>
      <c r="FCV73" s="371"/>
      <c r="FCW73" s="371"/>
      <c r="FCX73" s="371"/>
      <c r="FCY73" s="371"/>
      <c r="FCZ73" s="371"/>
      <c r="FDA73" s="371"/>
      <c r="FDB73" s="371"/>
      <c r="FDC73" s="371"/>
      <c r="FDD73" s="371"/>
      <c r="FDE73" s="371"/>
      <c r="FDF73" s="371"/>
      <c r="FDG73" s="371"/>
      <c r="FDH73" s="371"/>
      <c r="FDI73" s="371"/>
      <c r="FDJ73" s="371"/>
      <c r="FDK73" s="382"/>
      <c r="FDO73" s="371"/>
      <c r="FDP73" s="371"/>
      <c r="FDQ73" s="371"/>
      <c r="FDR73" s="371"/>
      <c r="FDS73" s="371"/>
      <c r="FDT73" s="371"/>
      <c r="FDU73" s="371"/>
      <c r="FDV73" s="371"/>
      <c r="FDW73" s="371"/>
      <c r="FDX73" s="371"/>
      <c r="FDY73" s="371"/>
      <c r="FDZ73" s="371"/>
      <c r="FEA73" s="371"/>
      <c r="FEB73" s="371"/>
      <c r="FEC73" s="371"/>
      <c r="FED73" s="371"/>
      <c r="FEE73" s="371"/>
      <c r="FEF73" s="371"/>
      <c r="FEG73" s="371"/>
      <c r="FEH73" s="371"/>
      <c r="FEI73" s="371"/>
      <c r="FEJ73" s="371"/>
      <c r="FEK73" s="371"/>
      <c r="FEL73" s="371"/>
      <c r="FEM73" s="371"/>
      <c r="FEN73" s="371"/>
      <c r="FEO73" s="382"/>
      <c r="FES73" s="371"/>
      <c r="FET73" s="371"/>
      <c r="FEU73" s="371"/>
      <c r="FEV73" s="371"/>
      <c r="FEW73" s="371"/>
      <c r="FEX73" s="371"/>
      <c r="FEY73" s="371"/>
      <c r="FEZ73" s="371"/>
      <c r="FFA73" s="371"/>
      <c r="FFB73" s="371"/>
      <c r="FFC73" s="371"/>
      <c r="FFD73" s="371"/>
      <c r="FFE73" s="371"/>
      <c r="FFF73" s="371"/>
      <c r="FFG73" s="371"/>
      <c r="FFH73" s="371"/>
      <c r="FFI73" s="371"/>
      <c r="FFJ73" s="371"/>
      <c r="FFK73" s="371"/>
      <c r="FFL73" s="371"/>
      <c r="FFM73" s="371"/>
      <c r="FFN73" s="371"/>
      <c r="FFO73" s="371"/>
      <c r="FFP73" s="371"/>
      <c r="FFQ73" s="371"/>
      <c r="FFR73" s="371"/>
      <c r="FFS73" s="382"/>
      <c r="FFW73" s="371"/>
      <c r="FFX73" s="371"/>
      <c r="FFY73" s="371"/>
      <c r="FFZ73" s="371"/>
      <c r="FGA73" s="371"/>
      <c r="FGB73" s="371"/>
      <c r="FGC73" s="371"/>
      <c r="FGD73" s="371"/>
      <c r="FGE73" s="371"/>
      <c r="FGF73" s="371"/>
      <c r="FGG73" s="371"/>
      <c r="FGH73" s="371"/>
      <c r="FGI73" s="371"/>
      <c r="FGJ73" s="371"/>
      <c r="FGK73" s="371"/>
      <c r="FGL73" s="371"/>
      <c r="FGM73" s="371"/>
      <c r="FGN73" s="371"/>
      <c r="FGO73" s="371"/>
      <c r="FGP73" s="371"/>
      <c r="FGQ73" s="371"/>
      <c r="FGR73" s="371"/>
      <c r="FGS73" s="371"/>
      <c r="FGT73" s="371"/>
      <c r="FGU73" s="371"/>
      <c r="FGV73" s="371"/>
      <c r="FGW73" s="382"/>
      <c r="FHA73" s="371"/>
      <c r="FHB73" s="371"/>
      <c r="FHC73" s="371"/>
      <c r="FHD73" s="371"/>
      <c r="FHE73" s="371"/>
      <c r="FHF73" s="371"/>
      <c r="FHG73" s="371"/>
      <c r="FHH73" s="371"/>
      <c r="FHI73" s="371"/>
      <c r="FHJ73" s="371"/>
      <c r="FHK73" s="371"/>
      <c r="FHL73" s="371"/>
      <c r="FHM73" s="371"/>
      <c r="FHN73" s="371"/>
      <c r="FHO73" s="371"/>
      <c r="FHP73" s="371"/>
      <c r="FHQ73" s="371"/>
      <c r="FHR73" s="371"/>
      <c r="FHS73" s="371"/>
      <c r="FHT73" s="371"/>
      <c r="FHU73" s="371"/>
      <c r="FHV73" s="371"/>
      <c r="FHW73" s="371"/>
      <c r="FHX73" s="371"/>
      <c r="FHY73" s="371"/>
      <c r="FHZ73" s="371"/>
      <c r="FIA73" s="382"/>
      <c r="FIE73" s="371"/>
      <c r="FIF73" s="371"/>
      <c r="FIG73" s="371"/>
      <c r="FIH73" s="371"/>
      <c r="FII73" s="371"/>
      <c r="FIJ73" s="371"/>
      <c r="FIK73" s="371"/>
      <c r="FIL73" s="371"/>
      <c r="FIM73" s="371"/>
      <c r="FIN73" s="371"/>
      <c r="FIO73" s="371"/>
      <c r="FIP73" s="371"/>
      <c r="FIQ73" s="371"/>
      <c r="FIR73" s="371"/>
      <c r="FIS73" s="371"/>
      <c r="FIT73" s="371"/>
      <c r="FIU73" s="371"/>
      <c r="FIV73" s="371"/>
      <c r="FIW73" s="371"/>
      <c r="FIX73" s="371"/>
      <c r="FIY73" s="371"/>
      <c r="FIZ73" s="371"/>
      <c r="FJA73" s="371"/>
      <c r="FJB73" s="371"/>
      <c r="FJC73" s="371"/>
      <c r="FJD73" s="371"/>
      <c r="FJE73" s="382"/>
      <c r="FJI73" s="371"/>
      <c r="FJJ73" s="371"/>
      <c r="FJK73" s="371"/>
      <c r="FJL73" s="371"/>
      <c r="FJM73" s="371"/>
      <c r="FJN73" s="371"/>
      <c r="FJO73" s="371"/>
      <c r="FJP73" s="371"/>
      <c r="FJQ73" s="371"/>
      <c r="FJR73" s="371"/>
      <c r="FJS73" s="371"/>
      <c r="FJT73" s="371"/>
      <c r="FJU73" s="371"/>
      <c r="FJV73" s="371"/>
      <c r="FJW73" s="371"/>
      <c r="FJX73" s="371"/>
      <c r="FJY73" s="371"/>
      <c r="FJZ73" s="371"/>
      <c r="FKA73" s="371"/>
      <c r="FKB73" s="371"/>
      <c r="FKC73" s="371"/>
      <c r="FKD73" s="371"/>
      <c r="FKE73" s="371"/>
      <c r="FKF73" s="371"/>
      <c r="FKG73" s="371"/>
      <c r="FKH73" s="371"/>
      <c r="FKI73" s="382"/>
      <c r="FKM73" s="371"/>
      <c r="FKN73" s="371"/>
      <c r="FKO73" s="371"/>
      <c r="FKP73" s="371"/>
      <c r="FKQ73" s="371"/>
      <c r="FKR73" s="371"/>
      <c r="FKS73" s="371"/>
      <c r="FKT73" s="371"/>
      <c r="FKU73" s="371"/>
      <c r="FKV73" s="371"/>
      <c r="FKW73" s="371"/>
      <c r="FKX73" s="371"/>
      <c r="FKY73" s="371"/>
      <c r="FKZ73" s="371"/>
      <c r="FLA73" s="371"/>
      <c r="FLB73" s="371"/>
      <c r="FLC73" s="371"/>
      <c r="FLD73" s="371"/>
      <c r="FLE73" s="371"/>
      <c r="FLF73" s="371"/>
      <c r="FLG73" s="371"/>
      <c r="FLH73" s="371"/>
      <c r="FLI73" s="371"/>
      <c r="FLJ73" s="371"/>
      <c r="FLK73" s="371"/>
      <c r="FLL73" s="371"/>
      <c r="FLM73" s="382"/>
      <c r="FLQ73" s="371"/>
      <c r="FLR73" s="371"/>
      <c r="FLS73" s="371"/>
      <c r="FLT73" s="371"/>
      <c r="FLU73" s="371"/>
      <c r="FLV73" s="371"/>
      <c r="FLW73" s="371"/>
      <c r="FLX73" s="371"/>
      <c r="FLY73" s="371"/>
      <c r="FLZ73" s="371"/>
      <c r="FMA73" s="371"/>
      <c r="FMB73" s="371"/>
      <c r="FMC73" s="371"/>
      <c r="FMD73" s="371"/>
      <c r="FME73" s="371"/>
      <c r="FMF73" s="371"/>
      <c r="FMG73" s="371"/>
      <c r="FMH73" s="371"/>
      <c r="FMI73" s="371"/>
      <c r="FMJ73" s="371"/>
      <c r="FMK73" s="371"/>
      <c r="FML73" s="371"/>
      <c r="FMM73" s="371"/>
      <c r="FMN73" s="371"/>
      <c r="FMO73" s="371"/>
      <c r="FMP73" s="371"/>
      <c r="FMQ73" s="382"/>
      <c r="FMU73" s="371"/>
      <c r="FMV73" s="371"/>
      <c r="FMW73" s="371"/>
      <c r="FMX73" s="371"/>
      <c r="FMY73" s="371"/>
      <c r="FMZ73" s="371"/>
      <c r="FNA73" s="371"/>
      <c r="FNB73" s="371"/>
      <c r="FNC73" s="371"/>
      <c r="FND73" s="371"/>
      <c r="FNE73" s="371"/>
      <c r="FNF73" s="371"/>
      <c r="FNG73" s="371"/>
      <c r="FNH73" s="371"/>
      <c r="FNI73" s="371"/>
      <c r="FNJ73" s="371"/>
      <c r="FNK73" s="371"/>
      <c r="FNL73" s="371"/>
      <c r="FNM73" s="371"/>
      <c r="FNN73" s="371"/>
      <c r="FNO73" s="371"/>
      <c r="FNP73" s="371"/>
      <c r="FNQ73" s="371"/>
      <c r="FNR73" s="371"/>
      <c r="FNS73" s="371"/>
      <c r="FNT73" s="371"/>
      <c r="FNU73" s="382"/>
      <c r="FNY73" s="371"/>
      <c r="FNZ73" s="371"/>
      <c r="FOA73" s="371"/>
      <c r="FOB73" s="371"/>
      <c r="FOC73" s="371"/>
      <c r="FOD73" s="371"/>
      <c r="FOE73" s="371"/>
      <c r="FOF73" s="371"/>
      <c r="FOG73" s="371"/>
      <c r="FOH73" s="371"/>
      <c r="FOI73" s="371"/>
      <c r="FOJ73" s="371"/>
      <c r="FOK73" s="371"/>
      <c r="FOL73" s="371"/>
      <c r="FOM73" s="371"/>
      <c r="FON73" s="371"/>
      <c r="FOO73" s="371"/>
      <c r="FOP73" s="371"/>
      <c r="FOQ73" s="371"/>
      <c r="FOR73" s="371"/>
      <c r="FOS73" s="371"/>
      <c r="FOT73" s="371"/>
      <c r="FOU73" s="371"/>
      <c r="FOV73" s="371"/>
      <c r="FOW73" s="371"/>
      <c r="FOX73" s="371"/>
      <c r="FOY73" s="382"/>
      <c r="FPC73" s="371"/>
      <c r="FPD73" s="371"/>
      <c r="FPE73" s="371"/>
      <c r="FPF73" s="371"/>
      <c r="FPG73" s="371"/>
      <c r="FPH73" s="371"/>
      <c r="FPI73" s="371"/>
      <c r="FPJ73" s="371"/>
      <c r="FPK73" s="371"/>
      <c r="FPL73" s="371"/>
      <c r="FPM73" s="371"/>
      <c r="FPN73" s="371"/>
      <c r="FPO73" s="371"/>
      <c r="FPP73" s="371"/>
      <c r="FPQ73" s="371"/>
      <c r="FPR73" s="371"/>
      <c r="FPS73" s="371"/>
      <c r="FPT73" s="371"/>
      <c r="FPU73" s="371"/>
      <c r="FPV73" s="371"/>
      <c r="FPW73" s="371"/>
      <c r="FPX73" s="371"/>
      <c r="FPY73" s="371"/>
      <c r="FPZ73" s="371"/>
      <c r="FQA73" s="371"/>
      <c r="FQB73" s="371"/>
      <c r="FQC73" s="382"/>
      <c r="FQG73" s="371"/>
      <c r="FQH73" s="371"/>
      <c r="FQI73" s="371"/>
      <c r="FQJ73" s="371"/>
      <c r="FQK73" s="371"/>
      <c r="FQL73" s="371"/>
      <c r="FQM73" s="371"/>
      <c r="FQN73" s="371"/>
      <c r="FQO73" s="371"/>
      <c r="FQP73" s="371"/>
      <c r="FQQ73" s="371"/>
      <c r="FQR73" s="371"/>
      <c r="FQS73" s="371"/>
      <c r="FQT73" s="371"/>
      <c r="FQU73" s="371"/>
      <c r="FQV73" s="371"/>
      <c r="FQW73" s="371"/>
      <c r="FQX73" s="371"/>
      <c r="FQY73" s="371"/>
      <c r="FQZ73" s="371"/>
      <c r="FRA73" s="371"/>
      <c r="FRB73" s="371"/>
      <c r="FRC73" s="371"/>
      <c r="FRD73" s="371"/>
      <c r="FRE73" s="371"/>
      <c r="FRF73" s="371"/>
      <c r="FRG73" s="382"/>
      <c r="FRK73" s="371"/>
      <c r="FRL73" s="371"/>
      <c r="FRM73" s="371"/>
      <c r="FRN73" s="371"/>
      <c r="FRO73" s="371"/>
      <c r="FRP73" s="371"/>
      <c r="FRQ73" s="371"/>
      <c r="FRR73" s="371"/>
      <c r="FRS73" s="371"/>
      <c r="FRT73" s="371"/>
      <c r="FRU73" s="371"/>
      <c r="FRV73" s="371"/>
      <c r="FRW73" s="371"/>
      <c r="FRX73" s="371"/>
      <c r="FRY73" s="371"/>
      <c r="FRZ73" s="371"/>
      <c r="FSA73" s="371"/>
      <c r="FSB73" s="371"/>
      <c r="FSC73" s="371"/>
      <c r="FSD73" s="371"/>
      <c r="FSE73" s="371"/>
      <c r="FSF73" s="371"/>
      <c r="FSG73" s="371"/>
      <c r="FSH73" s="371"/>
      <c r="FSI73" s="371"/>
      <c r="FSJ73" s="371"/>
      <c r="FSK73" s="382"/>
      <c r="FSO73" s="371"/>
      <c r="FSP73" s="371"/>
      <c r="FSQ73" s="371"/>
      <c r="FSR73" s="371"/>
      <c r="FSS73" s="371"/>
      <c r="FST73" s="371"/>
      <c r="FSU73" s="371"/>
      <c r="FSV73" s="371"/>
      <c r="FSW73" s="371"/>
      <c r="FSX73" s="371"/>
      <c r="FSY73" s="371"/>
      <c r="FSZ73" s="371"/>
      <c r="FTA73" s="371"/>
      <c r="FTB73" s="371"/>
      <c r="FTC73" s="371"/>
      <c r="FTD73" s="371"/>
      <c r="FTE73" s="371"/>
      <c r="FTF73" s="371"/>
      <c r="FTG73" s="371"/>
      <c r="FTH73" s="371"/>
      <c r="FTI73" s="371"/>
      <c r="FTJ73" s="371"/>
      <c r="FTK73" s="371"/>
      <c r="FTL73" s="371"/>
      <c r="FTM73" s="371"/>
      <c r="FTN73" s="371"/>
      <c r="FTO73" s="382"/>
      <c r="FTS73" s="371"/>
      <c r="FTT73" s="371"/>
      <c r="FTU73" s="371"/>
      <c r="FTV73" s="371"/>
      <c r="FTW73" s="371"/>
      <c r="FTX73" s="371"/>
      <c r="FTY73" s="371"/>
      <c r="FTZ73" s="371"/>
      <c r="FUA73" s="371"/>
      <c r="FUB73" s="371"/>
      <c r="FUC73" s="371"/>
      <c r="FUD73" s="371"/>
      <c r="FUE73" s="371"/>
      <c r="FUF73" s="371"/>
      <c r="FUG73" s="371"/>
      <c r="FUH73" s="371"/>
      <c r="FUI73" s="371"/>
      <c r="FUJ73" s="371"/>
      <c r="FUK73" s="371"/>
      <c r="FUL73" s="371"/>
      <c r="FUM73" s="371"/>
      <c r="FUN73" s="371"/>
      <c r="FUO73" s="371"/>
      <c r="FUP73" s="371"/>
      <c r="FUQ73" s="371"/>
      <c r="FUR73" s="371"/>
      <c r="FUS73" s="382"/>
      <c r="FUW73" s="371"/>
      <c r="FUX73" s="371"/>
      <c r="FUY73" s="371"/>
      <c r="FUZ73" s="371"/>
      <c r="FVA73" s="371"/>
      <c r="FVB73" s="371"/>
      <c r="FVC73" s="371"/>
      <c r="FVD73" s="371"/>
      <c r="FVE73" s="371"/>
      <c r="FVF73" s="371"/>
      <c r="FVG73" s="371"/>
      <c r="FVH73" s="371"/>
      <c r="FVI73" s="371"/>
      <c r="FVJ73" s="371"/>
      <c r="FVK73" s="371"/>
      <c r="FVL73" s="371"/>
      <c r="FVM73" s="371"/>
      <c r="FVN73" s="371"/>
      <c r="FVO73" s="371"/>
      <c r="FVP73" s="371"/>
      <c r="FVQ73" s="371"/>
      <c r="FVR73" s="371"/>
      <c r="FVS73" s="371"/>
      <c r="FVT73" s="371"/>
      <c r="FVU73" s="371"/>
      <c r="FVV73" s="371"/>
      <c r="FVW73" s="382"/>
      <c r="FWA73" s="371"/>
      <c r="FWB73" s="371"/>
      <c r="FWC73" s="371"/>
      <c r="FWD73" s="371"/>
      <c r="FWE73" s="371"/>
      <c r="FWF73" s="371"/>
      <c r="FWG73" s="371"/>
      <c r="FWH73" s="371"/>
      <c r="FWI73" s="371"/>
      <c r="FWJ73" s="371"/>
      <c r="FWK73" s="371"/>
      <c r="FWL73" s="371"/>
      <c r="FWM73" s="371"/>
      <c r="FWN73" s="371"/>
      <c r="FWO73" s="371"/>
      <c r="FWP73" s="371"/>
      <c r="FWQ73" s="371"/>
      <c r="FWR73" s="371"/>
      <c r="FWS73" s="371"/>
      <c r="FWT73" s="371"/>
      <c r="FWU73" s="371"/>
      <c r="FWV73" s="371"/>
      <c r="FWW73" s="371"/>
      <c r="FWX73" s="371"/>
      <c r="FWY73" s="371"/>
      <c r="FWZ73" s="371"/>
      <c r="FXA73" s="382"/>
      <c r="FXE73" s="371"/>
      <c r="FXF73" s="371"/>
      <c r="FXG73" s="371"/>
      <c r="FXH73" s="371"/>
      <c r="FXI73" s="371"/>
      <c r="FXJ73" s="371"/>
      <c r="FXK73" s="371"/>
      <c r="FXL73" s="371"/>
      <c r="FXM73" s="371"/>
      <c r="FXN73" s="371"/>
      <c r="FXO73" s="371"/>
      <c r="FXP73" s="371"/>
      <c r="FXQ73" s="371"/>
      <c r="FXR73" s="371"/>
      <c r="FXS73" s="371"/>
      <c r="FXT73" s="371"/>
      <c r="FXU73" s="371"/>
      <c r="FXV73" s="371"/>
      <c r="FXW73" s="371"/>
      <c r="FXX73" s="371"/>
      <c r="FXY73" s="371"/>
      <c r="FXZ73" s="371"/>
      <c r="FYA73" s="371"/>
      <c r="FYB73" s="371"/>
      <c r="FYC73" s="371"/>
      <c r="FYD73" s="371"/>
      <c r="FYE73" s="382"/>
      <c r="FYI73" s="371"/>
      <c r="FYJ73" s="371"/>
      <c r="FYK73" s="371"/>
      <c r="FYL73" s="371"/>
      <c r="FYM73" s="371"/>
      <c r="FYN73" s="371"/>
      <c r="FYO73" s="371"/>
      <c r="FYP73" s="371"/>
      <c r="FYQ73" s="371"/>
      <c r="FYR73" s="371"/>
      <c r="FYS73" s="371"/>
      <c r="FYT73" s="371"/>
      <c r="FYU73" s="371"/>
      <c r="FYV73" s="371"/>
      <c r="FYW73" s="371"/>
      <c r="FYX73" s="371"/>
      <c r="FYY73" s="371"/>
      <c r="FYZ73" s="371"/>
      <c r="FZA73" s="371"/>
      <c r="FZB73" s="371"/>
      <c r="FZC73" s="371"/>
      <c r="FZD73" s="371"/>
      <c r="FZE73" s="371"/>
      <c r="FZF73" s="371"/>
      <c r="FZG73" s="371"/>
      <c r="FZH73" s="371"/>
      <c r="FZI73" s="382"/>
      <c r="FZM73" s="371"/>
      <c r="FZN73" s="371"/>
      <c r="FZO73" s="371"/>
      <c r="FZP73" s="371"/>
      <c r="FZQ73" s="371"/>
      <c r="FZR73" s="371"/>
      <c r="FZS73" s="371"/>
      <c r="FZT73" s="371"/>
      <c r="FZU73" s="371"/>
      <c r="FZV73" s="371"/>
      <c r="FZW73" s="371"/>
      <c r="FZX73" s="371"/>
      <c r="FZY73" s="371"/>
      <c r="FZZ73" s="371"/>
      <c r="GAA73" s="371"/>
      <c r="GAB73" s="371"/>
      <c r="GAC73" s="371"/>
      <c r="GAD73" s="371"/>
      <c r="GAE73" s="371"/>
      <c r="GAF73" s="371"/>
      <c r="GAG73" s="371"/>
      <c r="GAH73" s="371"/>
      <c r="GAI73" s="371"/>
      <c r="GAJ73" s="371"/>
      <c r="GAK73" s="371"/>
      <c r="GAL73" s="371"/>
      <c r="GAM73" s="382"/>
      <c r="GAQ73" s="371"/>
      <c r="GAR73" s="371"/>
      <c r="GAS73" s="371"/>
      <c r="GAT73" s="371"/>
      <c r="GAU73" s="371"/>
      <c r="GAV73" s="371"/>
      <c r="GAW73" s="371"/>
      <c r="GAX73" s="371"/>
      <c r="GAY73" s="371"/>
      <c r="GAZ73" s="371"/>
      <c r="GBA73" s="371"/>
      <c r="GBB73" s="371"/>
      <c r="GBC73" s="371"/>
      <c r="GBD73" s="371"/>
      <c r="GBE73" s="371"/>
      <c r="GBF73" s="371"/>
      <c r="GBG73" s="371"/>
      <c r="GBH73" s="371"/>
      <c r="GBI73" s="371"/>
      <c r="GBJ73" s="371"/>
      <c r="GBK73" s="371"/>
      <c r="GBL73" s="371"/>
      <c r="GBM73" s="371"/>
      <c r="GBN73" s="371"/>
      <c r="GBO73" s="371"/>
      <c r="GBP73" s="371"/>
      <c r="GBQ73" s="382"/>
      <c r="GBU73" s="371"/>
      <c r="GBV73" s="371"/>
      <c r="GBW73" s="371"/>
      <c r="GBX73" s="371"/>
      <c r="GBY73" s="371"/>
      <c r="GBZ73" s="371"/>
      <c r="GCA73" s="371"/>
      <c r="GCB73" s="371"/>
      <c r="GCC73" s="371"/>
      <c r="GCD73" s="371"/>
      <c r="GCE73" s="371"/>
      <c r="GCF73" s="371"/>
      <c r="GCG73" s="371"/>
      <c r="GCH73" s="371"/>
      <c r="GCI73" s="371"/>
      <c r="GCJ73" s="371"/>
      <c r="GCK73" s="371"/>
      <c r="GCL73" s="371"/>
      <c r="GCM73" s="371"/>
      <c r="GCN73" s="371"/>
      <c r="GCO73" s="371"/>
      <c r="GCP73" s="371"/>
      <c r="GCQ73" s="371"/>
      <c r="GCR73" s="371"/>
      <c r="GCS73" s="371"/>
      <c r="GCT73" s="371"/>
      <c r="GCU73" s="382"/>
      <c r="GCY73" s="371"/>
      <c r="GCZ73" s="371"/>
      <c r="GDA73" s="371"/>
      <c r="GDB73" s="371"/>
      <c r="GDC73" s="371"/>
      <c r="GDD73" s="371"/>
      <c r="GDE73" s="371"/>
      <c r="GDF73" s="371"/>
      <c r="GDG73" s="371"/>
      <c r="GDH73" s="371"/>
      <c r="GDI73" s="371"/>
      <c r="GDJ73" s="371"/>
      <c r="GDK73" s="371"/>
      <c r="GDL73" s="371"/>
      <c r="GDM73" s="371"/>
      <c r="GDN73" s="371"/>
      <c r="GDO73" s="371"/>
      <c r="GDP73" s="371"/>
      <c r="GDQ73" s="371"/>
      <c r="GDR73" s="371"/>
      <c r="GDS73" s="371"/>
      <c r="GDT73" s="371"/>
      <c r="GDU73" s="371"/>
      <c r="GDV73" s="371"/>
      <c r="GDW73" s="371"/>
      <c r="GDX73" s="371"/>
      <c r="GDY73" s="382"/>
      <c r="GEC73" s="371"/>
      <c r="GED73" s="371"/>
      <c r="GEE73" s="371"/>
      <c r="GEF73" s="371"/>
      <c r="GEG73" s="371"/>
      <c r="GEH73" s="371"/>
      <c r="GEI73" s="371"/>
      <c r="GEJ73" s="371"/>
      <c r="GEK73" s="371"/>
      <c r="GEL73" s="371"/>
      <c r="GEM73" s="371"/>
      <c r="GEN73" s="371"/>
      <c r="GEO73" s="371"/>
      <c r="GEP73" s="371"/>
      <c r="GEQ73" s="371"/>
      <c r="GER73" s="371"/>
      <c r="GES73" s="371"/>
      <c r="GET73" s="371"/>
      <c r="GEU73" s="371"/>
      <c r="GEV73" s="371"/>
      <c r="GEW73" s="371"/>
      <c r="GEX73" s="371"/>
      <c r="GEY73" s="371"/>
      <c r="GEZ73" s="371"/>
      <c r="GFA73" s="371"/>
      <c r="GFB73" s="371"/>
      <c r="GFC73" s="382"/>
      <c r="GFG73" s="371"/>
      <c r="GFH73" s="371"/>
      <c r="GFI73" s="371"/>
      <c r="GFJ73" s="371"/>
      <c r="GFK73" s="371"/>
      <c r="GFL73" s="371"/>
      <c r="GFM73" s="371"/>
      <c r="GFN73" s="371"/>
      <c r="GFO73" s="371"/>
      <c r="GFP73" s="371"/>
      <c r="GFQ73" s="371"/>
      <c r="GFR73" s="371"/>
      <c r="GFS73" s="371"/>
      <c r="GFT73" s="371"/>
      <c r="GFU73" s="371"/>
      <c r="GFV73" s="371"/>
      <c r="GFW73" s="371"/>
      <c r="GFX73" s="371"/>
      <c r="GFY73" s="371"/>
      <c r="GFZ73" s="371"/>
      <c r="GGA73" s="371"/>
      <c r="GGB73" s="371"/>
      <c r="GGC73" s="371"/>
      <c r="GGD73" s="371"/>
      <c r="GGE73" s="371"/>
      <c r="GGF73" s="371"/>
      <c r="GGG73" s="382"/>
      <c r="GGK73" s="371"/>
      <c r="GGL73" s="371"/>
      <c r="GGM73" s="371"/>
      <c r="GGN73" s="371"/>
      <c r="GGO73" s="371"/>
      <c r="GGP73" s="371"/>
      <c r="GGQ73" s="371"/>
      <c r="GGR73" s="371"/>
      <c r="GGS73" s="371"/>
      <c r="GGT73" s="371"/>
      <c r="GGU73" s="371"/>
      <c r="GGV73" s="371"/>
      <c r="GGW73" s="371"/>
      <c r="GGX73" s="371"/>
      <c r="GGY73" s="371"/>
      <c r="GGZ73" s="371"/>
      <c r="GHA73" s="371"/>
      <c r="GHB73" s="371"/>
      <c r="GHC73" s="371"/>
      <c r="GHD73" s="371"/>
      <c r="GHE73" s="371"/>
      <c r="GHF73" s="371"/>
      <c r="GHG73" s="371"/>
      <c r="GHH73" s="371"/>
      <c r="GHI73" s="371"/>
      <c r="GHJ73" s="371"/>
      <c r="GHK73" s="382"/>
      <c r="GHO73" s="371"/>
      <c r="GHP73" s="371"/>
      <c r="GHQ73" s="371"/>
      <c r="GHR73" s="371"/>
      <c r="GHS73" s="371"/>
      <c r="GHT73" s="371"/>
      <c r="GHU73" s="371"/>
      <c r="GHV73" s="371"/>
      <c r="GHW73" s="371"/>
      <c r="GHX73" s="371"/>
      <c r="GHY73" s="371"/>
      <c r="GHZ73" s="371"/>
      <c r="GIA73" s="371"/>
      <c r="GIB73" s="371"/>
      <c r="GIC73" s="371"/>
      <c r="GID73" s="371"/>
      <c r="GIE73" s="371"/>
      <c r="GIF73" s="371"/>
      <c r="GIG73" s="371"/>
      <c r="GIH73" s="371"/>
      <c r="GII73" s="371"/>
      <c r="GIJ73" s="371"/>
      <c r="GIK73" s="371"/>
      <c r="GIL73" s="371"/>
      <c r="GIM73" s="371"/>
      <c r="GIN73" s="371"/>
      <c r="GIO73" s="382"/>
      <c r="GIS73" s="371"/>
      <c r="GIT73" s="371"/>
      <c r="GIU73" s="371"/>
      <c r="GIV73" s="371"/>
      <c r="GIW73" s="371"/>
      <c r="GIX73" s="371"/>
      <c r="GIY73" s="371"/>
      <c r="GIZ73" s="371"/>
      <c r="GJA73" s="371"/>
      <c r="GJB73" s="371"/>
      <c r="GJC73" s="371"/>
      <c r="GJD73" s="371"/>
      <c r="GJE73" s="371"/>
      <c r="GJF73" s="371"/>
      <c r="GJG73" s="371"/>
      <c r="GJH73" s="371"/>
      <c r="GJI73" s="371"/>
      <c r="GJJ73" s="371"/>
      <c r="GJK73" s="371"/>
      <c r="GJL73" s="371"/>
      <c r="GJM73" s="371"/>
      <c r="GJN73" s="371"/>
      <c r="GJO73" s="371"/>
      <c r="GJP73" s="371"/>
      <c r="GJQ73" s="371"/>
      <c r="GJR73" s="371"/>
      <c r="GJS73" s="382"/>
      <c r="GJW73" s="371"/>
      <c r="GJX73" s="371"/>
      <c r="GJY73" s="371"/>
      <c r="GJZ73" s="371"/>
      <c r="GKA73" s="371"/>
      <c r="GKB73" s="371"/>
      <c r="GKC73" s="371"/>
      <c r="GKD73" s="371"/>
      <c r="GKE73" s="371"/>
      <c r="GKF73" s="371"/>
      <c r="GKG73" s="371"/>
      <c r="GKH73" s="371"/>
      <c r="GKI73" s="371"/>
      <c r="GKJ73" s="371"/>
      <c r="GKK73" s="371"/>
      <c r="GKL73" s="371"/>
      <c r="GKM73" s="371"/>
      <c r="GKN73" s="371"/>
      <c r="GKO73" s="371"/>
      <c r="GKP73" s="371"/>
      <c r="GKQ73" s="371"/>
      <c r="GKR73" s="371"/>
      <c r="GKS73" s="371"/>
      <c r="GKT73" s="371"/>
      <c r="GKU73" s="371"/>
      <c r="GKV73" s="371"/>
      <c r="GKW73" s="382"/>
      <c r="GLA73" s="371"/>
      <c r="GLB73" s="371"/>
      <c r="GLC73" s="371"/>
      <c r="GLD73" s="371"/>
      <c r="GLE73" s="371"/>
      <c r="GLF73" s="371"/>
      <c r="GLG73" s="371"/>
      <c r="GLH73" s="371"/>
      <c r="GLI73" s="371"/>
      <c r="GLJ73" s="371"/>
      <c r="GLK73" s="371"/>
      <c r="GLL73" s="371"/>
      <c r="GLM73" s="371"/>
      <c r="GLN73" s="371"/>
      <c r="GLO73" s="371"/>
      <c r="GLP73" s="371"/>
      <c r="GLQ73" s="371"/>
      <c r="GLR73" s="371"/>
      <c r="GLS73" s="371"/>
      <c r="GLT73" s="371"/>
      <c r="GLU73" s="371"/>
      <c r="GLV73" s="371"/>
      <c r="GLW73" s="371"/>
      <c r="GLX73" s="371"/>
      <c r="GLY73" s="371"/>
      <c r="GLZ73" s="371"/>
      <c r="GMA73" s="382"/>
      <c r="GME73" s="371"/>
      <c r="GMF73" s="371"/>
      <c r="GMG73" s="371"/>
      <c r="GMH73" s="371"/>
      <c r="GMI73" s="371"/>
      <c r="GMJ73" s="371"/>
      <c r="GMK73" s="371"/>
      <c r="GML73" s="371"/>
      <c r="GMM73" s="371"/>
      <c r="GMN73" s="371"/>
      <c r="GMO73" s="371"/>
      <c r="GMP73" s="371"/>
      <c r="GMQ73" s="371"/>
      <c r="GMR73" s="371"/>
      <c r="GMS73" s="371"/>
      <c r="GMT73" s="371"/>
      <c r="GMU73" s="371"/>
      <c r="GMV73" s="371"/>
      <c r="GMW73" s="371"/>
      <c r="GMX73" s="371"/>
      <c r="GMY73" s="371"/>
      <c r="GMZ73" s="371"/>
      <c r="GNA73" s="371"/>
      <c r="GNB73" s="371"/>
      <c r="GNC73" s="371"/>
      <c r="GND73" s="371"/>
      <c r="GNE73" s="382"/>
      <c r="GNI73" s="371"/>
      <c r="GNJ73" s="371"/>
      <c r="GNK73" s="371"/>
      <c r="GNL73" s="371"/>
      <c r="GNM73" s="371"/>
      <c r="GNN73" s="371"/>
      <c r="GNO73" s="371"/>
      <c r="GNP73" s="371"/>
      <c r="GNQ73" s="371"/>
      <c r="GNR73" s="371"/>
      <c r="GNS73" s="371"/>
      <c r="GNT73" s="371"/>
      <c r="GNU73" s="371"/>
      <c r="GNV73" s="371"/>
      <c r="GNW73" s="371"/>
      <c r="GNX73" s="371"/>
      <c r="GNY73" s="371"/>
      <c r="GNZ73" s="371"/>
      <c r="GOA73" s="371"/>
      <c r="GOB73" s="371"/>
      <c r="GOC73" s="371"/>
      <c r="GOD73" s="371"/>
      <c r="GOE73" s="371"/>
      <c r="GOF73" s="371"/>
      <c r="GOG73" s="371"/>
      <c r="GOH73" s="371"/>
      <c r="GOI73" s="382"/>
      <c r="GOM73" s="371"/>
      <c r="GON73" s="371"/>
      <c r="GOO73" s="371"/>
      <c r="GOP73" s="371"/>
      <c r="GOQ73" s="371"/>
      <c r="GOR73" s="371"/>
      <c r="GOS73" s="371"/>
      <c r="GOT73" s="371"/>
      <c r="GOU73" s="371"/>
      <c r="GOV73" s="371"/>
      <c r="GOW73" s="371"/>
      <c r="GOX73" s="371"/>
      <c r="GOY73" s="371"/>
      <c r="GOZ73" s="371"/>
      <c r="GPA73" s="371"/>
      <c r="GPB73" s="371"/>
      <c r="GPC73" s="371"/>
      <c r="GPD73" s="371"/>
      <c r="GPE73" s="371"/>
      <c r="GPF73" s="371"/>
      <c r="GPG73" s="371"/>
      <c r="GPH73" s="371"/>
      <c r="GPI73" s="371"/>
      <c r="GPJ73" s="371"/>
      <c r="GPK73" s="371"/>
      <c r="GPL73" s="371"/>
      <c r="GPM73" s="382"/>
      <c r="GPQ73" s="371"/>
      <c r="GPR73" s="371"/>
      <c r="GPS73" s="371"/>
      <c r="GPT73" s="371"/>
      <c r="GPU73" s="371"/>
      <c r="GPV73" s="371"/>
      <c r="GPW73" s="371"/>
      <c r="GPX73" s="371"/>
      <c r="GPY73" s="371"/>
      <c r="GPZ73" s="371"/>
      <c r="GQA73" s="371"/>
      <c r="GQB73" s="371"/>
      <c r="GQC73" s="371"/>
      <c r="GQD73" s="371"/>
      <c r="GQE73" s="371"/>
      <c r="GQF73" s="371"/>
      <c r="GQG73" s="371"/>
      <c r="GQH73" s="371"/>
      <c r="GQI73" s="371"/>
      <c r="GQJ73" s="371"/>
      <c r="GQK73" s="371"/>
      <c r="GQL73" s="371"/>
      <c r="GQM73" s="371"/>
      <c r="GQN73" s="371"/>
      <c r="GQO73" s="371"/>
      <c r="GQP73" s="371"/>
      <c r="GQQ73" s="382"/>
      <c r="GQU73" s="371"/>
      <c r="GQV73" s="371"/>
      <c r="GQW73" s="371"/>
      <c r="GQX73" s="371"/>
      <c r="GQY73" s="371"/>
      <c r="GQZ73" s="371"/>
      <c r="GRA73" s="371"/>
      <c r="GRB73" s="371"/>
      <c r="GRC73" s="371"/>
      <c r="GRD73" s="371"/>
      <c r="GRE73" s="371"/>
      <c r="GRF73" s="371"/>
      <c r="GRG73" s="371"/>
      <c r="GRH73" s="371"/>
      <c r="GRI73" s="371"/>
      <c r="GRJ73" s="371"/>
      <c r="GRK73" s="371"/>
      <c r="GRL73" s="371"/>
      <c r="GRM73" s="371"/>
      <c r="GRN73" s="371"/>
      <c r="GRO73" s="371"/>
      <c r="GRP73" s="371"/>
      <c r="GRQ73" s="371"/>
      <c r="GRR73" s="371"/>
      <c r="GRS73" s="371"/>
      <c r="GRT73" s="371"/>
      <c r="GRU73" s="382"/>
      <c r="GRY73" s="371"/>
      <c r="GRZ73" s="371"/>
      <c r="GSA73" s="371"/>
      <c r="GSB73" s="371"/>
      <c r="GSC73" s="371"/>
      <c r="GSD73" s="371"/>
      <c r="GSE73" s="371"/>
      <c r="GSF73" s="371"/>
      <c r="GSG73" s="371"/>
      <c r="GSH73" s="371"/>
      <c r="GSI73" s="371"/>
      <c r="GSJ73" s="371"/>
      <c r="GSK73" s="371"/>
      <c r="GSL73" s="371"/>
      <c r="GSM73" s="371"/>
      <c r="GSN73" s="371"/>
      <c r="GSO73" s="371"/>
      <c r="GSP73" s="371"/>
      <c r="GSQ73" s="371"/>
      <c r="GSR73" s="371"/>
      <c r="GSS73" s="371"/>
      <c r="GST73" s="371"/>
      <c r="GSU73" s="371"/>
      <c r="GSV73" s="371"/>
      <c r="GSW73" s="371"/>
      <c r="GSX73" s="371"/>
      <c r="GSY73" s="382"/>
      <c r="GTC73" s="371"/>
      <c r="GTD73" s="371"/>
      <c r="GTE73" s="371"/>
      <c r="GTF73" s="371"/>
      <c r="GTG73" s="371"/>
      <c r="GTH73" s="371"/>
      <c r="GTI73" s="371"/>
      <c r="GTJ73" s="371"/>
      <c r="GTK73" s="371"/>
      <c r="GTL73" s="371"/>
      <c r="GTM73" s="371"/>
      <c r="GTN73" s="371"/>
      <c r="GTO73" s="371"/>
      <c r="GTP73" s="371"/>
      <c r="GTQ73" s="371"/>
      <c r="GTR73" s="371"/>
      <c r="GTS73" s="371"/>
      <c r="GTT73" s="371"/>
      <c r="GTU73" s="371"/>
      <c r="GTV73" s="371"/>
      <c r="GTW73" s="371"/>
      <c r="GTX73" s="371"/>
      <c r="GTY73" s="371"/>
      <c r="GTZ73" s="371"/>
      <c r="GUA73" s="371"/>
      <c r="GUB73" s="371"/>
      <c r="GUC73" s="382"/>
      <c r="GUG73" s="371"/>
      <c r="GUH73" s="371"/>
      <c r="GUI73" s="371"/>
      <c r="GUJ73" s="371"/>
      <c r="GUK73" s="371"/>
      <c r="GUL73" s="371"/>
      <c r="GUM73" s="371"/>
      <c r="GUN73" s="371"/>
      <c r="GUO73" s="371"/>
      <c r="GUP73" s="371"/>
      <c r="GUQ73" s="371"/>
      <c r="GUR73" s="371"/>
      <c r="GUS73" s="371"/>
      <c r="GUT73" s="371"/>
      <c r="GUU73" s="371"/>
      <c r="GUV73" s="371"/>
      <c r="GUW73" s="371"/>
      <c r="GUX73" s="371"/>
      <c r="GUY73" s="371"/>
      <c r="GUZ73" s="371"/>
      <c r="GVA73" s="371"/>
      <c r="GVB73" s="371"/>
      <c r="GVC73" s="371"/>
      <c r="GVD73" s="371"/>
      <c r="GVE73" s="371"/>
      <c r="GVF73" s="371"/>
      <c r="GVG73" s="382"/>
      <c r="GVK73" s="371"/>
      <c r="GVL73" s="371"/>
      <c r="GVM73" s="371"/>
      <c r="GVN73" s="371"/>
      <c r="GVO73" s="371"/>
      <c r="GVP73" s="371"/>
      <c r="GVQ73" s="371"/>
      <c r="GVR73" s="371"/>
      <c r="GVS73" s="371"/>
      <c r="GVT73" s="371"/>
      <c r="GVU73" s="371"/>
      <c r="GVV73" s="371"/>
      <c r="GVW73" s="371"/>
      <c r="GVX73" s="371"/>
      <c r="GVY73" s="371"/>
      <c r="GVZ73" s="371"/>
      <c r="GWA73" s="371"/>
      <c r="GWB73" s="371"/>
      <c r="GWC73" s="371"/>
      <c r="GWD73" s="371"/>
      <c r="GWE73" s="371"/>
      <c r="GWF73" s="371"/>
      <c r="GWG73" s="371"/>
      <c r="GWH73" s="371"/>
      <c r="GWI73" s="371"/>
      <c r="GWJ73" s="371"/>
      <c r="GWK73" s="382"/>
      <c r="GWO73" s="371"/>
      <c r="GWP73" s="371"/>
      <c r="GWQ73" s="371"/>
      <c r="GWR73" s="371"/>
      <c r="GWS73" s="371"/>
      <c r="GWT73" s="371"/>
      <c r="GWU73" s="371"/>
      <c r="GWV73" s="371"/>
      <c r="GWW73" s="371"/>
      <c r="GWX73" s="371"/>
      <c r="GWY73" s="371"/>
      <c r="GWZ73" s="371"/>
      <c r="GXA73" s="371"/>
      <c r="GXB73" s="371"/>
      <c r="GXC73" s="371"/>
      <c r="GXD73" s="371"/>
      <c r="GXE73" s="371"/>
      <c r="GXF73" s="371"/>
      <c r="GXG73" s="371"/>
      <c r="GXH73" s="371"/>
      <c r="GXI73" s="371"/>
      <c r="GXJ73" s="371"/>
      <c r="GXK73" s="371"/>
      <c r="GXL73" s="371"/>
      <c r="GXM73" s="371"/>
      <c r="GXN73" s="371"/>
      <c r="GXO73" s="382"/>
      <c r="GXS73" s="371"/>
      <c r="GXT73" s="371"/>
      <c r="GXU73" s="371"/>
      <c r="GXV73" s="371"/>
      <c r="GXW73" s="371"/>
      <c r="GXX73" s="371"/>
      <c r="GXY73" s="371"/>
      <c r="GXZ73" s="371"/>
      <c r="GYA73" s="371"/>
      <c r="GYB73" s="371"/>
      <c r="GYC73" s="371"/>
      <c r="GYD73" s="371"/>
      <c r="GYE73" s="371"/>
      <c r="GYF73" s="371"/>
      <c r="GYG73" s="371"/>
      <c r="GYH73" s="371"/>
      <c r="GYI73" s="371"/>
      <c r="GYJ73" s="371"/>
      <c r="GYK73" s="371"/>
      <c r="GYL73" s="371"/>
      <c r="GYM73" s="371"/>
      <c r="GYN73" s="371"/>
      <c r="GYO73" s="371"/>
      <c r="GYP73" s="371"/>
      <c r="GYQ73" s="371"/>
      <c r="GYR73" s="371"/>
      <c r="GYS73" s="382"/>
      <c r="GYW73" s="371"/>
      <c r="GYX73" s="371"/>
      <c r="GYY73" s="371"/>
      <c r="GYZ73" s="371"/>
      <c r="GZA73" s="371"/>
      <c r="GZB73" s="371"/>
      <c r="GZC73" s="371"/>
      <c r="GZD73" s="371"/>
      <c r="GZE73" s="371"/>
      <c r="GZF73" s="371"/>
      <c r="GZG73" s="371"/>
      <c r="GZH73" s="371"/>
      <c r="GZI73" s="371"/>
      <c r="GZJ73" s="371"/>
      <c r="GZK73" s="371"/>
      <c r="GZL73" s="371"/>
      <c r="GZM73" s="371"/>
      <c r="GZN73" s="371"/>
      <c r="GZO73" s="371"/>
      <c r="GZP73" s="371"/>
      <c r="GZQ73" s="371"/>
      <c r="GZR73" s="371"/>
      <c r="GZS73" s="371"/>
      <c r="GZT73" s="371"/>
      <c r="GZU73" s="371"/>
      <c r="GZV73" s="371"/>
      <c r="GZW73" s="382"/>
      <c r="HAA73" s="371"/>
      <c r="HAB73" s="371"/>
      <c r="HAC73" s="371"/>
      <c r="HAD73" s="371"/>
      <c r="HAE73" s="371"/>
      <c r="HAF73" s="371"/>
      <c r="HAG73" s="371"/>
      <c r="HAH73" s="371"/>
      <c r="HAI73" s="371"/>
      <c r="HAJ73" s="371"/>
      <c r="HAK73" s="371"/>
      <c r="HAL73" s="371"/>
      <c r="HAM73" s="371"/>
      <c r="HAN73" s="371"/>
      <c r="HAO73" s="371"/>
      <c r="HAP73" s="371"/>
      <c r="HAQ73" s="371"/>
      <c r="HAR73" s="371"/>
      <c r="HAS73" s="371"/>
      <c r="HAT73" s="371"/>
      <c r="HAU73" s="371"/>
      <c r="HAV73" s="371"/>
      <c r="HAW73" s="371"/>
      <c r="HAX73" s="371"/>
      <c r="HAY73" s="371"/>
      <c r="HAZ73" s="371"/>
      <c r="HBA73" s="382"/>
      <c r="HBE73" s="371"/>
      <c r="HBF73" s="371"/>
      <c r="HBG73" s="371"/>
      <c r="HBH73" s="371"/>
      <c r="HBI73" s="371"/>
      <c r="HBJ73" s="371"/>
      <c r="HBK73" s="371"/>
      <c r="HBL73" s="371"/>
      <c r="HBM73" s="371"/>
      <c r="HBN73" s="371"/>
      <c r="HBO73" s="371"/>
      <c r="HBP73" s="371"/>
      <c r="HBQ73" s="371"/>
      <c r="HBR73" s="371"/>
      <c r="HBS73" s="371"/>
      <c r="HBT73" s="371"/>
      <c r="HBU73" s="371"/>
      <c r="HBV73" s="371"/>
      <c r="HBW73" s="371"/>
      <c r="HBX73" s="371"/>
      <c r="HBY73" s="371"/>
      <c r="HBZ73" s="371"/>
      <c r="HCA73" s="371"/>
      <c r="HCB73" s="371"/>
      <c r="HCC73" s="371"/>
      <c r="HCD73" s="371"/>
      <c r="HCE73" s="382"/>
      <c r="HCI73" s="371"/>
      <c r="HCJ73" s="371"/>
      <c r="HCK73" s="371"/>
      <c r="HCL73" s="371"/>
      <c r="HCM73" s="371"/>
      <c r="HCN73" s="371"/>
      <c r="HCO73" s="371"/>
      <c r="HCP73" s="371"/>
      <c r="HCQ73" s="371"/>
      <c r="HCR73" s="371"/>
      <c r="HCS73" s="371"/>
      <c r="HCT73" s="371"/>
      <c r="HCU73" s="371"/>
      <c r="HCV73" s="371"/>
      <c r="HCW73" s="371"/>
      <c r="HCX73" s="371"/>
      <c r="HCY73" s="371"/>
      <c r="HCZ73" s="371"/>
      <c r="HDA73" s="371"/>
      <c r="HDB73" s="371"/>
      <c r="HDC73" s="371"/>
      <c r="HDD73" s="371"/>
      <c r="HDE73" s="371"/>
      <c r="HDF73" s="371"/>
      <c r="HDG73" s="371"/>
      <c r="HDH73" s="371"/>
      <c r="HDI73" s="382"/>
      <c r="HDM73" s="371"/>
      <c r="HDN73" s="371"/>
      <c r="HDO73" s="371"/>
      <c r="HDP73" s="371"/>
      <c r="HDQ73" s="371"/>
      <c r="HDR73" s="371"/>
      <c r="HDS73" s="371"/>
      <c r="HDT73" s="371"/>
      <c r="HDU73" s="371"/>
      <c r="HDV73" s="371"/>
      <c r="HDW73" s="371"/>
      <c r="HDX73" s="371"/>
      <c r="HDY73" s="371"/>
      <c r="HDZ73" s="371"/>
      <c r="HEA73" s="371"/>
      <c r="HEB73" s="371"/>
      <c r="HEC73" s="371"/>
      <c r="HED73" s="371"/>
      <c r="HEE73" s="371"/>
      <c r="HEF73" s="371"/>
      <c r="HEG73" s="371"/>
      <c r="HEH73" s="371"/>
      <c r="HEI73" s="371"/>
      <c r="HEJ73" s="371"/>
      <c r="HEK73" s="371"/>
      <c r="HEL73" s="371"/>
      <c r="HEM73" s="382"/>
      <c r="HEQ73" s="371"/>
      <c r="HER73" s="371"/>
      <c r="HES73" s="371"/>
      <c r="HET73" s="371"/>
      <c r="HEU73" s="371"/>
      <c r="HEV73" s="371"/>
      <c r="HEW73" s="371"/>
      <c r="HEX73" s="371"/>
      <c r="HEY73" s="371"/>
      <c r="HEZ73" s="371"/>
      <c r="HFA73" s="371"/>
      <c r="HFB73" s="371"/>
      <c r="HFC73" s="371"/>
      <c r="HFD73" s="371"/>
      <c r="HFE73" s="371"/>
      <c r="HFF73" s="371"/>
      <c r="HFG73" s="371"/>
      <c r="HFH73" s="371"/>
      <c r="HFI73" s="371"/>
      <c r="HFJ73" s="371"/>
      <c r="HFK73" s="371"/>
      <c r="HFL73" s="371"/>
      <c r="HFM73" s="371"/>
      <c r="HFN73" s="371"/>
      <c r="HFO73" s="371"/>
      <c r="HFP73" s="371"/>
      <c r="HFQ73" s="382"/>
      <c r="HFU73" s="371"/>
      <c r="HFV73" s="371"/>
      <c r="HFW73" s="371"/>
      <c r="HFX73" s="371"/>
      <c r="HFY73" s="371"/>
      <c r="HFZ73" s="371"/>
      <c r="HGA73" s="371"/>
      <c r="HGB73" s="371"/>
      <c r="HGC73" s="371"/>
      <c r="HGD73" s="371"/>
      <c r="HGE73" s="371"/>
      <c r="HGF73" s="371"/>
      <c r="HGG73" s="371"/>
      <c r="HGH73" s="371"/>
      <c r="HGI73" s="371"/>
      <c r="HGJ73" s="371"/>
      <c r="HGK73" s="371"/>
      <c r="HGL73" s="371"/>
      <c r="HGM73" s="371"/>
      <c r="HGN73" s="371"/>
      <c r="HGO73" s="371"/>
      <c r="HGP73" s="371"/>
      <c r="HGQ73" s="371"/>
      <c r="HGR73" s="371"/>
      <c r="HGS73" s="371"/>
      <c r="HGT73" s="371"/>
      <c r="HGU73" s="382"/>
      <c r="HGY73" s="371"/>
      <c r="HGZ73" s="371"/>
      <c r="HHA73" s="371"/>
      <c r="HHB73" s="371"/>
      <c r="HHC73" s="371"/>
      <c r="HHD73" s="371"/>
      <c r="HHE73" s="371"/>
      <c r="HHF73" s="371"/>
      <c r="HHG73" s="371"/>
      <c r="HHH73" s="371"/>
      <c r="HHI73" s="371"/>
      <c r="HHJ73" s="371"/>
      <c r="HHK73" s="371"/>
      <c r="HHL73" s="371"/>
      <c r="HHM73" s="371"/>
      <c r="HHN73" s="371"/>
      <c r="HHO73" s="371"/>
      <c r="HHP73" s="371"/>
      <c r="HHQ73" s="371"/>
      <c r="HHR73" s="371"/>
      <c r="HHS73" s="371"/>
      <c r="HHT73" s="371"/>
      <c r="HHU73" s="371"/>
      <c r="HHV73" s="371"/>
      <c r="HHW73" s="371"/>
      <c r="HHX73" s="371"/>
      <c r="HHY73" s="382"/>
      <c r="HIC73" s="371"/>
      <c r="HID73" s="371"/>
      <c r="HIE73" s="371"/>
      <c r="HIF73" s="371"/>
      <c r="HIG73" s="371"/>
      <c r="HIH73" s="371"/>
      <c r="HII73" s="371"/>
      <c r="HIJ73" s="371"/>
      <c r="HIK73" s="371"/>
      <c r="HIL73" s="371"/>
      <c r="HIM73" s="371"/>
      <c r="HIN73" s="371"/>
      <c r="HIO73" s="371"/>
      <c r="HIP73" s="371"/>
      <c r="HIQ73" s="371"/>
      <c r="HIR73" s="371"/>
      <c r="HIS73" s="371"/>
      <c r="HIT73" s="371"/>
      <c r="HIU73" s="371"/>
      <c r="HIV73" s="371"/>
      <c r="HIW73" s="371"/>
      <c r="HIX73" s="371"/>
      <c r="HIY73" s="371"/>
      <c r="HIZ73" s="371"/>
      <c r="HJA73" s="371"/>
      <c r="HJB73" s="371"/>
      <c r="HJC73" s="382"/>
      <c r="HJG73" s="371"/>
      <c r="HJH73" s="371"/>
      <c r="HJI73" s="371"/>
      <c r="HJJ73" s="371"/>
      <c r="HJK73" s="371"/>
      <c r="HJL73" s="371"/>
      <c r="HJM73" s="371"/>
      <c r="HJN73" s="371"/>
      <c r="HJO73" s="371"/>
      <c r="HJP73" s="371"/>
      <c r="HJQ73" s="371"/>
      <c r="HJR73" s="371"/>
      <c r="HJS73" s="371"/>
      <c r="HJT73" s="371"/>
      <c r="HJU73" s="371"/>
      <c r="HJV73" s="371"/>
      <c r="HJW73" s="371"/>
      <c r="HJX73" s="371"/>
      <c r="HJY73" s="371"/>
      <c r="HJZ73" s="371"/>
      <c r="HKA73" s="371"/>
      <c r="HKB73" s="371"/>
      <c r="HKC73" s="371"/>
      <c r="HKD73" s="371"/>
      <c r="HKE73" s="371"/>
      <c r="HKF73" s="371"/>
      <c r="HKG73" s="382"/>
      <c r="HKK73" s="371"/>
      <c r="HKL73" s="371"/>
      <c r="HKM73" s="371"/>
      <c r="HKN73" s="371"/>
      <c r="HKO73" s="371"/>
      <c r="HKP73" s="371"/>
      <c r="HKQ73" s="371"/>
      <c r="HKR73" s="371"/>
      <c r="HKS73" s="371"/>
      <c r="HKT73" s="371"/>
      <c r="HKU73" s="371"/>
      <c r="HKV73" s="371"/>
      <c r="HKW73" s="371"/>
      <c r="HKX73" s="371"/>
      <c r="HKY73" s="371"/>
      <c r="HKZ73" s="371"/>
      <c r="HLA73" s="371"/>
      <c r="HLB73" s="371"/>
      <c r="HLC73" s="371"/>
      <c r="HLD73" s="371"/>
      <c r="HLE73" s="371"/>
      <c r="HLF73" s="371"/>
      <c r="HLG73" s="371"/>
      <c r="HLH73" s="371"/>
      <c r="HLI73" s="371"/>
      <c r="HLJ73" s="371"/>
      <c r="HLK73" s="382"/>
      <c r="HLO73" s="371"/>
      <c r="HLP73" s="371"/>
      <c r="HLQ73" s="371"/>
      <c r="HLR73" s="371"/>
      <c r="HLS73" s="371"/>
      <c r="HLT73" s="371"/>
      <c r="HLU73" s="371"/>
      <c r="HLV73" s="371"/>
      <c r="HLW73" s="371"/>
      <c r="HLX73" s="371"/>
      <c r="HLY73" s="371"/>
      <c r="HLZ73" s="371"/>
      <c r="HMA73" s="371"/>
      <c r="HMB73" s="371"/>
      <c r="HMC73" s="371"/>
      <c r="HMD73" s="371"/>
      <c r="HME73" s="371"/>
      <c r="HMF73" s="371"/>
      <c r="HMG73" s="371"/>
      <c r="HMH73" s="371"/>
      <c r="HMI73" s="371"/>
      <c r="HMJ73" s="371"/>
      <c r="HMK73" s="371"/>
      <c r="HML73" s="371"/>
      <c r="HMM73" s="371"/>
      <c r="HMN73" s="371"/>
      <c r="HMO73" s="382"/>
      <c r="HMS73" s="371"/>
      <c r="HMT73" s="371"/>
      <c r="HMU73" s="371"/>
      <c r="HMV73" s="371"/>
      <c r="HMW73" s="371"/>
      <c r="HMX73" s="371"/>
      <c r="HMY73" s="371"/>
      <c r="HMZ73" s="371"/>
      <c r="HNA73" s="371"/>
      <c r="HNB73" s="371"/>
      <c r="HNC73" s="371"/>
      <c r="HND73" s="371"/>
      <c r="HNE73" s="371"/>
      <c r="HNF73" s="371"/>
      <c r="HNG73" s="371"/>
      <c r="HNH73" s="371"/>
      <c r="HNI73" s="371"/>
      <c r="HNJ73" s="371"/>
      <c r="HNK73" s="371"/>
      <c r="HNL73" s="371"/>
      <c r="HNM73" s="371"/>
      <c r="HNN73" s="371"/>
      <c r="HNO73" s="371"/>
      <c r="HNP73" s="371"/>
      <c r="HNQ73" s="371"/>
      <c r="HNR73" s="371"/>
      <c r="HNS73" s="382"/>
      <c r="HNW73" s="371"/>
      <c r="HNX73" s="371"/>
      <c r="HNY73" s="371"/>
      <c r="HNZ73" s="371"/>
      <c r="HOA73" s="371"/>
      <c r="HOB73" s="371"/>
      <c r="HOC73" s="371"/>
      <c r="HOD73" s="371"/>
      <c r="HOE73" s="371"/>
      <c r="HOF73" s="371"/>
      <c r="HOG73" s="371"/>
      <c r="HOH73" s="371"/>
      <c r="HOI73" s="371"/>
      <c r="HOJ73" s="371"/>
      <c r="HOK73" s="371"/>
      <c r="HOL73" s="371"/>
      <c r="HOM73" s="371"/>
      <c r="HON73" s="371"/>
      <c r="HOO73" s="371"/>
      <c r="HOP73" s="371"/>
      <c r="HOQ73" s="371"/>
      <c r="HOR73" s="371"/>
      <c r="HOS73" s="371"/>
      <c r="HOT73" s="371"/>
      <c r="HOU73" s="371"/>
      <c r="HOV73" s="371"/>
      <c r="HOW73" s="382"/>
      <c r="HPA73" s="371"/>
      <c r="HPB73" s="371"/>
      <c r="HPC73" s="371"/>
      <c r="HPD73" s="371"/>
      <c r="HPE73" s="371"/>
      <c r="HPF73" s="371"/>
      <c r="HPG73" s="371"/>
      <c r="HPH73" s="371"/>
      <c r="HPI73" s="371"/>
      <c r="HPJ73" s="371"/>
      <c r="HPK73" s="371"/>
      <c r="HPL73" s="371"/>
      <c r="HPM73" s="371"/>
      <c r="HPN73" s="371"/>
      <c r="HPO73" s="371"/>
      <c r="HPP73" s="371"/>
      <c r="HPQ73" s="371"/>
      <c r="HPR73" s="371"/>
      <c r="HPS73" s="371"/>
      <c r="HPT73" s="371"/>
      <c r="HPU73" s="371"/>
      <c r="HPV73" s="371"/>
      <c r="HPW73" s="371"/>
      <c r="HPX73" s="371"/>
      <c r="HPY73" s="371"/>
      <c r="HPZ73" s="371"/>
      <c r="HQA73" s="382"/>
      <c r="HQE73" s="371"/>
      <c r="HQF73" s="371"/>
      <c r="HQG73" s="371"/>
      <c r="HQH73" s="371"/>
      <c r="HQI73" s="371"/>
      <c r="HQJ73" s="371"/>
      <c r="HQK73" s="371"/>
      <c r="HQL73" s="371"/>
      <c r="HQM73" s="371"/>
      <c r="HQN73" s="371"/>
      <c r="HQO73" s="371"/>
      <c r="HQP73" s="371"/>
      <c r="HQQ73" s="371"/>
      <c r="HQR73" s="371"/>
      <c r="HQS73" s="371"/>
      <c r="HQT73" s="371"/>
      <c r="HQU73" s="371"/>
      <c r="HQV73" s="371"/>
      <c r="HQW73" s="371"/>
      <c r="HQX73" s="371"/>
      <c r="HQY73" s="371"/>
      <c r="HQZ73" s="371"/>
      <c r="HRA73" s="371"/>
      <c r="HRB73" s="371"/>
      <c r="HRC73" s="371"/>
      <c r="HRD73" s="371"/>
      <c r="HRE73" s="382"/>
      <c r="HRI73" s="371"/>
      <c r="HRJ73" s="371"/>
      <c r="HRK73" s="371"/>
      <c r="HRL73" s="371"/>
      <c r="HRM73" s="371"/>
      <c r="HRN73" s="371"/>
      <c r="HRO73" s="371"/>
      <c r="HRP73" s="371"/>
      <c r="HRQ73" s="371"/>
      <c r="HRR73" s="371"/>
      <c r="HRS73" s="371"/>
      <c r="HRT73" s="371"/>
      <c r="HRU73" s="371"/>
      <c r="HRV73" s="371"/>
      <c r="HRW73" s="371"/>
      <c r="HRX73" s="371"/>
      <c r="HRY73" s="371"/>
      <c r="HRZ73" s="371"/>
      <c r="HSA73" s="371"/>
      <c r="HSB73" s="371"/>
      <c r="HSC73" s="371"/>
      <c r="HSD73" s="371"/>
      <c r="HSE73" s="371"/>
      <c r="HSF73" s="371"/>
      <c r="HSG73" s="371"/>
      <c r="HSH73" s="371"/>
      <c r="HSI73" s="382"/>
      <c r="HSM73" s="371"/>
      <c r="HSN73" s="371"/>
      <c r="HSO73" s="371"/>
      <c r="HSP73" s="371"/>
      <c r="HSQ73" s="371"/>
      <c r="HSR73" s="371"/>
      <c r="HSS73" s="371"/>
      <c r="HST73" s="371"/>
      <c r="HSU73" s="371"/>
      <c r="HSV73" s="371"/>
      <c r="HSW73" s="371"/>
      <c r="HSX73" s="371"/>
      <c r="HSY73" s="371"/>
      <c r="HSZ73" s="371"/>
      <c r="HTA73" s="371"/>
      <c r="HTB73" s="371"/>
      <c r="HTC73" s="371"/>
      <c r="HTD73" s="371"/>
      <c r="HTE73" s="371"/>
      <c r="HTF73" s="371"/>
      <c r="HTG73" s="371"/>
      <c r="HTH73" s="371"/>
      <c r="HTI73" s="371"/>
      <c r="HTJ73" s="371"/>
      <c r="HTK73" s="371"/>
      <c r="HTL73" s="371"/>
      <c r="HTM73" s="382"/>
      <c r="HTQ73" s="371"/>
      <c r="HTR73" s="371"/>
      <c r="HTS73" s="371"/>
      <c r="HTT73" s="371"/>
      <c r="HTU73" s="371"/>
      <c r="HTV73" s="371"/>
      <c r="HTW73" s="371"/>
      <c r="HTX73" s="371"/>
      <c r="HTY73" s="371"/>
      <c r="HTZ73" s="371"/>
      <c r="HUA73" s="371"/>
      <c r="HUB73" s="371"/>
      <c r="HUC73" s="371"/>
      <c r="HUD73" s="371"/>
      <c r="HUE73" s="371"/>
      <c r="HUF73" s="371"/>
      <c r="HUG73" s="371"/>
      <c r="HUH73" s="371"/>
      <c r="HUI73" s="371"/>
      <c r="HUJ73" s="371"/>
      <c r="HUK73" s="371"/>
      <c r="HUL73" s="371"/>
      <c r="HUM73" s="371"/>
      <c r="HUN73" s="371"/>
      <c r="HUO73" s="371"/>
      <c r="HUP73" s="371"/>
      <c r="HUQ73" s="382"/>
      <c r="HUU73" s="371"/>
      <c r="HUV73" s="371"/>
      <c r="HUW73" s="371"/>
      <c r="HUX73" s="371"/>
      <c r="HUY73" s="371"/>
      <c r="HUZ73" s="371"/>
      <c r="HVA73" s="371"/>
      <c r="HVB73" s="371"/>
      <c r="HVC73" s="371"/>
      <c r="HVD73" s="371"/>
      <c r="HVE73" s="371"/>
      <c r="HVF73" s="371"/>
      <c r="HVG73" s="371"/>
      <c r="HVH73" s="371"/>
      <c r="HVI73" s="371"/>
      <c r="HVJ73" s="371"/>
      <c r="HVK73" s="371"/>
      <c r="HVL73" s="371"/>
      <c r="HVM73" s="371"/>
      <c r="HVN73" s="371"/>
      <c r="HVO73" s="371"/>
      <c r="HVP73" s="371"/>
      <c r="HVQ73" s="371"/>
      <c r="HVR73" s="371"/>
      <c r="HVS73" s="371"/>
      <c r="HVT73" s="371"/>
      <c r="HVU73" s="382"/>
      <c r="HVY73" s="371"/>
      <c r="HVZ73" s="371"/>
      <c r="HWA73" s="371"/>
      <c r="HWB73" s="371"/>
      <c r="HWC73" s="371"/>
      <c r="HWD73" s="371"/>
      <c r="HWE73" s="371"/>
      <c r="HWF73" s="371"/>
      <c r="HWG73" s="371"/>
      <c r="HWH73" s="371"/>
      <c r="HWI73" s="371"/>
      <c r="HWJ73" s="371"/>
      <c r="HWK73" s="371"/>
      <c r="HWL73" s="371"/>
      <c r="HWM73" s="371"/>
      <c r="HWN73" s="371"/>
      <c r="HWO73" s="371"/>
      <c r="HWP73" s="371"/>
      <c r="HWQ73" s="371"/>
      <c r="HWR73" s="371"/>
      <c r="HWS73" s="371"/>
      <c r="HWT73" s="371"/>
      <c r="HWU73" s="371"/>
      <c r="HWV73" s="371"/>
      <c r="HWW73" s="371"/>
      <c r="HWX73" s="371"/>
      <c r="HWY73" s="382"/>
      <c r="HXC73" s="371"/>
      <c r="HXD73" s="371"/>
      <c r="HXE73" s="371"/>
      <c r="HXF73" s="371"/>
      <c r="HXG73" s="371"/>
      <c r="HXH73" s="371"/>
      <c r="HXI73" s="371"/>
      <c r="HXJ73" s="371"/>
      <c r="HXK73" s="371"/>
      <c r="HXL73" s="371"/>
      <c r="HXM73" s="371"/>
      <c r="HXN73" s="371"/>
      <c r="HXO73" s="371"/>
      <c r="HXP73" s="371"/>
      <c r="HXQ73" s="371"/>
      <c r="HXR73" s="371"/>
      <c r="HXS73" s="371"/>
      <c r="HXT73" s="371"/>
      <c r="HXU73" s="371"/>
      <c r="HXV73" s="371"/>
      <c r="HXW73" s="371"/>
      <c r="HXX73" s="371"/>
      <c r="HXY73" s="371"/>
      <c r="HXZ73" s="371"/>
      <c r="HYA73" s="371"/>
      <c r="HYB73" s="371"/>
      <c r="HYC73" s="382"/>
      <c r="HYG73" s="371"/>
      <c r="HYH73" s="371"/>
      <c r="HYI73" s="371"/>
      <c r="HYJ73" s="371"/>
      <c r="HYK73" s="371"/>
      <c r="HYL73" s="371"/>
      <c r="HYM73" s="371"/>
      <c r="HYN73" s="371"/>
      <c r="HYO73" s="371"/>
      <c r="HYP73" s="371"/>
      <c r="HYQ73" s="371"/>
      <c r="HYR73" s="371"/>
      <c r="HYS73" s="371"/>
      <c r="HYT73" s="371"/>
      <c r="HYU73" s="371"/>
      <c r="HYV73" s="371"/>
      <c r="HYW73" s="371"/>
      <c r="HYX73" s="371"/>
      <c r="HYY73" s="371"/>
      <c r="HYZ73" s="371"/>
      <c r="HZA73" s="371"/>
      <c r="HZB73" s="371"/>
      <c r="HZC73" s="371"/>
      <c r="HZD73" s="371"/>
      <c r="HZE73" s="371"/>
      <c r="HZF73" s="371"/>
      <c r="HZG73" s="382"/>
      <c r="HZK73" s="371"/>
      <c r="HZL73" s="371"/>
      <c r="HZM73" s="371"/>
      <c r="HZN73" s="371"/>
      <c r="HZO73" s="371"/>
      <c r="HZP73" s="371"/>
      <c r="HZQ73" s="371"/>
      <c r="HZR73" s="371"/>
      <c r="HZS73" s="371"/>
      <c r="HZT73" s="371"/>
      <c r="HZU73" s="371"/>
      <c r="HZV73" s="371"/>
      <c r="HZW73" s="371"/>
      <c r="HZX73" s="371"/>
      <c r="HZY73" s="371"/>
      <c r="HZZ73" s="371"/>
      <c r="IAA73" s="371"/>
      <c r="IAB73" s="371"/>
      <c r="IAC73" s="371"/>
      <c r="IAD73" s="371"/>
      <c r="IAE73" s="371"/>
      <c r="IAF73" s="371"/>
      <c r="IAG73" s="371"/>
      <c r="IAH73" s="371"/>
      <c r="IAI73" s="371"/>
      <c r="IAJ73" s="371"/>
      <c r="IAK73" s="382"/>
      <c r="IAO73" s="371"/>
      <c r="IAP73" s="371"/>
      <c r="IAQ73" s="371"/>
      <c r="IAR73" s="371"/>
      <c r="IAS73" s="371"/>
      <c r="IAT73" s="371"/>
      <c r="IAU73" s="371"/>
      <c r="IAV73" s="371"/>
      <c r="IAW73" s="371"/>
      <c r="IAX73" s="371"/>
      <c r="IAY73" s="371"/>
      <c r="IAZ73" s="371"/>
      <c r="IBA73" s="371"/>
      <c r="IBB73" s="371"/>
      <c r="IBC73" s="371"/>
      <c r="IBD73" s="371"/>
      <c r="IBE73" s="371"/>
      <c r="IBF73" s="371"/>
      <c r="IBG73" s="371"/>
      <c r="IBH73" s="371"/>
      <c r="IBI73" s="371"/>
      <c r="IBJ73" s="371"/>
      <c r="IBK73" s="371"/>
      <c r="IBL73" s="371"/>
      <c r="IBM73" s="371"/>
      <c r="IBN73" s="371"/>
      <c r="IBO73" s="382"/>
      <c r="IBS73" s="371"/>
      <c r="IBT73" s="371"/>
      <c r="IBU73" s="371"/>
      <c r="IBV73" s="371"/>
      <c r="IBW73" s="371"/>
      <c r="IBX73" s="371"/>
      <c r="IBY73" s="371"/>
      <c r="IBZ73" s="371"/>
      <c r="ICA73" s="371"/>
      <c r="ICB73" s="371"/>
      <c r="ICC73" s="371"/>
      <c r="ICD73" s="371"/>
      <c r="ICE73" s="371"/>
      <c r="ICF73" s="371"/>
      <c r="ICG73" s="371"/>
      <c r="ICH73" s="371"/>
      <c r="ICI73" s="371"/>
      <c r="ICJ73" s="371"/>
      <c r="ICK73" s="371"/>
      <c r="ICL73" s="371"/>
      <c r="ICM73" s="371"/>
      <c r="ICN73" s="371"/>
      <c r="ICO73" s="371"/>
      <c r="ICP73" s="371"/>
      <c r="ICQ73" s="371"/>
      <c r="ICR73" s="371"/>
      <c r="ICS73" s="382"/>
      <c r="ICW73" s="371"/>
      <c r="ICX73" s="371"/>
      <c r="ICY73" s="371"/>
      <c r="ICZ73" s="371"/>
      <c r="IDA73" s="371"/>
      <c r="IDB73" s="371"/>
      <c r="IDC73" s="371"/>
      <c r="IDD73" s="371"/>
      <c r="IDE73" s="371"/>
      <c r="IDF73" s="371"/>
      <c r="IDG73" s="371"/>
      <c r="IDH73" s="371"/>
      <c r="IDI73" s="371"/>
      <c r="IDJ73" s="371"/>
      <c r="IDK73" s="371"/>
      <c r="IDL73" s="371"/>
      <c r="IDM73" s="371"/>
      <c r="IDN73" s="371"/>
      <c r="IDO73" s="371"/>
      <c r="IDP73" s="371"/>
      <c r="IDQ73" s="371"/>
      <c r="IDR73" s="371"/>
      <c r="IDS73" s="371"/>
      <c r="IDT73" s="371"/>
      <c r="IDU73" s="371"/>
      <c r="IDV73" s="371"/>
      <c r="IDW73" s="382"/>
      <c r="IEA73" s="371"/>
      <c r="IEB73" s="371"/>
      <c r="IEC73" s="371"/>
      <c r="IED73" s="371"/>
      <c r="IEE73" s="371"/>
      <c r="IEF73" s="371"/>
      <c r="IEG73" s="371"/>
      <c r="IEH73" s="371"/>
      <c r="IEI73" s="371"/>
      <c r="IEJ73" s="371"/>
      <c r="IEK73" s="371"/>
      <c r="IEL73" s="371"/>
      <c r="IEM73" s="371"/>
      <c r="IEN73" s="371"/>
      <c r="IEO73" s="371"/>
      <c r="IEP73" s="371"/>
      <c r="IEQ73" s="371"/>
      <c r="IER73" s="371"/>
      <c r="IES73" s="371"/>
      <c r="IET73" s="371"/>
      <c r="IEU73" s="371"/>
      <c r="IEV73" s="371"/>
      <c r="IEW73" s="371"/>
      <c r="IEX73" s="371"/>
      <c r="IEY73" s="371"/>
      <c r="IEZ73" s="371"/>
      <c r="IFA73" s="382"/>
      <c r="IFE73" s="371"/>
      <c r="IFF73" s="371"/>
      <c r="IFG73" s="371"/>
      <c r="IFH73" s="371"/>
      <c r="IFI73" s="371"/>
      <c r="IFJ73" s="371"/>
      <c r="IFK73" s="371"/>
      <c r="IFL73" s="371"/>
      <c r="IFM73" s="371"/>
      <c r="IFN73" s="371"/>
      <c r="IFO73" s="371"/>
      <c r="IFP73" s="371"/>
      <c r="IFQ73" s="371"/>
      <c r="IFR73" s="371"/>
      <c r="IFS73" s="371"/>
      <c r="IFT73" s="371"/>
      <c r="IFU73" s="371"/>
      <c r="IFV73" s="371"/>
      <c r="IFW73" s="371"/>
      <c r="IFX73" s="371"/>
      <c r="IFY73" s="371"/>
      <c r="IFZ73" s="371"/>
      <c r="IGA73" s="371"/>
      <c r="IGB73" s="371"/>
      <c r="IGC73" s="371"/>
      <c r="IGD73" s="371"/>
      <c r="IGE73" s="382"/>
      <c r="IGI73" s="371"/>
      <c r="IGJ73" s="371"/>
      <c r="IGK73" s="371"/>
      <c r="IGL73" s="371"/>
      <c r="IGM73" s="371"/>
      <c r="IGN73" s="371"/>
      <c r="IGO73" s="371"/>
      <c r="IGP73" s="371"/>
      <c r="IGQ73" s="371"/>
      <c r="IGR73" s="371"/>
      <c r="IGS73" s="371"/>
      <c r="IGT73" s="371"/>
      <c r="IGU73" s="371"/>
      <c r="IGV73" s="371"/>
      <c r="IGW73" s="371"/>
      <c r="IGX73" s="371"/>
      <c r="IGY73" s="371"/>
      <c r="IGZ73" s="371"/>
      <c r="IHA73" s="371"/>
      <c r="IHB73" s="371"/>
      <c r="IHC73" s="371"/>
      <c r="IHD73" s="371"/>
      <c r="IHE73" s="371"/>
      <c r="IHF73" s="371"/>
      <c r="IHG73" s="371"/>
      <c r="IHH73" s="371"/>
      <c r="IHI73" s="382"/>
      <c r="IHM73" s="371"/>
      <c r="IHN73" s="371"/>
      <c r="IHO73" s="371"/>
      <c r="IHP73" s="371"/>
      <c r="IHQ73" s="371"/>
      <c r="IHR73" s="371"/>
      <c r="IHS73" s="371"/>
      <c r="IHT73" s="371"/>
      <c r="IHU73" s="371"/>
      <c r="IHV73" s="371"/>
      <c r="IHW73" s="371"/>
      <c r="IHX73" s="371"/>
      <c r="IHY73" s="371"/>
      <c r="IHZ73" s="371"/>
      <c r="IIA73" s="371"/>
      <c r="IIB73" s="371"/>
      <c r="IIC73" s="371"/>
      <c r="IID73" s="371"/>
      <c r="IIE73" s="371"/>
      <c r="IIF73" s="371"/>
      <c r="IIG73" s="371"/>
      <c r="IIH73" s="371"/>
      <c r="III73" s="371"/>
      <c r="IIJ73" s="371"/>
      <c r="IIK73" s="371"/>
      <c r="IIL73" s="371"/>
      <c r="IIM73" s="382"/>
      <c r="IIQ73" s="371"/>
      <c r="IIR73" s="371"/>
      <c r="IIS73" s="371"/>
      <c r="IIT73" s="371"/>
      <c r="IIU73" s="371"/>
      <c r="IIV73" s="371"/>
      <c r="IIW73" s="371"/>
      <c r="IIX73" s="371"/>
      <c r="IIY73" s="371"/>
      <c r="IIZ73" s="371"/>
      <c r="IJA73" s="371"/>
      <c r="IJB73" s="371"/>
      <c r="IJC73" s="371"/>
      <c r="IJD73" s="371"/>
      <c r="IJE73" s="371"/>
      <c r="IJF73" s="371"/>
      <c r="IJG73" s="371"/>
      <c r="IJH73" s="371"/>
      <c r="IJI73" s="371"/>
      <c r="IJJ73" s="371"/>
      <c r="IJK73" s="371"/>
      <c r="IJL73" s="371"/>
      <c r="IJM73" s="371"/>
      <c r="IJN73" s="371"/>
      <c r="IJO73" s="371"/>
      <c r="IJP73" s="371"/>
      <c r="IJQ73" s="382"/>
      <c r="IJU73" s="371"/>
      <c r="IJV73" s="371"/>
      <c r="IJW73" s="371"/>
      <c r="IJX73" s="371"/>
      <c r="IJY73" s="371"/>
      <c r="IJZ73" s="371"/>
      <c r="IKA73" s="371"/>
      <c r="IKB73" s="371"/>
      <c r="IKC73" s="371"/>
      <c r="IKD73" s="371"/>
      <c r="IKE73" s="371"/>
      <c r="IKF73" s="371"/>
      <c r="IKG73" s="371"/>
      <c r="IKH73" s="371"/>
      <c r="IKI73" s="371"/>
      <c r="IKJ73" s="371"/>
      <c r="IKK73" s="371"/>
      <c r="IKL73" s="371"/>
      <c r="IKM73" s="371"/>
      <c r="IKN73" s="371"/>
      <c r="IKO73" s="371"/>
      <c r="IKP73" s="371"/>
      <c r="IKQ73" s="371"/>
      <c r="IKR73" s="371"/>
      <c r="IKS73" s="371"/>
      <c r="IKT73" s="371"/>
      <c r="IKU73" s="382"/>
      <c r="IKY73" s="371"/>
      <c r="IKZ73" s="371"/>
      <c r="ILA73" s="371"/>
      <c r="ILB73" s="371"/>
      <c r="ILC73" s="371"/>
      <c r="ILD73" s="371"/>
      <c r="ILE73" s="371"/>
      <c r="ILF73" s="371"/>
      <c r="ILG73" s="371"/>
      <c r="ILH73" s="371"/>
      <c r="ILI73" s="371"/>
      <c r="ILJ73" s="371"/>
      <c r="ILK73" s="371"/>
      <c r="ILL73" s="371"/>
      <c r="ILM73" s="371"/>
      <c r="ILN73" s="371"/>
      <c r="ILO73" s="371"/>
      <c r="ILP73" s="371"/>
      <c r="ILQ73" s="371"/>
      <c r="ILR73" s="371"/>
      <c r="ILS73" s="371"/>
      <c r="ILT73" s="371"/>
      <c r="ILU73" s="371"/>
      <c r="ILV73" s="371"/>
      <c r="ILW73" s="371"/>
      <c r="ILX73" s="371"/>
      <c r="ILY73" s="382"/>
      <c r="IMC73" s="371"/>
      <c r="IMD73" s="371"/>
      <c r="IME73" s="371"/>
      <c r="IMF73" s="371"/>
      <c r="IMG73" s="371"/>
      <c r="IMH73" s="371"/>
      <c r="IMI73" s="371"/>
      <c r="IMJ73" s="371"/>
      <c r="IMK73" s="371"/>
      <c r="IML73" s="371"/>
      <c r="IMM73" s="371"/>
      <c r="IMN73" s="371"/>
      <c r="IMO73" s="371"/>
      <c r="IMP73" s="371"/>
      <c r="IMQ73" s="371"/>
      <c r="IMR73" s="371"/>
      <c r="IMS73" s="371"/>
      <c r="IMT73" s="371"/>
      <c r="IMU73" s="371"/>
      <c r="IMV73" s="371"/>
      <c r="IMW73" s="371"/>
      <c r="IMX73" s="371"/>
      <c r="IMY73" s="371"/>
      <c r="IMZ73" s="371"/>
      <c r="INA73" s="371"/>
      <c r="INB73" s="371"/>
      <c r="INC73" s="382"/>
      <c r="ING73" s="371"/>
      <c r="INH73" s="371"/>
      <c r="INI73" s="371"/>
      <c r="INJ73" s="371"/>
      <c r="INK73" s="371"/>
      <c r="INL73" s="371"/>
      <c r="INM73" s="371"/>
      <c r="INN73" s="371"/>
      <c r="INO73" s="371"/>
      <c r="INP73" s="371"/>
      <c r="INQ73" s="371"/>
      <c r="INR73" s="371"/>
      <c r="INS73" s="371"/>
      <c r="INT73" s="371"/>
      <c r="INU73" s="371"/>
      <c r="INV73" s="371"/>
      <c r="INW73" s="371"/>
      <c r="INX73" s="371"/>
      <c r="INY73" s="371"/>
      <c r="INZ73" s="371"/>
      <c r="IOA73" s="371"/>
      <c r="IOB73" s="371"/>
      <c r="IOC73" s="371"/>
      <c r="IOD73" s="371"/>
      <c r="IOE73" s="371"/>
      <c r="IOF73" s="371"/>
      <c r="IOG73" s="382"/>
      <c r="IOK73" s="371"/>
      <c r="IOL73" s="371"/>
      <c r="IOM73" s="371"/>
      <c r="ION73" s="371"/>
      <c r="IOO73" s="371"/>
      <c r="IOP73" s="371"/>
      <c r="IOQ73" s="371"/>
      <c r="IOR73" s="371"/>
      <c r="IOS73" s="371"/>
      <c r="IOT73" s="371"/>
      <c r="IOU73" s="371"/>
      <c r="IOV73" s="371"/>
      <c r="IOW73" s="371"/>
      <c r="IOX73" s="371"/>
      <c r="IOY73" s="371"/>
      <c r="IOZ73" s="371"/>
      <c r="IPA73" s="371"/>
      <c r="IPB73" s="371"/>
      <c r="IPC73" s="371"/>
      <c r="IPD73" s="371"/>
      <c r="IPE73" s="371"/>
      <c r="IPF73" s="371"/>
      <c r="IPG73" s="371"/>
      <c r="IPH73" s="371"/>
      <c r="IPI73" s="371"/>
      <c r="IPJ73" s="371"/>
      <c r="IPK73" s="382"/>
      <c r="IPO73" s="371"/>
      <c r="IPP73" s="371"/>
      <c r="IPQ73" s="371"/>
      <c r="IPR73" s="371"/>
      <c r="IPS73" s="371"/>
      <c r="IPT73" s="371"/>
      <c r="IPU73" s="371"/>
      <c r="IPV73" s="371"/>
      <c r="IPW73" s="371"/>
      <c r="IPX73" s="371"/>
      <c r="IPY73" s="371"/>
      <c r="IPZ73" s="371"/>
      <c r="IQA73" s="371"/>
      <c r="IQB73" s="371"/>
      <c r="IQC73" s="371"/>
      <c r="IQD73" s="371"/>
      <c r="IQE73" s="371"/>
      <c r="IQF73" s="371"/>
      <c r="IQG73" s="371"/>
      <c r="IQH73" s="371"/>
      <c r="IQI73" s="371"/>
      <c r="IQJ73" s="371"/>
      <c r="IQK73" s="371"/>
      <c r="IQL73" s="371"/>
      <c r="IQM73" s="371"/>
      <c r="IQN73" s="371"/>
      <c r="IQO73" s="382"/>
      <c r="IQS73" s="371"/>
      <c r="IQT73" s="371"/>
      <c r="IQU73" s="371"/>
      <c r="IQV73" s="371"/>
      <c r="IQW73" s="371"/>
      <c r="IQX73" s="371"/>
      <c r="IQY73" s="371"/>
      <c r="IQZ73" s="371"/>
      <c r="IRA73" s="371"/>
      <c r="IRB73" s="371"/>
      <c r="IRC73" s="371"/>
      <c r="IRD73" s="371"/>
      <c r="IRE73" s="371"/>
      <c r="IRF73" s="371"/>
      <c r="IRG73" s="371"/>
      <c r="IRH73" s="371"/>
      <c r="IRI73" s="371"/>
      <c r="IRJ73" s="371"/>
      <c r="IRK73" s="371"/>
      <c r="IRL73" s="371"/>
      <c r="IRM73" s="371"/>
      <c r="IRN73" s="371"/>
      <c r="IRO73" s="371"/>
      <c r="IRP73" s="371"/>
      <c r="IRQ73" s="371"/>
      <c r="IRR73" s="371"/>
      <c r="IRS73" s="382"/>
      <c r="IRW73" s="371"/>
      <c r="IRX73" s="371"/>
      <c r="IRY73" s="371"/>
      <c r="IRZ73" s="371"/>
      <c r="ISA73" s="371"/>
      <c r="ISB73" s="371"/>
      <c r="ISC73" s="371"/>
      <c r="ISD73" s="371"/>
      <c r="ISE73" s="371"/>
      <c r="ISF73" s="371"/>
      <c r="ISG73" s="371"/>
      <c r="ISH73" s="371"/>
      <c r="ISI73" s="371"/>
      <c r="ISJ73" s="371"/>
      <c r="ISK73" s="371"/>
      <c r="ISL73" s="371"/>
      <c r="ISM73" s="371"/>
      <c r="ISN73" s="371"/>
      <c r="ISO73" s="371"/>
      <c r="ISP73" s="371"/>
      <c r="ISQ73" s="371"/>
      <c r="ISR73" s="371"/>
      <c r="ISS73" s="371"/>
      <c r="IST73" s="371"/>
      <c r="ISU73" s="371"/>
      <c r="ISV73" s="371"/>
      <c r="ISW73" s="382"/>
      <c r="ITA73" s="371"/>
      <c r="ITB73" s="371"/>
      <c r="ITC73" s="371"/>
      <c r="ITD73" s="371"/>
      <c r="ITE73" s="371"/>
      <c r="ITF73" s="371"/>
      <c r="ITG73" s="371"/>
      <c r="ITH73" s="371"/>
      <c r="ITI73" s="371"/>
      <c r="ITJ73" s="371"/>
      <c r="ITK73" s="371"/>
      <c r="ITL73" s="371"/>
      <c r="ITM73" s="371"/>
      <c r="ITN73" s="371"/>
      <c r="ITO73" s="371"/>
      <c r="ITP73" s="371"/>
      <c r="ITQ73" s="371"/>
      <c r="ITR73" s="371"/>
      <c r="ITS73" s="371"/>
      <c r="ITT73" s="371"/>
      <c r="ITU73" s="371"/>
      <c r="ITV73" s="371"/>
      <c r="ITW73" s="371"/>
      <c r="ITX73" s="371"/>
      <c r="ITY73" s="371"/>
      <c r="ITZ73" s="371"/>
      <c r="IUA73" s="382"/>
      <c r="IUE73" s="371"/>
      <c r="IUF73" s="371"/>
      <c r="IUG73" s="371"/>
      <c r="IUH73" s="371"/>
      <c r="IUI73" s="371"/>
      <c r="IUJ73" s="371"/>
      <c r="IUK73" s="371"/>
      <c r="IUL73" s="371"/>
      <c r="IUM73" s="371"/>
      <c r="IUN73" s="371"/>
      <c r="IUO73" s="371"/>
      <c r="IUP73" s="371"/>
      <c r="IUQ73" s="371"/>
      <c r="IUR73" s="371"/>
      <c r="IUS73" s="371"/>
      <c r="IUT73" s="371"/>
      <c r="IUU73" s="371"/>
      <c r="IUV73" s="371"/>
      <c r="IUW73" s="371"/>
      <c r="IUX73" s="371"/>
      <c r="IUY73" s="371"/>
      <c r="IUZ73" s="371"/>
      <c r="IVA73" s="371"/>
      <c r="IVB73" s="371"/>
      <c r="IVC73" s="371"/>
      <c r="IVD73" s="371"/>
      <c r="IVE73" s="382"/>
      <c r="IVI73" s="371"/>
      <c r="IVJ73" s="371"/>
      <c r="IVK73" s="371"/>
      <c r="IVL73" s="371"/>
      <c r="IVM73" s="371"/>
      <c r="IVN73" s="371"/>
      <c r="IVO73" s="371"/>
      <c r="IVP73" s="371"/>
      <c r="IVQ73" s="371"/>
      <c r="IVR73" s="371"/>
      <c r="IVS73" s="371"/>
      <c r="IVT73" s="371"/>
      <c r="IVU73" s="371"/>
      <c r="IVV73" s="371"/>
      <c r="IVW73" s="371"/>
      <c r="IVX73" s="371"/>
      <c r="IVY73" s="371"/>
      <c r="IVZ73" s="371"/>
      <c r="IWA73" s="371"/>
      <c r="IWB73" s="371"/>
      <c r="IWC73" s="371"/>
      <c r="IWD73" s="371"/>
      <c r="IWE73" s="371"/>
      <c r="IWF73" s="371"/>
      <c r="IWG73" s="371"/>
      <c r="IWH73" s="371"/>
      <c r="IWI73" s="382"/>
      <c r="IWM73" s="371"/>
      <c r="IWN73" s="371"/>
      <c r="IWO73" s="371"/>
      <c r="IWP73" s="371"/>
      <c r="IWQ73" s="371"/>
      <c r="IWR73" s="371"/>
      <c r="IWS73" s="371"/>
      <c r="IWT73" s="371"/>
      <c r="IWU73" s="371"/>
      <c r="IWV73" s="371"/>
      <c r="IWW73" s="371"/>
      <c r="IWX73" s="371"/>
      <c r="IWY73" s="371"/>
      <c r="IWZ73" s="371"/>
      <c r="IXA73" s="371"/>
      <c r="IXB73" s="371"/>
      <c r="IXC73" s="371"/>
      <c r="IXD73" s="371"/>
      <c r="IXE73" s="371"/>
      <c r="IXF73" s="371"/>
      <c r="IXG73" s="371"/>
      <c r="IXH73" s="371"/>
      <c r="IXI73" s="371"/>
      <c r="IXJ73" s="371"/>
      <c r="IXK73" s="371"/>
      <c r="IXL73" s="371"/>
      <c r="IXM73" s="382"/>
      <c r="IXQ73" s="371"/>
      <c r="IXR73" s="371"/>
      <c r="IXS73" s="371"/>
      <c r="IXT73" s="371"/>
      <c r="IXU73" s="371"/>
      <c r="IXV73" s="371"/>
      <c r="IXW73" s="371"/>
      <c r="IXX73" s="371"/>
      <c r="IXY73" s="371"/>
      <c r="IXZ73" s="371"/>
      <c r="IYA73" s="371"/>
      <c r="IYB73" s="371"/>
      <c r="IYC73" s="371"/>
      <c r="IYD73" s="371"/>
      <c r="IYE73" s="371"/>
      <c r="IYF73" s="371"/>
      <c r="IYG73" s="371"/>
      <c r="IYH73" s="371"/>
      <c r="IYI73" s="371"/>
      <c r="IYJ73" s="371"/>
      <c r="IYK73" s="371"/>
      <c r="IYL73" s="371"/>
      <c r="IYM73" s="371"/>
      <c r="IYN73" s="371"/>
      <c r="IYO73" s="371"/>
      <c r="IYP73" s="371"/>
      <c r="IYQ73" s="382"/>
      <c r="IYU73" s="371"/>
      <c r="IYV73" s="371"/>
      <c r="IYW73" s="371"/>
      <c r="IYX73" s="371"/>
      <c r="IYY73" s="371"/>
      <c r="IYZ73" s="371"/>
      <c r="IZA73" s="371"/>
      <c r="IZB73" s="371"/>
      <c r="IZC73" s="371"/>
      <c r="IZD73" s="371"/>
      <c r="IZE73" s="371"/>
      <c r="IZF73" s="371"/>
      <c r="IZG73" s="371"/>
      <c r="IZH73" s="371"/>
      <c r="IZI73" s="371"/>
      <c r="IZJ73" s="371"/>
      <c r="IZK73" s="371"/>
      <c r="IZL73" s="371"/>
      <c r="IZM73" s="371"/>
      <c r="IZN73" s="371"/>
      <c r="IZO73" s="371"/>
      <c r="IZP73" s="371"/>
      <c r="IZQ73" s="371"/>
      <c r="IZR73" s="371"/>
      <c r="IZS73" s="371"/>
      <c r="IZT73" s="371"/>
      <c r="IZU73" s="382"/>
      <c r="IZY73" s="371"/>
      <c r="IZZ73" s="371"/>
      <c r="JAA73" s="371"/>
      <c r="JAB73" s="371"/>
      <c r="JAC73" s="371"/>
      <c r="JAD73" s="371"/>
      <c r="JAE73" s="371"/>
      <c r="JAF73" s="371"/>
      <c r="JAG73" s="371"/>
      <c r="JAH73" s="371"/>
      <c r="JAI73" s="371"/>
      <c r="JAJ73" s="371"/>
      <c r="JAK73" s="371"/>
      <c r="JAL73" s="371"/>
      <c r="JAM73" s="371"/>
      <c r="JAN73" s="371"/>
      <c r="JAO73" s="371"/>
      <c r="JAP73" s="371"/>
      <c r="JAQ73" s="371"/>
      <c r="JAR73" s="371"/>
      <c r="JAS73" s="371"/>
      <c r="JAT73" s="371"/>
      <c r="JAU73" s="371"/>
      <c r="JAV73" s="371"/>
      <c r="JAW73" s="371"/>
      <c r="JAX73" s="371"/>
      <c r="JAY73" s="382"/>
      <c r="JBC73" s="371"/>
      <c r="JBD73" s="371"/>
      <c r="JBE73" s="371"/>
      <c r="JBF73" s="371"/>
      <c r="JBG73" s="371"/>
      <c r="JBH73" s="371"/>
      <c r="JBI73" s="371"/>
      <c r="JBJ73" s="371"/>
      <c r="JBK73" s="371"/>
      <c r="JBL73" s="371"/>
      <c r="JBM73" s="371"/>
      <c r="JBN73" s="371"/>
      <c r="JBO73" s="371"/>
      <c r="JBP73" s="371"/>
      <c r="JBQ73" s="371"/>
      <c r="JBR73" s="371"/>
      <c r="JBS73" s="371"/>
      <c r="JBT73" s="371"/>
      <c r="JBU73" s="371"/>
      <c r="JBV73" s="371"/>
      <c r="JBW73" s="371"/>
      <c r="JBX73" s="371"/>
      <c r="JBY73" s="371"/>
      <c r="JBZ73" s="371"/>
      <c r="JCA73" s="371"/>
      <c r="JCB73" s="371"/>
      <c r="JCC73" s="382"/>
      <c r="JCG73" s="371"/>
      <c r="JCH73" s="371"/>
      <c r="JCI73" s="371"/>
      <c r="JCJ73" s="371"/>
      <c r="JCK73" s="371"/>
      <c r="JCL73" s="371"/>
      <c r="JCM73" s="371"/>
      <c r="JCN73" s="371"/>
      <c r="JCO73" s="371"/>
      <c r="JCP73" s="371"/>
      <c r="JCQ73" s="371"/>
      <c r="JCR73" s="371"/>
      <c r="JCS73" s="371"/>
      <c r="JCT73" s="371"/>
      <c r="JCU73" s="371"/>
      <c r="JCV73" s="371"/>
      <c r="JCW73" s="371"/>
      <c r="JCX73" s="371"/>
      <c r="JCY73" s="371"/>
      <c r="JCZ73" s="371"/>
      <c r="JDA73" s="371"/>
      <c r="JDB73" s="371"/>
      <c r="JDC73" s="371"/>
      <c r="JDD73" s="371"/>
      <c r="JDE73" s="371"/>
      <c r="JDF73" s="371"/>
      <c r="JDG73" s="382"/>
      <c r="JDK73" s="371"/>
      <c r="JDL73" s="371"/>
      <c r="JDM73" s="371"/>
      <c r="JDN73" s="371"/>
      <c r="JDO73" s="371"/>
      <c r="JDP73" s="371"/>
      <c r="JDQ73" s="371"/>
      <c r="JDR73" s="371"/>
      <c r="JDS73" s="371"/>
      <c r="JDT73" s="371"/>
      <c r="JDU73" s="371"/>
      <c r="JDV73" s="371"/>
      <c r="JDW73" s="371"/>
      <c r="JDX73" s="371"/>
      <c r="JDY73" s="371"/>
      <c r="JDZ73" s="371"/>
      <c r="JEA73" s="371"/>
      <c r="JEB73" s="371"/>
      <c r="JEC73" s="371"/>
      <c r="JED73" s="371"/>
      <c r="JEE73" s="371"/>
      <c r="JEF73" s="371"/>
      <c r="JEG73" s="371"/>
      <c r="JEH73" s="371"/>
      <c r="JEI73" s="371"/>
      <c r="JEJ73" s="371"/>
      <c r="JEK73" s="382"/>
      <c r="JEO73" s="371"/>
      <c r="JEP73" s="371"/>
      <c r="JEQ73" s="371"/>
      <c r="JER73" s="371"/>
      <c r="JES73" s="371"/>
      <c r="JET73" s="371"/>
      <c r="JEU73" s="371"/>
      <c r="JEV73" s="371"/>
      <c r="JEW73" s="371"/>
      <c r="JEX73" s="371"/>
      <c r="JEY73" s="371"/>
      <c r="JEZ73" s="371"/>
      <c r="JFA73" s="371"/>
      <c r="JFB73" s="371"/>
      <c r="JFC73" s="371"/>
      <c r="JFD73" s="371"/>
      <c r="JFE73" s="371"/>
      <c r="JFF73" s="371"/>
      <c r="JFG73" s="371"/>
      <c r="JFH73" s="371"/>
      <c r="JFI73" s="371"/>
      <c r="JFJ73" s="371"/>
      <c r="JFK73" s="371"/>
      <c r="JFL73" s="371"/>
      <c r="JFM73" s="371"/>
      <c r="JFN73" s="371"/>
      <c r="JFO73" s="382"/>
      <c r="JFS73" s="371"/>
      <c r="JFT73" s="371"/>
      <c r="JFU73" s="371"/>
      <c r="JFV73" s="371"/>
      <c r="JFW73" s="371"/>
      <c r="JFX73" s="371"/>
      <c r="JFY73" s="371"/>
      <c r="JFZ73" s="371"/>
      <c r="JGA73" s="371"/>
      <c r="JGB73" s="371"/>
      <c r="JGC73" s="371"/>
      <c r="JGD73" s="371"/>
      <c r="JGE73" s="371"/>
      <c r="JGF73" s="371"/>
      <c r="JGG73" s="371"/>
      <c r="JGH73" s="371"/>
      <c r="JGI73" s="371"/>
      <c r="JGJ73" s="371"/>
      <c r="JGK73" s="371"/>
      <c r="JGL73" s="371"/>
      <c r="JGM73" s="371"/>
      <c r="JGN73" s="371"/>
      <c r="JGO73" s="371"/>
      <c r="JGP73" s="371"/>
      <c r="JGQ73" s="371"/>
      <c r="JGR73" s="371"/>
      <c r="JGS73" s="382"/>
      <c r="JGW73" s="371"/>
      <c r="JGX73" s="371"/>
      <c r="JGY73" s="371"/>
      <c r="JGZ73" s="371"/>
      <c r="JHA73" s="371"/>
      <c r="JHB73" s="371"/>
      <c r="JHC73" s="371"/>
      <c r="JHD73" s="371"/>
      <c r="JHE73" s="371"/>
      <c r="JHF73" s="371"/>
      <c r="JHG73" s="371"/>
      <c r="JHH73" s="371"/>
      <c r="JHI73" s="371"/>
      <c r="JHJ73" s="371"/>
      <c r="JHK73" s="371"/>
      <c r="JHL73" s="371"/>
      <c r="JHM73" s="371"/>
      <c r="JHN73" s="371"/>
      <c r="JHO73" s="371"/>
      <c r="JHP73" s="371"/>
      <c r="JHQ73" s="371"/>
      <c r="JHR73" s="371"/>
      <c r="JHS73" s="371"/>
      <c r="JHT73" s="371"/>
      <c r="JHU73" s="371"/>
      <c r="JHV73" s="371"/>
      <c r="JHW73" s="382"/>
      <c r="JIA73" s="371"/>
      <c r="JIB73" s="371"/>
      <c r="JIC73" s="371"/>
      <c r="JID73" s="371"/>
      <c r="JIE73" s="371"/>
      <c r="JIF73" s="371"/>
      <c r="JIG73" s="371"/>
      <c r="JIH73" s="371"/>
      <c r="JII73" s="371"/>
      <c r="JIJ73" s="371"/>
      <c r="JIK73" s="371"/>
      <c r="JIL73" s="371"/>
      <c r="JIM73" s="371"/>
      <c r="JIN73" s="371"/>
      <c r="JIO73" s="371"/>
      <c r="JIP73" s="371"/>
      <c r="JIQ73" s="371"/>
      <c r="JIR73" s="371"/>
      <c r="JIS73" s="371"/>
      <c r="JIT73" s="371"/>
      <c r="JIU73" s="371"/>
      <c r="JIV73" s="371"/>
      <c r="JIW73" s="371"/>
      <c r="JIX73" s="371"/>
      <c r="JIY73" s="371"/>
      <c r="JIZ73" s="371"/>
      <c r="JJA73" s="382"/>
      <c r="JJE73" s="371"/>
      <c r="JJF73" s="371"/>
      <c r="JJG73" s="371"/>
      <c r="JJH73" s="371"/>
      <c r="JJI73" s="371"/>
      <c r="JJJ73" s="371"/>
      <c r="JJK73" s="371"/>
      <c r="JJL73" s="371"/>
      <c r="JJM73" s="371"/>
      <c r="JJN73" s="371"/>
      <c r="JJO73" s="371"/>
      <c r="JJP73" s="371"/>
      <c r="JJQ73" s="371"/>
      <c r="JJR73" s="371"/>
      <c r="JJS73" s="371"/>
      <c r="JJT73" s="371"/>
      <c r="JJU73" s="371"/>
      <c r="JJV73" s="371"/>
      <c r="JJW73" s="371"/>
      <c r="JJX73" s="371"/>
      <c r="JJY73" s="371"/>
      <c r="JJZ73" s="371"/>
      <c r="JKA73" s="371"/>
      <c r="JKB73" s="371"/>
      <c r="JKC73" s="371"/>
      <c r="JKD73" s="371"/>
      <c r="JKE73" s="382"/>
      <c r="JKI73" s="371"/>
      <c r="JKJ73" s="371"/>
      <c r="JKK73" s="371"/>
      <c r="JKL73" s="371"/>
      <c r="JKM73" s="371"/>
      <c r="JKN73" s="371"/>
      <c r="JKO73" s="371"/>
      <c r="JKP73" s="371"/>
      <c r="JKQ73" s="371"/>
      <c r="JKR73" s="371"/>
      <c r="JKS73" s="371"/>
      <c r="JKT73" s="371"/>
      <c r="JKU73" s="371"/>
      <c r="JKV73" s="371"/>
      <c r="JKW73" s="371"/>
      <c r="JKX73" s="371"/>
      <c r="JKY73" s="371"/>
      <c r="JKZ73" s="371"/>
      <c r="JLA73" s="371"/>
      <c r="JLB73" s="371"/>
      <c r="JLC73" s="371"/>
      <c r="JLD73" s="371"/>
      <c r="JLE73" s="371"/>
      <c r="JLF73" s="371"/>
      <c r="JLG73" s="371"/>
      <c r="JLH73" s="371"/>
      <c r="JLI73" s="382"/>
      <c r="JLM73" s="371"/>
      <c r="JLN73" s="371"/>
      <c r="JLO73" s="371"/>
      <c r="JLP73" s="371"/>
      <c r="JLQ73" s="371"/>
      <c r="JLR73" s="371"/>
      <c r="JLS73" s="371"/>
      <c r="JLT73" s="371"/>
      <c r="JLU73" s="371"/>
      <c r="JLV73" s="371"/>
      <c r="JLW73" s="371"/>
      <c r="JLX73" s="371"/>
      <c r="JLY73" s="371"/>
      <c r="JLZ73" s="371"/>
      <c r="JMA73" s="371"/>
      <c r="JMB73" s="371"/>
      <c r="JMC73" s="371"/>
      <c r="JMD73" s="371"/>
      <c r="JME73" s="371"/>
      <c r="JMF73" s="371"/>
      <c r="JMG73" s="371"/>
      <c r="JMH73" s="371"/>
      <c r="JMI73" s="371"/>
      <c r="JMJ73" s="371"/>
      <c r="JMK73" s="371"/>
      <c r="JML73" s="371"/>
      <c r="JMM73" s="382"/>
      <c r="JMQ73" s="371"/>
      <c r="JMR73" s="371"/>
      <c r="JMS73" s="371"/>
      <c r="JMT73" s="371"/>
      <c r="JMU73" s="371"/>
      <c r="JMV73" s="371"/>
      <c r="JMW73" s="371"/>
      <c r="JMX73" s="371"/>
      <c r="JMY73" s="371"/>
      <c r="JMZ73" s="371"/>
      <c r="JNA73" s="371"/>
      <c r="JNB73" s="371"/>
      <c r="JNC73" s="371"/>
      <c r="JND73" s="371"/>
      <c r="JNE73" s="371"/>
      <c r="JNF73" s="371"/>
      <c r="JNG73" s="371"/>
      <c r="JNH73" s="371"/>
      <c r="JNI73" s="371"/>
      <c r="JNJ73" s="371"/>
      <c r="JNK73" s="371"/>
      <c r="JNL73" s="371"/>
      <c r="JNM73" s="371"/>
      <c r="JNN73" s="371"/>
      <c r="JNO73" s="371"/>
      <c r="JNP73" s="371"/>
      <c r="JNQ73" s="382"/>
      <c r="JNU73" s="371"/>
      <c r="JNV73" s="371"/>
      <c r="JNW73" s="371"/>
      <c r="JNX73" s="371"/>
      <c r="JNY73" s="371"/>
      <c r="JNZ73" s="371"/>
      <c r="JOA73" s="371"/>
      <c r="JOB73" s="371"/>
      <c r="JOC73" s="371"/>
      <c r="JOD73" s="371"/>
      <c r="JOE73" s="371"/>
      <c r="JOF73" s="371"/>
      <c r="JOG73" s="371"/>
      <c r="JOH73" s="371"/>
      <c r="JOI73" s="371"/>
      <c r="JOJ73" s="371"/>
      <c r="JOK73" s="371"/>
      <c r="JOL73" s="371"/>
      <c r="JOM73" s="371"/>
      <c r="JON73" s="371"/>
      <c r="JOO73" s="371"/>
      <c r="JOP73" s="371"/>
      <c r="JOQ73" s="371"/>
      <c r="JOR73" s="371"/>
      <c r="JOS73" s="371"/>
      <c r="JOT73" s="371"/>
      <c r="JOU73" s="382"/>
      <c r="JOY73" s="371"/>
      <c r="JOZ73" s="371"/>
      <c r="JPA73" s="371"/>
      <c r="JPB73" s="371"/>
      <c r="JPC73" s="371"/>
      <c r="JPD73" s="371"/>
      <c r="JPE73" s="371"/>
      <c r="JPF73" s="371"/>
      <c r="JPG73" s="371"/>
      <c r="JPH73" s="371"/>
      <c r="JPI73" s="371"/>
      <c r="JPJ73" s="371"/>
      <c r="JPK73" s="371"/>
      <c r="JPL73" s="371"/>
      <c r="JPM73" s="371"/>
      <c r="JPN73" s="371"/>
      <c r="JPO73" s="371"/>
      <c r="JPP73" s="371"/>
      <c r="JPQ73" s="371"/>
      <c r="JPR73" s="371"/>
      <c r="JPS73" s="371"/>
      <c r="JPT73" s="371"/>
      <c r="JPU73" s="371"/>
      <c r="JPV73" s="371"/>
      <c r="JPW73" s="371"/>
      <c r="JPX73" s="371"/>
      <c r="JPY73" s="382"/>
      <c r="JQC73" s="371"/>
      <c r="JQD73" s="371"/>
      <c r="JQE73" s="371"/>
      <c r="JQF73" s="371"/>
      <c r="JQG73" s="371"/>
      <c r="JQH73" s="371"/>
      <c r="JQI73" s="371"/>
      <c r="JQJ73" s="371"/>
      <c r="JQK73" s="371"/>
      <c r="JQL73" s="371"/>
      <c r="JQM73" s="371"/>
      <c r="JQN73" s="371"/>
      <c r="JQO73" s="371"/>
      <c r="JQP73" s="371"/>
      <c r="JQQ73" s="371"/>
      <c r="JQR73" s="371"/>
      <c r="JQS73" s="371"/>
      <c r="JQT73" s="371"/>
      <c r="JQU73" s="371"/>
      <c r="JQV73" s="371"/>
      <c r="JQW73" s="371"/>
      <c r="JQX73" s="371"/>
      <c r="JQY73" s="371"/>
      <c r="JQZ73" s="371"/>
      <c r="JRA73" s="371"/>
      <c r="JRB73" s="371"/>
      <c r="JRC73" s="382"/>
      <c r="JRG73" s="371"/>
      <c r="JRH73" s="371"/>
      <c r="JRI73" s="371"/>
      <c r="JRJ73" s="371"/>
      <c r="JRK73" s="371"/>
      <c r="JRL73" s="371"/>
      <c r="JRM73" s="371"/>
      <c r="JRN73" s="371"/>
      <c r="JRO73" s="371"/>
      <c r="JRP73" s="371"/>
      <c r="JRQ73" s="371"/>
      <c r="JRR73" s="371"/>
      <c r="JRS73" s="371"/>
      <c r="JRT73" s="371"/>
      <c r="JRU73" s="371"/>
      <c r="JRV73" s="371"/>
      <c r="JRW73" s="371"/>
      <c r="JRX73" s="371"/>
      <c r="JRY73" s="371"/>
      <c r="JRZ73" s="371"/>
      <c r="JSA73" s="371"/>
      <c r="JSB73" s="371"/>
      <c r="JSC73" s="371"/>
      <c r="JSD73" s="371"/>
      <c r="JSE73" s="371"/>
      <c r="JSF73" s="371"/>
      <c r="JSG73" s="382"/>
      <c r="JSK73" s="371"/>
      <c r="JSL73" s="371"/>
      <c r="JSM73" s="371"/>
      <c r="JSN73" s="371"/>
      <c r="JSO73" s="371"/>
      <c r="JSP73" s="371"/>
      <c r="JSQ73" s="371"/>
      <c r="JSR73" s="371"/>
      <c r="JSS73" s="371"/>
      <c r="JST73" s="371"/>
      <c r="JSU73" s="371"/>
      <c r="JSV73" s="371"/>
      <c r="JSW73" s="371"/>
      <c r="JSX73" s="371"/>
      <c r="JSY73" s="371"/>
      <c r="JSZ73" s="371"/>
      <c r="JTA73" s="371"/>
      <c r="JTB73" s="371"/>
      <c r="JTC73" s="371"/>
      <c r="JTD73" s="371"/>
      <c r="JTE73" s="371"/>
      <c r="JTF73" s="371"/>
      <c r="JTG73" s="371"/>
      <c r="JTH73" s="371"/>
      <c r="JTI73" s="371"/>
      <c r="JTJ73" s="371"/>
      <c r="JTK73" s="382"/>
      <c r="JTO73" s="371"/>
      <c r="JTP73" s="371"/>
      <c r="JTQ73" s="371"/>
      <c r="JTR73" s="371"/>
      <c r="JTS73" s="371"/>
      <c r="JTT73" s="371"/>
      <c r="JTU73" s="371"/>
      <c r="JTV73" s="371"/>
      <c r="JTW73" s="371"/>
      <c r="JTX73" s="371"/>
      <c r="JTY73" s="371"/>
      <c r="JTZ73" s="371"/>
      <c r="JUA73" s="371"/>
      <c r="JUB73" s="371"/>
      <c r="JUC73" s="371"/>
      <c r="JUD73" s="371"/>
      <c r="JUE73" s="371"/>
      <c r="JUF73" s="371"/>
      <c r="JUG73" s="371"/>
      <c r="JUH73" s="371"/>
      <c r="JUI73" s="371"/>
      <c r="JUJ73" s="371"/>
      <c r="JUK73" s="371"/>
      <c r="JUL73" s="371"/>
      <c r="JUM73" s="371"/>
      <c r="JUN73" s="371"/>
      <c r="JUO73" s="382"/>
      <c r="JUS73" s="371"/>
      <c r="JUT73" s="371"/>
      <c r="JUU73" s="371"/>
      <c r="JUV73" s="371"/>
      <c r="JUW73" s="371"/>
      <c r="JUX73" s="371"/>
      <c r="JUY73" s="371"/>
      <c r="JUZ73" s="371"/>
      <c r="JVA73" s="371"/>
      <c r="JVB73" s="371"/>
      <c r="JVC73" s="371"/>
      <c r="JVD73" s="371"/>
      <c r="JVE73" s="371"/>
      <c r="JVF73" s="371"/>
      <c r="JVG73" s="371"/>
      <c r="JVH73" s="371"/>
      <c r="JVI73" s="371"/>
      <c r="JVJ73" s="371"/>
      <c r="JVK73" s="371"/>
      <c r="JVL73" s="371"/>
      <c r="JVM73" s="371"/>
      <c r="JVN73" s="371"/>
      <c r="JVO73" s="371"/>
      <c r="JVP73" s="371"/>
      <c r="JVQ73" s="371"/>
      <c r="JVR73" s="371"/>
      <c r="JVS73" s="382"/>
      <c r="JVW73" s="371"/>
      <c r="JVX73" s="371"/>
      <c r="JVY73" s="371"/>
      <c r="JVZ73" s="371"/>
      <c r="JWA73" s="371"/>
      <c r="JWB73" s="371"/>
      <c r="JWC73" s="371"/>
      <c r="JWD73" s="371"/>
      <c r="JWE73" s="371"/>
      <c r="JWF73" s="371"/>
      <c r="JWG73" s="371"/>
      <c r="JWH73" s="371"/>
      <c r="JWI73" s="371"/>
      <c r="JWJ73" s="371"/>
      <c r="JWK73" s="371"/>
      <c r="JWL73" s="371"/>
      <c r="JWM73" s="371"/>
      <c r="JWN73" s="371"/>
      <c r="JWO73" s="371"/>
      <c r="JWP73" s="371"/>
      <c r="JWQ73" s="371"/>
      <c r="JWR73" s="371"/>
      <c r="JWS73" s="371"/>
      <c r="JWT73" s="371"/>
      <c r="JWU73" s="371"/>
      <c r="JWV73" s="371"/>
      <c r="JWW73" s="382"/>
      <c r="JXA73" s="371"/>
      <c r="JXB73" s="371"/>
      <c r="JXC73" s="371"/>
      <c r="JXD73" s="371"/>
      <c r="JXE73" s="371"/>
      <c r="JXF73" s="371"/>
      <c r="JXG73" s="371"/>
      <c r="JXH73" s="371"/>
      <c r="JXI73" s="371"/>
      <c r="JXJ73" s="371"/>
      <c r="JXK73" s="371"/>
      <c r="JXL73" s="371"/>
      <c r="JXM73" s="371"/>
      <c r="JXN73" s="371"/>
      <c r="JXO73" s="371"/>
      <c r="JXP73" s="371"/>
      <c r="JXQ73" s="371"/>
      <c r="JXR73" s="371"/>
      <c r="JXS73" s="371"/>
      <c r="JXT73" s="371"/>
      <c r="JXU73" s="371"/>
      <c r="JXV73" s="371"/>
      <c r="JXW73" s="371"/>
      <c r="JXX73" s="371"/>
      <c r="JXY73" s="371"/>
      <c r="JXZ73" s="371"/>
      <c r="JYA73" s="382"/>
      <c r="JYE73" s="371"/>
      <c r="JYF73" s="371"/>
      <c r="JYG73" s="371"/>
      <c r="JYH73" s="371"/>
      <c r="JYI73" s="371"/>
      <c r="JYJ73" s="371"/>
      <c r="JYK73" s="371"/>
      <c r="JYL73" s="371"/>
      <c r="JYM73" s="371"/>
      <c r="JYN73" s="371"/>
      <c r="JYO73" s="371"/>
      <c r="JYP73" s="371"/>
      <c r="JYQ73" s="371"/>
      <c r="JYR73" s="371"/>
      <c r="JYS73" s="371"/>
      <c r="JYT73" s="371"/>
      <c r="JYU73" s="371"/>
      <c r="JYV73" s="371"/>
      <c r="JYW73" s="371"/>
      <c r="JYX73" s="371"/>
      <c r="JYY73" s="371"/>
      <c r="JYZ73" s="371"/>
      <c r="JZA73" s="371"/>
      <c r="JZB73" s="371"/>
      <c r="JZC73" s="371"/>
      <c r="JZD73" s="371"/>
      <c r="JZE73" s="382"/>
      <c r="JZI73" s="371"/>
      <c r="JZJ73" s="371"/>
      <c r="JZK73" s="371"/>
      <c r="JZL73" s="371"/>
      <c r="JZM73" s="371"/>
      <c r="JZN73" s="371"/>
      <c r="JZO73" s="371"/>
      <c r="JZP73" s="371"/>
      <c r="JZQ73" s="371"/>
      <c r="JZR73" s="371"/>
      <c r="JZS73" s="371"/>
      <c r="JZT73" s="371"/>
      <c r="JZU73" s="371"/>
      <c r="JZV73" s="371"/>
      <c r="JZW73" s="371"/>
      <c r="JZX73" s="371"/>
      <c r="JZY73" s="371"/>
      <c r="JZZ73" s="371"/>
      <c r="KAA73" s="371"/>
      <c r="KAB73" s="371"/>
      <c r="KAC73" s="371"/>
      <c r="KAD73" s="371"/>
      <c r="KAE73" s="371"/>
      <c r="KAF73" s="371"/>
      <c r="KAG73" s="371"/>
      <c r="KAH73" s="371"/>
      <c r="KAI73" s="382"/>
      <c r="KAM73" s="371"/>
      <c r="KAN73" s="371"/>
      <c r="KAO73" s="371"/>
      <c r="KAP73" s="371"/>
      <c r="KAQ73" s="371"/>
      <c r="KAR73" s="371"/>
      <c r="KAS73" s="371"/>
      <c r="KAT73" s="371"/>
      <c r="KAU73" s="371"/>
      <c r="KAV73" s="371"/>
      <c r="KAW73" s="371"/>
      <c r="KAX73" s="371"/>
      <c r="KAY73" s="371"/>
      <c r="KAZ73" s="371"/>
      <c r="KBA73" s="371"/>
      <c r="KBB73" s="371"/>
      <c r="KBC73" s="371"/>
      <c r="KBD73" s="371"/>
      <c r="KBE73" s="371"/>
      <c r="KBF73" s="371"/>
      <c r="KBG73" s="371"/>
      <c r="KBH73" s="371"/>
      <c r="KBI73" s="371"/>
      <c r="KBJ73" s="371"/>
      <c r="KBK73" s="371"/>
      <c r="KBL73" s="371"/>
      <c r="KBM73" s="382"/>
      <c r="KBQ73" s="371"/>
      <c r="KBR73" s="371"/>
      <c r="KBS73" s="371"/>
      <c r="KBT73" s="371"/>
      <c r="KBU73" s="371"/>
      <c r="KBV73" s="371"/>
      <c r="KBW73" s="371"/>
      <c r="KBX73" s="371"/>
      <c r="KBY73" s="371"/>
      <c r="KBZ73" s="371"/>
      <c r="KCA73" s="371"/>
      <c r="KCB73" s="371"/>
      <c r="KCC73" s="371"/>
      <c r="KCD73" s="371"/>
      <c r="KCE73" s="371"/>
      <c r="KCF73" s="371"/>
      <c r="KCG73" s="371"/>
      <c r="KCH73" s="371"/>
      <c r="KCI73" s="371"/>
      <c r="KCJ73" s="371"/>
      <c r="KCK73" s="371"/>
      <c r="KCL73" s="371"/>
      <c r="KCM73" s="371"/>
      <c r="KCN73" s="371"/>
      <c r="KCO73" s="371"/>
      <c r="KCP73" s="371"/>
      <c r="KCQ73" s="382"/>
      <c r="KCU73" s="371"/>
      <c r="KCV73" s="371"/>
      <c r="KCW73" s="371"/>
      <c r="KCX73" s="371"/>
      <c r="KCY73" s="371"/>
      <c r="KCZ73" s="371"/>
      <c r="KDA73" s="371"/>
      <c r="KDB73" s="371"/>
      <c r="KDC73" s="371"/>
      <c r="KDD73" s="371"/>
      <c r="KDE73" s="371"/>
      <c r="KDF73" s="371"/>
      <c r="KDG73" s="371"/>
      <c r="KDH73" s="371"/>
      <c r="KDI73" s="371"/>
      <c r="KDJ73" s="371"/>
      <c r="KDK73" s="371"/>
      <c r="KDL73" s="371"/>
      <c r="KDM73" s="371"/>
      <c r="KDN73" s="371"/>
      <c r="KDO73" s="371"/>
      <c r="KDP73" s="371"/>
      <c r="KDQ73" s="371"/>
      <c r="KDR73" s="371"/>
      <c r="KDS73" s="371"/>
      <c r="KDT73" s="371"/>
      <c r="KDU73" s="382"/>
      <c r="KDY73" s="371"/>
      <c r="KDZ73" s="371"/>
      <c r="KEA73" s="371"/>
      <c r="KEB73" s="371"/>
      <c r="KEC73" s="371"/>
      <c r="KED73" s="371"/>
      <c r="KEE73" s="371"/>
      <c r="KEF73" s="371"/>
      <c r="KEG73" s="371"/>
      <c r="KEH73" s="371"/>
      <c r="KEI73" s="371"/>
      <c r="KEJ73" s="371"/>
      <c r="KEK73" s="371"/>
      <c r="KEL73" s="371"/>
      <c r="KEM73" s="371"/>
      <c r="KEN73" s="371"/>
      <c r="KEO73" s="371"/>
      <c r="KEP73" s="371"/>
      <c r="KEQ73" s="371"/>
      <c r="KER73" s="371"/>
      <c r="KES73" s="371"/>
      <c r="KET73" s="371"/>
      <c r="KEU73" s="371"/>
      <c r="KEV73" s="371"/>
      <c r="KEW73" s="371"/>
      <c r="KEX73" s="371"/>
      <c r="KEY73" s="382"/>
      <c r="KFC73" s="371"/>
      <c r="KFD73" s="371"/>
      <c r="KFE73" s="371"/>
      <c r="KFF73" s="371"/>
      <c r="KFG73" s="371"/>
      <c r="KFH73" s="371"/>
      <c r="KFI73" s="371"/>
      <c r="KFJ73" s="371"/>
      <c r="KFK73" s="371"/>
      <c r="KFL73" s="371"/>
      <c r="KFM73" s="371"/>
      <c r="KFN73" s="371"/>
      <c r="KFO73" s="371"/>
      <c r="KFP73" s="371"/>
      <c r="KFQ73" s="371"/>
      <c r="KFR73" s="371"/>
      <c r="KFS73" s="371"/>
      <c r="KFT73" s="371"/>
      <c r="KFU73" s="371"/>
      <c r="KFV73" s="371"/>
      <c r="KFW73" s="371"/>
      <c r="KFX73" s="371"/>
      <c r="KFY73" s="371"/>
      <c r="KFZ73" s="371"/>
      <c r="KGA73" s="371"/>
      <c r="KGB73" s="371"/>
      <c r="KGC73" s="382"/>
      <c r="KGG73" s="371"/>
      <c r="KGH73" s="371"/>
      <c r="KGI73" s="371"/>
      <c r="KGJ73" s="371"/>
      <c r="KGK73" s="371"/>
      <c r="KGL73" s="371"/>
      <c r="KGM73" s="371"/>
      <c r="KGN73" s="371"/>
      <c r="KGO73" s="371"/>
      <c r="KGP73" s="371"/>
      <c r="KGQ73" s="371"/>
      <c r="KGR73" s="371"/>
      <c r="KGS73" s="371"/>
      <c r="KGT73" s="371"/>
      <c r="KGU73" s="371"/>
      <c r="KGV73" s="371"/>
      <c r="KGW73" s="371"/>
      <c r="KGX73" s="371"/>
      <c r="KGY73" s="371"/>
      <c r="KGZ73" s="371"/>
      <c r="KHA73" s="371"/>
      <c r="KHB73" s="371"/>
      <c r="KHC73" s="371"/>
      <c r="KHD73" s="371"/>
      <c r="KHE73" s="371"/>
      <c r="KHF73" s="371"/>
      <c r="KHG73" s="382"/>
      <c r="KHK73" s="371"/>
      <c r="KHL73" s="371"/>
      <c r="KHM73" s="371"/>
      <c r="KHN73" s="371"/>
      <c r="KHO73" s="371"/>
      <c r="KHP73" s="371"/>
      <c r="KHQ73" s="371"/>
      <c r="KHR73" s="371"/>
      <c r="KHS73" s="371"/>
      <c r="KHT73" s="371"/>
      <c r="KHU73" s="371"/>
      <c r="KHV73" s="371"/>
      <c r="KHW73" s="371"/>
      <c r="KHX73" s="371"/>
      <c r="KHY73" s="371"/>
      <c r="KHZ73" s="371"/>
      <c r="KIA73" s="371"/>
      <c r="KIB73" s="371"/>
      <c r="KIC73" s="371"/>
      <c r="KID73" s="371"/>
      <c r="KIE73" s="371"/>
      <c r="KIF73" s="371"/>
      <c r="KIG73" s="371"/>
      <c r="KIH73" s="371"/>
      <c r="KII73" s="371"/>
      <c r="KIJ73" s="371"/>
      <c r="KIK73" s="382"/>
      <c r="KIO73" s="371"/>
      <c r="KIP73" s="371"/>
      <c r="KIQ73" s="371"/>
      <c r="KIR73" s="371"/>
      <c r="KIS73" s="371"/>
      <c r="KIT73" s="371"/>
      <c r="KIU73" s="371"/>
      <c r="KIV73" s="371"/>
      <c r="KIW73" s="371"/>
      <c r="KIX73" s="371"/>
      <c r="KIY73" s="371"/>
      <c r="KIZ73" s="371"/>
      <c r="KJA73" s="371"/>
      <c r="KJB73" s="371"/>
      <c r="KJC73" s="371"/>
      <c r="KJD73" s="371"/>
      <c r="KJE73" s="371"/>
      <c r="KJF73" s="371"/>
      <c r="KJG73" s="371"/>
      <c r="KJH73" s="371"/>
      <c r="KJI73" s="371"/>
      <c r="KJJ73" s="371"/>
      <c r="KJK73" s="371"/>
      <c r="KJL73" s="371"/>
      <c r="KJM73" s="371"/>
      <c r="KJN73" s="371"/>
      <c r="KJO73" s="382"/>
      <c r="KJS73" s="371"/>
      <c r="KJT73" s="371"/>
      <c r="KJU73" s="371"/>
      <c r="KJV73" s="371"/>
      <c r="KJW73" s="371"/>
      <c r="KJX73" s="371"/>
      <c r="KJY73" s="371"/>
      <c r="KJZ73" s="371"/>
      <c r="KKA73" s="371"/>
      <c r="KKB73" s="371"/>
      <c r="KKC73" s="371"/>
      <c r="KKD73" s="371"/>
      <c r="KKE73" s="371"/>
      <c r="KKF73" s="371"/>
      <c r="KKG73" s="371"/>
      <c r="KKH73" s="371"/>
      <c r="KKI73" s="371"/>
      <c r="KKJ73" s="371"/>
      <c r="KKK73" s="371"/>
      <c r="KKL73" s="371"/>
      <c r="KKM73" s="371"/>
      <c r="KKN73" s="371"/>
      <c r="KKO73" s="371"/>
      <c r="KKP73" s="371"/>
      <c r="KKQ73" s="371"/>
      <c r="KKR73" s="371"/>
      <c r="KKS73" s="382"/>
      <c r="KKW73" s="371"/>
      <c r="KKX73" s="371"/>
      <c r="KKY73" s="371"/>
      <c r="KKZ73" s="371"/>
      <c r="KLA73" s="371"/>
      <c r="KLB73" s="371"/>
      <c r="KLC73" s="371"/>
      <c r="KLD73" s="371"/>
      <c r="KLE73" s="371"/>
      <c r="KLF73" s="371"/>
      <c r="KLG73" s="371"/>
      <c r="KLH73" s="371"/>
      <c r="KLI73" s="371"/>
      <c r="KLJ73" s="371"/>
      <c r="KLK73" s="371"/>
      <c r="KLL73" s="371"/>
      <c r="KLM73" s="371"/>
      <c r="KLN73" s="371"/>
      <c r="KLO73" s="371"/>
      <c r="KLP73" s="371"/>
      <c r="KLQ73" s="371"/>
      <c r="KLR73" s="371"/>
      <c r="KLS73" s="371"/>
      <c r="KLT73" s="371"/>
      <c r="KLU73" s="371"/>
      <c r="KLV73" s="371"/>
      <c r="KLW73" s="382"/>
      <c r="KMA73" s="371"/>
      <c r="KMB73" s="371"/>
      <c r="KMC73" s="371"/>
      <c r="KMD73" s="371"/>
      <c r="KME73" s="371"/>
      <c r="KMF73" s="371"/>
      <c r="KMG73" s="371"/>
      <c r="KMH73" s="371"/>
      <c r="KMI73" s="371"/>
      <c r="KMJ73" s="371"/>
      <c r="KMK73" s="371"/>
      <c r="KML73" s="371"/>
      <c r="KMM73" s="371"/>
      <c r="KMN73" s="371"/>
      <c r="KMO73" s="371"/>
      <c r="KMP73" s="371"/>
      <c r="KMQ73" s="371"/>
      <c r="KMR73" s="371"/>
      <c r="KMS73" s="371"/>
      <c r="KMT73" s="371"/>
      <c r="KMU73" s="371"/>
      <c r="KMV73" s="371"/>
      <c r="KMW73" s="371"/>
      <c r="KMX73" s="371"/>
      <c r="KMY73" s="371"/>
      <c r="KMZ73" s="371"/>
      <c r="KNA73" s="382"/>
      <c r="KNE73" s="371"/>
      <c r="KNF73" s="371"/>
      <c r="KNG73" s="371"/>
      <c r="KNH73" s="371"/>
      <c r="KNI73" s="371"/>
      <c r="KNJ73" s="371"/>
      <c r="KNK73" s="371"/>
      <c r="KNL73" s="371"/>
      <c r="KNM73" s="371"/>
      <c r="KNN73" s="371"/>
      <c r="KNO73" s="371"/>
      <c r="KNP73" s="371"/>
      <c r="KNQ73" s="371"/>
      <c r="KNR73" s="371"/>
      <c r="KNS73" s="371"/>
      <c r="KNT73" s="371"/>
      <c r="KNU73" s="371"/>
      <c r="KNV73" s="371"/>
      <c r="KNW73" s="371"/>
      <c r="KNX73" s="371"/>
      <c r="KNY73" s="371"/>
      <c r="KNZ73" s="371"/>
      <c r="KOA73" s="371"/>
      <c r="KOB73" s="371"/>
      <c r="KOC73" s="371"/>
      <c r="KOD73" s="371"/>
      <c r="KOE73" s="382"/>
      <c r="KOI73" s="371"/>
      <c r="KOJ73" s="371"/>
      <c r="KOK73" s="371"/>
      <c r="KOL73" s="371"/>
      <c r="KOM73" s="371"/>
      <c r="KON73" s="371"/>
      <c r="KOO73" s="371"/>
      <c r="KOP73" s="371"/>
      <c r="KOQ73" s="371"/>
      <c r="KOR73" s="371"/>
      <c r="KOS73" s="371"/>
      <c r="KOT73" s="371"/>
      <c r="KOU73" s="371"/>
      <c r="KOV73" s="371"/>
      <c r="KOW73" s="371"/>
      <c r="KOX73" s="371"/>
      <c r="KOY73" s="371"/>
      <c r="KOZ73" s="371"/>
      <c r="KPA73" s="371"/>
      <c r="KPB73" s="371"/>
      <c r="KPC73" s="371"/>
      <c r="KPD73" s="371"/>
      <c r="KPE73" s="371"/>
      <c r="KPF73" s="371"/>
      <c r="KPG73" s="371"/>
      <c r="KPH73" s="371"/>
      <c r="KPI73" s="382"/>
      <c r="KPM73" s="371"/>
      <c r="KPN73" s="371"/>
      <c r="KPO73" s="371"/>
      <c r="KPP73" s="371"/>
      <c r="KPQ73" s="371"/>
      <c r="KPR73" s="371"/>
      <c r="KPS73" s="371"/>
      <c r="KPT73" s="371"/>
      <c r="KPU73" s="371"/>
      <c r="KPV73" s="371"/>
      <c r="KPW73" s="371"/>
      <c r="KPX73" s="371"/>
      <c r="KPY73" s="371"/>
      <c r="KPZ73" s="371"/>
      <c r="KQA73" s="371"/>
      <c r="KQB73" s="371"/>
      <c r="KQC73" s="371"/>
      <c r="KQD73" s="371"/>
      <c r="KQE73" s="371"/>
      <c r="KQF73" s="371"/>
      <c r="KQG73" s="371"/>
      <c r="KQH73" s="371"/>
      <c r="KQI73" s="371"/>
      <c r="KQJ73" s="371"/>
      <c r="KQK73" s="371"/>
      <c r="KQL73" s="371"/>
      <c r="KQM73" s="382"/>
      <c r="KQQ73" s="371"/>
      <c r="KQR73" s="371"/>
      <c r="KQS73" s="371"/>
      <c r="KQT73" s="371"/>
      <c r="KQU73" s="371"/>
      <c r="KQV73" s="371"/>
      <c r="KQW73" s="371"/>
      <c r="KQX73" s="371"/>
      <c r="KQY73" s="371"/>
      <c r="KQZ73" s="371"/>
      <c r="KRA73" s="371"/>
      <c r="KRB73" s="371"/>
      <c r="KRC73" s="371"/>
      <c r="KRD73" s="371"/>
      <c r="KRE73" s="371"/>
      <c r="KRF73" s="371"/>
      <c r="KRG73" s="371"/>
      <c r="KRH73" s="371"/>
      <c r="KRI73" s="371"/>
      <c r="KRJ73" s="371"/>
      <c r="KRK73" s="371"/>
      <c r="KRL73" s="371"/>
      <c r="KRM73" s="371"/>
      <c r="KRN73" s="371"/>
      <c r="KRO73" s="371"/>
      <c r="KRP73" s="371"/>
      <c r="KRQ73" s="382"/>
      <c r="KRU73" s="371"/>
      <c r="KRV73" s="371"/>
      <c r="KRW73" s="371"/>
      <c r="KRX73" s="371"/>
      <c r="KRY73" s="371"/>
      <c r="KRZ73" s="371"/>
      <c r="KSA73" s="371"/>
      <c r="KSB73" s="371"/>
      <c r="KSC73" s="371"/>
      <c r="KSD73" s="371"/>
      <c r="KSE73" s="371"/>
      <c r="KSF73" s="371"/>
      <c r="KSG73" s="371"/>
      <c r="KSH73" s="371"/>
      <c r="KSI73" s="371"/>
      <c r="KSJ73" s="371"/>
      <c r="KSK73" s="371"/>
      <c r="KSL73" s="371"/>
      <c r="KSM73" s="371"/>
      <c r="KSN73" s="371"/>
      <c r="KSO73" s="371"/>
      <c r="KSP73" s="371"/>
      <c r="KSQ73" s="371"/>
      <c r="KSR73" s="371"/>
      <c r="KSS73" s="371"/>
      <c r="KST73" s="371"/>
      <c r="KSU73" s="382"/>
      <c r="KSY73" s="371"/>
      <c r="KSZ73" s="371"/>
      <c r="KTA73" s="371"/>
      <c r="KTB73" s="371"/>
      <c r="KTC73" s="371"/>
      <c r="KTD73" s="371"/>
      <c r="KTE73" s="371"/>
      <c r="KTF73" s="371"/>
      <c r="KTG73" s="371"/>
      <c r="KTH73" s="371"/>
      <c r="KTI73" s="371"/>
      <c r="KTJ73" s="371"/>
      <c r="KTK73" s="371"/>
      <c r="KTL73" s="371"/>
      <c r="KTM73" s="371"/>
      <c r="KTN73" s="371"/>
      <c r="KTO73" s="371"/>
      <c r="KTP73" s="371"/>
      <c r="KTQ73" s="371"/>
      <c r="KTR73" s="371"/>
      <c r="KTS73" s="371"/>
      <c r="KTT73" s="371"/>
      <c r="KTU73" s="371"/>
      <c r="KTV73" s="371"/>
      <c r="KTW73" s="371"/>
      <c r="KTX73" s="371"/>
      <c r="KTY73" s="382"/>
      <c r="KUC73" s="371"/>
      <c r="KUD73" s="371"/>
      <c r="KUE73" s="371"/>
      <c r="KUF73" s="371"/>
      <c r="KUG73" s="371"/>
      <c r="KUH73" s="371"/>
      <c r="KUI73" s="371"/>
      <c r="KUJ73" s="371"/>
      <c r="KUK73" s="371"/>
      <c r="KUL73" s="371"/>
      <c r="KUM73" s="371"/>
      <c r="KUN73" s="371"/>
      <c r="KUO73" s="371"/>
      <c r="KUP73" s="371"/>
      <c r="KUQ73" s="371"/>
      <c r="KUR73" s="371"/>
      <c r="KUS73" s="371"/>
      <c r="KUT73" s="371"/>
      <c r="KUU73" s="371"/>
      <c r="KUV73" s="371"/>
      <c r="KUW73" s="371"/>
      <c r="KUX73" s="371"/>
      <c r="KUY73" s="371"/>
      <c r="KUZ73" s="371"/>
      <c r="KVA73" s="371"/>
      <c r="KVB73" s="371"/>
      <c r="KVC73" s="382"/>
      <c r="KVG73" s="371"/>
      <c r="KVH73" s="371"/>
      <c r="KVI73" s="371"/>
      <c r="KVJ73" s="371"/>
      <c r="KVK73" s="371"/>
      <c r="KVL73" s="371"/>
      <c r="KVM73" s="371"/>
      <c r="KVN73" s="371"/>
      <c r="KVO73" s="371"/>
      <c r="KVP73" s="371"/>
      <c r="KVQ73" s="371"/>
      <c r="KVR73" s="371"/>
      <c r="KVS73" s="371"/>
      <c r="KVT73" s="371"/>
      <c r="KVU73" s="371"/>
      <c r="KVV73" s="371"/>
      <c r="KVW73" s="371"/>
      <c r="KVX73" s="371"/>
      <c r="KVY73" s="371"/>
      <c r="KVZ73" s="371"/>
      <c r="KWA73" s="371"/>
      <c r="KWB73" s="371"/>
      <c r="KWC73" s="371"/>
      <c r="KWD73" s="371"/>
      <c r="KWE73" s="371"/>
      <c r="KWF73" s="371"/>
      <c r="KWG73" s="382"/>
      <c r="KWK73" s="371"/>
      <c r="KWL73" s="371"/>
      <c r="KWM73" s="371"/>
      <c r="KWN73" s="371"/>
      <c r="KWO73" s="371"/>
      <c r="KWP73" s="371"/>
      <c r="KWQ73" s="371"/>
      <c r="KWR73" s="371"/>
      <c r="KWS73" s="371"/>
      <c r="KWT73" s="371"/>
      <c r="KWU73" s="371"/>
      <c r="KWV73" s="371"/>
      <c r="KWW73" s="371"/>
      <c r="KWX73" s="371"/>
      <c r="KWY73" s="371"/>
      <c r="KWZ73" s="371"/>
      <c r="KXA73" s="371"/>
      <c r="KXB73" s="371"/>
      <c r="KXC73" s="371"/>
      <c r="KXD73" s="371"/>
      <c r="KXE73" s="371"/>
      <c r="KXF73" s="371"/>
      <c r="KXG73" s="371"/>
      <c r="KXH73" s="371"/>
      <c r="KXI73" s="371"/>
      <c r="KXJ73" s="371"/>
      <c r="KXK73" s="382"/>
      <c r="KXO73" s="371"/>
      <c r="KXP73" s="371"/>
      <c r="KXQ73" s="371"/>
      <c r="KXR73" s="371"/>
      <c r="KXS73" s="371"/>
      <c r="KXT73" s="371"/>
      <c r="KXU73" s="371"/>
      <c r="KXV73" s="371"/>
      <c r="KXW73" s="371"/>
      <c r="KXX73" s="371"/>
      <c r="KXY73" s="371"/>
      <c r="KXZ73" s="371"/>
      <c r="KYA73" s="371"/>
      <c r="KYB73" s="371"/>
      <c r="KYC73" s="371"/>
      <c r="KYD73" s="371"/>
      <c r="KYE73" s="371"/>
      <c r="KYF73" s="371"/>
      <c r="KYG73" s="371"/>
      <c r="KYH73" s="371"/>
      <c r="KYI73" s="371"/>
      <c r="KYJ73" s="371"/>
      <c r="KYK73" s="371"/>
      <c r="KYL73" s="371"/>
      <c r="KYM73" s="371"/>
      <c r="KYN73" s="371"/>
      <c r="KYO73" s="382"/>
      <c r="KYS73" s="371"/>
      <c r="KYT73" s="371"/>
      <c r="KYU73" s="371"/>
      <c r="KYV73" s="371"/>
      <c r="KYW73" s="371"/>
      <c r="KYX73" s="371"/>
      <c r="KYY73" s="371"/>
      <c r="KYZ73" s="371"/>
      <c r="KZA73" s="371"/>
      <c r="KZB73" s="371"/>
      <c r="KZC73" s="371"/>
      <c r="KZD73" s="371"/>
      <c r="KZE73" s="371"/>
      <c r="KZF73" s="371"/>
      <c r="KZG73" s="371"/>
      <c r="KZH73" s="371"/>
      <c r="KZI73" s="371"/>
      <c r="KZJ73" s="371"/>
      <c r="KZK73" s="371"/>
      <c r="KZL73" s="371"/>
      <c r="KZM73" s="371"/>
      <c r="KZN73" s="371"/>
      <c r="KZO73" s="371"/>
      <c r="KZP73" s="371"/>
      <c r="KZQ73" s="371"/>
      <c r="KZR73" s="371"/>
      <c r="KZS73" s="382"/>
      <c r="KZW73" s="371"/>
      <c r="KZX73" s="371"/>
      <c r="KZY73" s="371"/>
      <c r="KZZ73" s="371"/>
      <c r="LAA73" s="371"/>
      <c r="LAB73" s="371"/>
      <c r="LAC73" s="371"/>
      <c r="LAD73" s="371"/>
      <c r="LAE73" s="371"/>
      <c r="LAF73" s="371"/>
      <c r="LAG73" s="371"/>
      <c r="LAH73" s="371"/>
      <c r="LAI73" s="371"/>
      <c r="LAJ73" s="371"/>
      <c r="LAK73" s="371"/>
      <c r="LAL73" s="371"/>
      <c r="LAM73" s="371"/>
      <c r="LAN73" s="371"/>
      <c r="LAO73" s="371"/>
      <c r="LAP73" s="371"/>
      <c r="LAQ73" s="371"/>
      <c r="LAR73" s="371"/>
      <c r="LAS73" s="371"/>
      <c r="LAT73" s="371"/>
      <c r="LAU73" s="371"/>
      <c r="LAV73" s="371"/>
      <c r="LAW73" s="382"/>
      <c r="LBA73" s="371"/>
      <c r="LBB73" s="371"/>
      <c r="LBC73" s="371"/>
      <c r="LBD73" s="371"/>
      <c r="LBE73" s="371"/>
      <c r="LBF73" s="371"/>
      <c r="LBG73" s="371"/>
      <c r="LBH73" s="371"/>
      <c r="LBI73" s="371"/>
      <c r="LBJ73" s="371"/>
      <c r="LBK73" s="371"/>
      <c r="LBL73" s="371"/>
      <c r="LBM73" s="371"/>
      <c r="LBN73" s="371"/>
      <c r="LBO73" s="371"/>
      <c r="LBP73" s="371"/>
      <c r="LBQ73" s="371"/>
      <c r="LBR73" s="371"/>
      <c r="LBS73" s="371"/>
      <c r="LBT73" s="371"/>
      <c r="LBU73" s="371"/>
      <c r="LBV73" s="371"/>
      <c r="LBW73" s="371"/>
      <c r="LBX73" s="371"/>
      <c r="LBY73" s="371"/>
      <c r="LBZ73" s="371"/>
      <c r="LCA73" s="382"/>
      <c r="LCE73" s="371"/>
      <c r="LCF73" s="371"/>
      <c r="LCG73" s="371"/>
      <c r="LCH73" s="371"/>
      <c r="LCI73" s="371"/>
      <c r="LCJ73" s="371"/>
      <c r="LCK73" s="371"/>
      <c r="LCL73" s="371"/>
      <c r="LCM73" s="371"/>
      <c r="LCN73" s="371"/>
      <c r="LCO73" s="371"/>
      <c r="LCP73" s="371"/>
      <c r="LCQ73" s="371"/>
      <c r="LCR73" s="371"/>
      <c r="LCS73" s="371"/>
      <c r="LCT73" s="371"/>
      <c r="LCU73" s="371"/>
      <c r="LCV73" s="371"/>
      <c r="LCW73" s="371"/>
      <c r="LCX73" s="371"/>
      <c r="LCY73" s="371"/>
      <c r="LCZ73" s="371"/>
      <c r="LDA73" s="371"/>
      <c r="LDB73" s="371"/>
      <c r="LDC73" s="371"/>
      <c r="LDD73" s="371"/>
      <c r="LDE73" s="382"/>
      <c r="LDI73" s="371"/>
      <c r="LDJ73" s="371"/>
      <c r="LDK73" s="371"/>
      <c r="LDL73" s="371"/>
      <c r="LDM73" s="371"/>
      <c r="LDN73" s="371"/>
      <c r="LDO73" s="371"/>
      <c r="LDP73" s="371"/>
      <c r="LDQ73" s="371"/>
      <c r="LDR73" s="371"/>
      <c r="LDS73" s="371"/>
      <c r="LDT73" s="371"/>
      <c r="LDU73" s="371"/>
      <c r="LDV73" s="371"/>
      <c r="LDW73" s="371"/>
      <c r="LDX73" s="371"/>
      <c r="LDY73" s="371"/>
      <c r="LDZ73" s="371"/>
      <c r="LEA73" s="371"/>
      <c r="LEB73" s="371"/>
      <c r="LEC73" s="371"/>
      <c r="LED73" s="371"/>
      <c r="LEE73" s="371"/>
      <c r="LEF73" s="371"/>
      <c r="LEG73" s="371"/>
      <c r="LEH73" s="371"/>
      <c r="LEI73" s="382"/>
      <c r="LEM73" s="371"/>
      <c r="LEN73" s="371"/>
      <c r="LEO73" s="371"/>
      <c r="LEP73" s="371"/>
      <c r="LEQ73" s="371"/>
      <c r="LER73" s="371"/>
      <c r="LES73" s="371"/>
      <c r="LET73" s="371"/>
      <c r="LEU73" s="371"/>
      <c r="LEV73" s="371"/>
      <c r="LEW73" s="371"/>
      <c r="LEX73" s="371"/>
      <c r="LEY73" s="371"/>
      <c r="LEZ73" s="371"/>
      <c r="LFA73" s="371"/>
      <c r="LFB73" s="371"/>
      <c r="LFC73" s="371"/>
      <c r="LFD73" s="371"/>
      <c r="LFE73" s="371"/>
      <c r="LFF73" s="371"/>
      <c r="LFG73" s="371"/>
      <c r="LFH73" s="371"/>
      <c r="LFI73" s="371"/>
      <c r="LFJ73" s="371"/>
      <c r="LFK73" s="371"/>
      <c r="LFL73" s="371"/>
      <c r="LFM73" s="382"/>
      <c r="LFQ73" s="371"/>
      <c r="LFR73" s="371"/>
      <c r="LFS73" s="371"/>
      <c r="LFT73" s="371"/>
      <c r="LFU73" s="371"/>
      <c r="LFV73" s="371"/>
      <c r="LFW73" s="371"/>
      <c r="LFX73" s="371"/>
      <c r="LFY73" s="371"/>
      <c r="LFZ73" s="371"/>
      <c r="LGA73" s="371"/>
      <c r="LGB73" s="371"/>
      <c r="LGC73" s="371"/>
      <c r="LGD73" s="371"/>
      <c r="LGE73" s="371"/>
      <c r="LGF73" s="371"/>
      <c r="LGG73" s="371"/>
      <c r="LGH73" s="371"/>
      <c r="LGI73" s="371"/>
      <c r="LGJ73" s="371"/>
      <c r="LGK73" s="371"/>
      <c r="LGL73" s="371"/>
      <c r="LGM73" s="371"/>
      <c r="LGN73" s="371"/>
      <c r="LGO73" s="371"/>
      <c r="LGP73" s="371"/>
      <c r="LGQ73" s="382"/>
      <c r="LGU73" s="371"/>
      <c r="LGV73" s="371"/>
      <c r="LGW73" s="371"/>
      <c r="LGX73" s="371"/>
      <c r="LGY73" s="371"/>
      <c r="LGZ73" s="371"/>
      <c r="LHA73" s="371"/>
      <c r="LHB73" s="371"/>
      <c r="LHC73" s="371"/>
      <c r="LHD73" s="371"/>
      <c r="LHE73" s="371"/>
      <c r="LHF73" s="371"/>
      <c r="LHG73" s="371"/>
      <c r="LHH73" s="371"/>
      <c r="LHI73" s="371"/>
      <c r="LHJ73" s="371"/>
      <c r="LHK73" s="371"/>
      <c r="LHL73" s="371"/>
      <c r="LHM73" s="371"/>
      <c r="LHN73" s="371"/>
      <c r="LHO73" s="371"/>
      <c r="LHP73" s="371"/>
      <c r="LHQ73" s="371"/>
      <c r="LHR73" s="371"/>
      <c r="LHS73" s="371"/>
      <c r="LHT73" s="371"/>
      <c r="LHU73" s="382"/>
      <c r="LHY73" s="371"/>
      <c r="LHZ73" s="371"/>
      <c r="LIA73" s="371"/>
      <c r="LIB73" s="371"/>
      <c r="LIC73" s="371"/>
      <c r="LID73" s="371"/>
      <c r="LIE73" s="371"/>
      <c r="LIF73" s="371"/>
      <c r="LIG73" s="371"/>
      <c r="LIH73" s="371"/>
      <c r="LII73" s="371"/>
      <c r="LIJ73" s="371"/>
      <c r="LIK73" s="371"/>
      <c r="LIL73" s="371"/>
      <c r="LIM73" s="371"/>
      <c r="LIN73" s="371"/>
      <c r="LIO73" s="371"/>
      <c r="LIP73" s="371"/>
      <c r="LIQ73" s="371"/>
      <c r="LIR73" s="371"/>
      <c r="LIS73" s="371"/>
      <c r="LIT73" s="371"/>
      <c r="LIU73" s="371"/>
      <c r="LIV73" s="371"/>
      <c r="LIW73" s="371"/>
      <c r="LIX73" s="371"/>
      <c r="LIY73" s="382"/>
      <c r="LJC73" s="371"/>
      <c r="LJD73" s="371"/>
      <c r="LJE73" s="371"/>
      <c r="LJF73" s="371"/>
      <c r="LJG73" s="371"/>
      <c r="LJH73" s="371"/>
      <c r="LJI73" s="371"/>
      <c r="LJJ73" s="371"/>
      <c r="LJK73" s="371"/>
      <c r="LJL73" s="371"/>
      <c r="LJM73" s="371"/>
      <c r="LJN73" s="371"/>
      <c r="LJO73" s="371"/>
      <c r="LJP73" s="371"/>
      <c r="LJQ73" s="371"/>
      <c r="LJR73" s="371"/>
      <c r="LJS73" s="371"/>
      <c r="LJT73" s="371"/>
      <c r="LJU73" s="371"/>
      <c r="LJV73" s="371"/>
      <c r="LJW73" s="371"/>
      <c r="LJX73" s="371"/>
      <c r="LJY73" s="371"/>
      <c r="LJZ73" s="371"/>
      <c r="LKA73" s="371"/>
      <c r="LKB73" s="371"/>
      <c r="LKC73" s="382"/>
      <c r="LKG73" s="371"/>
      <c r="LKH73" s="371"/>
      <c r="LKI73" s="371"/>
      <c r="LKJ73" s="371"/>
      <c r="LKK73" s="371"/>
      <c r="LKL73" s="371"/>
      <c r="LKM73" s="371"/>
      <c r="LKN73" s="371"/>
      <c r="LKO73" s="371"/>
      <c r="LKP73" s="371"/>
      <c r="LKQ73" s="371"/>
      <c r="LKR73" s="371"/>
      <c r="LKS73" s="371"/>
      <c r="LKT73" s="371"/>
      <c r="LKU73" s="371"/>
      <c r="LKV73" s="371"/>
      <c r="LKW73" s="371"/>
      <c r="LKX73" s="371"/>
      <c r="LKY73" s="371"/>
      <c r="LKZ73" s="371"/>
      <c r="LLA73" s="371"/>
      <c r="LLB73" s="371"/>
      <c r="LLC73" s="371"/>
      <c r="LLD73" s="371"/>
      <c r="LLE73" s="371"/>
      <c r="LLF73" s="371"/>
      <c r="LLG73" s="382"/>
      <c r="LLK73" s="371"/>
      <c r="LLL73" s="371"/>
      <c r="LLM73" s="371"/>
      <c r="LLN73" s="371"/>
      <c r="LLO73" s="371"/>
      <c r="LLP73" s="371"/>
      <c r="LLQ73" s="371"/>
      <c r="LLR73" s="371"/>
      <c r="LLS73" s="371"/>
      <c r="LLT73" s="371"/>
      <c r="LLU73" s="371"/>
      <c r="LLV73" s="371"/>
      <c r="LLW73" s="371"/>
      <c r="LLX73" s="371"/>
      <c r="LLY73" s="371"/>
      <c r="LLZ73" s="371"/>
      <c r="LMA73" s="371"/>
      <c r="LMB73" s="371"/>
      <c r="LMC73" s="371"/>
      <c r="LMD73" s="371"/>
      <c r="LME73" s="371"/>
      <c r="LMF73" s="371"/>
      <c r="LMG73" s="371"/>
      <c r="LMH73" s="371"/>
      <c r="LMI73" s="371"/>
      <c r="LMJ73" s="371"/>
      <c r="LMK73" s="382"/>
      <c r="LMO73" s="371"/>
      <c r="LMP73" s="371"/>
      <c r="LMQ73" s="371"/>
      <c r="LMR73" s="371"/>
      <c r="LMS73" s="371"/>
      <c r="LMT73" s="371"/>
      <c r="LMU73" s="371"/>
      <c r="LMV73" s="371"/>
      <c r="LMW73" s="371"/>
      <c r="LMX73" s="371"/>
      <c r="LMY73" s="371"/>
      <c r="LMZ73" s="371"/>
      <c r="LNA73" s="371"/>
      <c r="LNB73" s="371"/>
      <c r="LNC73" s="371"/>
      <c r="LND73" s="371"/>
      <c r="LNE73" s="371"/>
      <c r="LNF73" s="371"/>
      <c r="LNG73" s="371"/>
      <c r="LNH73" s="371"/>
      <c r="LNI73" s="371"/>
      <c r="LNJ73" s="371"/>
      <c r="LNK73" s="371"/>
      <c r="LNL73" s="371"/>
      <c r="LNM73" s="371"/>
      <c r="LNN73" s="371"/>
      <c r="LNO73" s="382"/>
      <c r="LNS73" s="371"/>
      <c r="LNT73" s="371"/>
      <c r="LNU73" s="371"/>
      <c r="LNV73" s="371"/>
      <c r="LNW73" s="371"/>
      <c r="LNX73" s="371"/>
      <c r="LNY73" s="371"/>
      <c r="LNZ73" s="371"/>
      <c r="LOA73" s="371"/>
      <c r="LOB73" s="371"/>
      <c r="LOC73" s="371"/>
      <c r="LOD73" s="371"/>
      <c r="LOE73" s="371"/>
      <c r="LOF73" s="371"/>
      <c r="LOG73" s="371"/>
      <c r="LOH73" s="371"/>
      <c r="LOI73" s="371"/>
      <c r="LOJ73" s="371"/>
      <c r="LOK73" s="371"/>
      <c r="LOL73" s="371"/>
      <c r="LOM73" s="371"/>
      <c r="LON73" s="371"/>
      <c r="LOO73" s="371"/>
      <c r="LOP73" s="371"/>
      <c r="LOQ73" s="371"/>
      <c r="LOR73" s="371"/>
      <c r="LOS73" s="382"/>
      <c r="LOW73" s="371"/>
      <c r="LOX73" s="371"/>
      <c r="LOY73" s="371"/>
      <c r="LOZ73" s="371"/>
      <c r="LPA73" s="371"/>
      <c r="LPB73" s="371"/>
      <c r="LPC73" s="371"/>
      <c r="LPD73" s="371"/>
      <c r="LPE73" s="371"/>
      <c r="LPF73" s="371"/>
      <c r="LPG73" s="371"/>
      <c r="LPH73" s="371"/>
      <c r="LPI73" s="371"/>
      <c r="LPJ73" s="371"/>
      <c r="LPK73" s="371"/>
      <c r="LPL73" s="371"/>
      <c r="LPM73" s="371"/>
      <c r="LPN73" s="371"/>
      <c r="LPO73" s="371"/>
      <c r="LPP73" s="371"/>
      <c r="LPQ73" s="371"/>
      <c r="LPR73" s="371"/>
      <c r="LPS73" s="371"/>
      <c r="LPT73" s="371"/>
      <c r="LPU73" s="371"/>
      <c r="LPV73" s="371"/>
      <c r="LPW73" s="382"/>
      <c r="LQA73" s="371"/>
      <c r="LQB73" s="371"/>
      <c r="LQC73" s="371"/>
      <c r="LQD73" s="371"/>
      <c r="LQE73" s="371"/>
      <c r="LQF73" s="371"/>
      <c r="LQG73" s="371"/>
      <c r="LQH73" s="371"/>
      <c r="LQI73" s="371"/>
      <c r="LQJ73" s="371"/>
      <c r="LQK73" s="371"/>
      <c r="LQL73" s="371"/>
      <c r="LQM73" s="371"/>
      <c r="LQN73" s="371"/>
      <c r="LQO73" s="371"/>
      <c r="LQP73" s="371"/>
      <c r="LQQ73" s="371"/>
      <c r="LQR73" s="371"/>
      <c r="LQS73" s="371"/>
      <c r="LQT73" s="371"/>
      <c r="LQU73" s="371"/>
      <c r="LQV73" s="371"/>
      <c r="LQW73" s="371"/>
      <c r="LQX73" s="371"/>
      <c r="LQY73" s="371"/>
      <c r="LQZ73" s="371"/>
      <c r="LRA73" s="382"/>
      <c r="LRE73" s="371"/>
      <c r="LRF73" s="371"/>
      <c r="LRG73" s="371"/>
      <c r="LRH73" s="371"/>
      <c r="LRI73" s="371"/>
      <c r="LRJ73" s="371"/>
      <c r="LRK73" s="371"/>
      <c r="LRL73" s="371"/>
      <c r="LRM73" s="371"/>
      <c r="LRN73" s="371"/>
      <c r="LRO73" s="371"/>
      <c r="LRP73" s="371"/>
      <c r="LRQ73" s="371"/>
      <c r="LRR73" s="371"/>
      <c r="LRS73" s="371"/>
      <c r="LRT73" s="371"/>
      <c r="LRU73" s="371"/>
      <c r="LRV73" s="371"/>
      <c r="LRW73" s="371"/>
      <c r="LRX73" s="371"/>
      <c r="LRY73" s="371"/>
      <c r="LRZ73" s="371"/>
      <c r="LSA73" s="371"/>
      <c r="LSB73" s="371"/>
      <c r="LSC73" s="371"/>
      <c r="LSD73" s="371"/>
      <c r="LSE73" s="382"/>
      <c r="LSI73" s="371"/>
      <c r="LSJ73" s="371"/>
      <c r="LSK73" s="371"/>
      <c r="LSL73" s="371"/>
      <c r="LSM73" s="371"/>
      <c r="LSN73" s="371"/>
      <c r="LSO73" s="371"/>
      <c r="LSP73" s="371"/>
      <c r="LSQ73" s="371"/>
      <c r="LSR73" s="371"/>
      <c r="LSS73" s="371"/>
      <c r="LST73" s="371"/>
      <c r="LSU73" s="371"/>
      <c r="LSV73" s="371"/>
      <c r="LSW73" s="371"/>
      <c r="LSX73" s="371"/>
      <c r="LSY73" s="371"/>
      <c r="LSZ73" s="371"/>
      <c r="LTA73" s="371"/>
      <c r="LTB73" s="371"/>
      <c r="LTC73" s="371"/>
      <c r="LTD73" s="371"/>
      <c r="LTE73" s="371"/>
      <c r="LTF73" s="371"/>
      <c r="LTG73" s="371"/>
      <c r="LTH73" s="371"/>
      <c r="LTI73" s="382"/>
      <c r="LTM73" s="371"/>
      <c r="LTN73" s="371"/>
      <c r="LTO73" s="371"/>
      <c r="LTP73" s="371"/>
      <c r="LTQ73" s="371"/>
      <c r="LTR73" s="371"/>
      <c r="LTS73" s="371"/>
      <c r="LTT73" s="371"/>
      <c r="LTU73" s="371"/>
      <c r="LTV73" s="371"/>
      <c r="LTW73" s="371"/>
      <c r="LTX73" s="371"/>
      <c r="LTY73" s="371"/>
      <c r="LTZ73" s="371"/>
      <c r="LUA73" s="371"/>
      <c r="LUB73" s="371"/>
      <c r="LUC73" s="371"/>
      <c r="LUD73" s="371"/>
      <c r="LUE73" s="371"/>
      <c r="LUF73" s="371"/>
      <c r="LUG73" s="371"/>
      <c r="LUH73" s="371"/>
      <c r="LUI73" s="371"/>
      <c r="LUJ73" s="371"/>
      <c r="LUK73" s="371"/>
      <c r="LUL73" s="371"/>
      <c r="LUM73" s="382"/>
      <c r="LUQ73" s="371"/>
      <c r="LUR73" s="371"/>
      <c r="LUS73" s="371"/>
      <c r="LUT73" s="371"/>
      <c r="LUU73" s="371"/>
      <c r="LUV73" s="371"/>
      <c r="LUW73" s="371"/>
      <c r="LUX73" s="371"/>
      <c r="LUY73" s="371"/>
      <c r="LUZ73" s="371"/>
      <c r="LVA73" s="371"/>
      <c r="LVB73" s="371"/>
      <c r="LVC73" s="371"/>
      <c r="LVD73" s="371"/>
      <c r="LVE73" s="371"/>
      <c r="LVF73" s="371"/>
      <c r="LVG73" s="371"/>
      <c r="LVH73" s="371"/>
      <c r="LVI73" s="371"/>
      <c r="LVJ73" s="371"/>
      <c r="LVK73" s="371"/>
      <c r="LVL73" s="371"/>
      <c r="LVM73" s="371"/>
      <c r="LVN73" s="371"/>
      <c r="LVO73" s="371"/>
      <c r="LVP73" s="371"/>
      <c r="LVQ73" s="382"/>
      <c r="LVU73" s="371"/>
      <c r="LVV73" s="371"/>
      <c r="LVW73" s="371"/>
      <c r="LVX73" s="371"/>
      <c r="LVY73" s="371"/>
      <c r="LVZ73" s="371"/>
      <c r="LWA73" s="371"/>
      <c r="LWB73" s="371"/>
      <c r="LWC73" s="371"/>
      <c r="LWD73" s="371"/>
      <c r="LWE73" s="371"/>
      <c r="LWF73" s="371"/>
      <c r="LWG73" s="371"/>
      <c r="LWH73" s="371"/>
      <c r="LWI73" s="371"/>
      <c r="LWJ73" s="371"/>
      <c r="LWK73" s="371"/>
      <c r="LWL73" s="371"/>
      <c r="LWM73" s="371"/>
      <c r="LWN73" s="371"/>
      <c r="LWO73" s="371"/>
      <c r="LWP73" s="371"/>
      <c r="LWQ73" s="371"/>
      <c r="LWR73" s="371"/>
      <c r="LWS73" s="371"/>
      <c r="LWT73" s="371"/>
      <c r="LWU73" s="382"/>
      <c r="LWY73" s="371"/>
      <c r="LWZ73" s="371"/>
      <c r="LXA73" s="371"/>
      <c r="LXB73" s="371"/>
      <c r="LXC73" s="371"/>
      <c r="LXD73" s="371"/>
      <c r="LXE73" s="371"/>
      <c r="LXF73" s="371"/>
      <c r="LXG73" s="371"/>
      <c r="LXH73" s="371"/>
      <c r="LXI73" s="371"/>
      <c r="LXJ73" s="371"/>
      <c r="LXK73" s="371"/>
      <c r="LXL73" s="371"/>
      <c r="LXM73" s="371"/>
      <c r="LXN73" s="371"/>
      <c r="LXO73" s="371"/>
      <c r="LXP73" s="371"/>
      <c r="LXQ73" s="371"/>
      <c r="LXR73" s="371"/>
      <c r="LXS73" s="371"/>
      <c r="LXT73" s="371"/>
      <c r="LXU73" s="371"/>
      <c r="LXV73" s="371"/>
      <c r="LXW73" s="371"/>
      <c r="LXX73" s="371"/>
      <c r="LXY73" s="382"/>
      <c r="LYC73" s="371"/>
      <c r="LYD73" s="371"/>
      <c r="LYE73" s="371"/>
      <c r="LYF73" s="371"/>
      <c r="LYG73" s="371"/>
      <c r="LYH73" s="371"/>
      <c r="LYI73" s="371"/>
      <c r="LYJ73" s="371"/>
      <c r="LYK73" s="371"/>
      <c r="LYL73" s="371"/>
      <c r="LYM73" s="371"/>
      <c r="LYN73" s="371"/>
      <c r="LYO73" s="371"/>
      <c r="LYP73" s="371"/>
      <c r="LYQ73" s="371"/>
      <c r="LYR73" s="371"/>
      <c r="LYS73" s="371"/>
      <c r="LYT73" s="371"/>
      <c r="LYU73" s="371"/>
      <c r="LYV73" s="371"/>
      <c r="LYW73" s="371"/>
      <c r="LYX73" s="371"/>
      <c r="LYY73" s="371"/>
      <c r="LYZ73" s="371"/>
      <c r="LZA73" s="371"/>
      <c r="LZB73" s="371"/>
      <c r="LZC73" s="382"/>
      <c r="LZG73" s="371"/>
      <c r="LZH73" s="371"/>
      <c r="LZI73" s="371"/>
      <c r="LZJ73" s="371"/>
      <c r="LZK73" s="371"/>
      <c r="LZL73" s="371"/>
      <c r="LZM73" s="371"/>
      <c r="LZN73" s="371"/>
      <c r="LZO73" s="371"/>
      <c r="LZP73" s="371"/>
      <c r="LZQ73" s="371"/>
      <c r="LZR73" s="371"/>
      <c r="LZS73" s="371"/>
      <c r="LZT73" s="371"/>
      <c r="LZU73" s="371"/>
      <c r="LZV73" s="371"/>
      <c r="LZW73" s="371"/>
      <c r="LZX73" s="371"/>
      <c r="LZY73" s="371"/>
      <c r="LZZ73" s="371"/>
      <c r="MAA73" s="371"/>
      <c r="MAB73" s="371"/>
      <c r="MAC73" s="371"/>
      <c r="MAD73" s="371"/>
      <c r="MAE73" s="371"/>
      <c r="MAF73" s="371"/>
      <c r="MAG73" s="382"/>
      <c r="MAK73" s="371"/>
      <c r="MAL73" s="371"/>
      <c r="MAM73" s="371"/>
      <c r="MAN73" s="371"/>
      <c r="MAO73" s="371"/>
      <c r="MAP73" s="371"/>
      <c r="MAQ73" s="371"/>
      <c r="MAR73" s="371"/>
      <c r="MAS73" s="371"/>
      <c r="MAT73" s="371"/>
      <c r="MAU73" s="371"/>
      <c r="MAV73" s="371"/>
      <c r="MAW73" s="371"/>
      <c r="MAX73" s="371"/>
      <c r="MAY73" s="371"/>
      <c r="MAZ73" s="371"/>
      <c r="MBA73" s="371"/>
      <c r="MBB73" s="371"/>
      <c r="MBC73" s="371"/>
      <c r="MBD73" s="371"/>
      <c r="MBE73" s="371"/>
      <c r="MBF73" s="371"/>
      <c r="MBG73" s="371"/>
      <c r="MBH73" s="371"/>
      <c r="MBI73" s="371"/>
      <c r="MBJ73" s="371"/>
      <c r="MBK73" s="382"/>
      <c r="MBO73" s="371"/>
      <c r="MBP73" s="371"/>
      <c r="MBQ73" s="371"/>
      <c r="MBR73" s="371"/>
      <c r="MBS73" s="371"/>
      <c r="MBT73" s="371"/>
      <c r="MBU73" s="371"/>
      <c r="MBV73" s="371"/>
      <c r="MBW73" s="371"/>
      <c r="MBX73" s="371"/>
      <c r="MBY73" s="371"/>
      <c r="MBZ73" s="371"/>
      <c r="MCA73" s="371"/>
      <c r="MCB73" s="371"/>
      <c r="MCC73" s="371"/>
      <c r="MCD73" s="371"/>
      <c r="MCE73" s="371"/>
      <c r="MCF73" s="371"/>
      <c r="MCG73" s="371"/>
      <c r="MCH73" s="371"/>
      <c r="MCI73" s="371"/>
      <c r="MCJ73" s="371"/>
      <c r="MCK73" s="371"/>
      <c r="MCL73" s="371"/>
      <c r="MCM73" s="371"/>
      <c r="MCN73" s="371"/>
      <c r="MCO73" s="382"/>
      <c r="MCS73" s="371"/>
      <c r="MCT73" s="371"/>
      <c r="MCU73" s="371"/>
      <c r="MCV73" s="371"/>
      <c r="MCW73" s="371"/>
      <c r="MCX73" s="371"/>
      <c r="MCY73" s="371"/>
      <c r="MCZ73" s="371"/>
      <c r="MDA73" s="371"/>
      <c r="MDB73" s="371"/>
      <c r="MDC73" s="371"/>
      <c r="MDD73" s="371"/>
      <c r="MDE73" s="371"/>
      <c r="MDF73" s="371"/>
      <c r="MDG73" s="371"/>
      <c r="MDH73" s="371"/>
      <c r="MDI73" s="371"/>
      <c r="MDJ73" s="371"/>
      <c r="MDK73" s="371"/>
      <c r="MDL73" s="371"/>
      <c r="MDM73" s="371"/>
      <c r="MDN73" s="371"/>
      <c r="MDO73" s="371"/>
      <c r="MDP73" s="371"/>
      <c r="MDQ73" s="371"/>
      <c r="MDR73" s="371"/>
      <c r="MDS73" s="382"/>
      <c r="MDW73" s="371"/>
      <c r="MDX73" s="371"/>
      <c r="MDY73" s="371"/>
      <c r="MDZ73" s="371"/>
      <c r="MEA73" s="371"/>
      <c r="MEB73" s="371"/>
      <c r="MEC73" s="371"/>
      <c r="MED73" s="371"/>
      <c r="MEE73" s="371"/>
      <c r="MEF73" s="371"/>
      <c r="MEG73" s="371"/>
      <c r="MEH73" s="371"/>
      <c r="MEI73" s="371"/>
      <c r="MEJ73" s="371"/>
      <c r="MEK73" s="371"/>
      <c r="MEL73" s="371"/>
      <c r="MEM73" s="371"/>
      <c r="MEN73" s="371"/>
      <c r="MEO73" s="371"/>
      <c r="MEP73" s="371"/>
      <c r="MEQ73" s="371"/>
      <c r="MER73" s="371"/>
      <c r="MES73" s="371"/>
      <c r="MET73" s="371"/>
      <c r="MEU73" s="371"/>
      <c r="MEV73" s="371"/>
      <c r="MEW73" s="382"/>
      <c r="MFA73" s="371"/>
      <c r="MFB73" s="371"/>
      <c r="MFC73" s="371"/>
      <c r="MFD73" s="371"/>
      <c r="MFE73" s="371"/>
      <c r="MFF73" s="371"/>
      <c r="MFG73" s="371"/>
      <c r="MFH73" s="371"/>
      <c r="MFI73" s="371"/>
      <c r="MFJ73" s="371"/>
      <c r="MFK73" s="371"/>
      <c r="MFL73" s="371"/>
      <c r="MFM73" s="371"/>
      <c r="MFN73" s="371"/>
      <c r="MFO73" s="371"/>
      <c r="MFP73" s="371"/>
      <c r="MFQ73" s="371"/>
      <c r="MFR73" s="371"/>
      <c r="MFS73" s="371"/>
      <c r="MFT73" s="371"/>
      <c r="MFU73" s="371"/>
      <c r="MFV73" s="371"/>
      <c r="MFW73" s="371"/>
      <c r="MFX73" s="371"/>
      <c r="MFY73" s="371"/>
      <c r="MFZ73" s="371"/>
      <c r="MGA73" s="382"/>
      <c r="MGE73" s="371"/>
      <c r="MGF73" s="371"/>
      <c r="MGG73" s="371"/>
      <c r="MGH73" s="371"/>
      <c r="MGI73" s="371"/>
      <c r="MGJ73" s="371"/>
      <c r="MGK73" s="371"/>
      <c r="MGL73" s="371"/>
      <c r="MGM73" s="371"/>
      <c r="MGN73" s="371"/>
      <c r="MGO73" s="371"/>
      <c r="MGP73" s="371"/>
      <c r="MGQ73" s="371"/>
      <c r="MGR73" s="371"/>
      <c r="MGS73" s="371"/>
      <c r="MGT73" s="371"/>
      <c r="MGU73" s="371"/>
      <c r="MGV73" s="371"/>
      <c r="MGW73" s="371"/>
      <c r="MGX73" s="371"/>
      <c r="MGY73" s="371"/>
      <c r="MGZ73" s="371"/>
      <c r="MHA73" s="371"/>
      <c r="MHB73" s="371"/>
      <c r="MHC73" s="371"/>
      <c r="MHD73" s="371"/>
      <c r="MHE73" s="382"/>
      <c r="MHI73" s="371"/>
      <c r="MHJ73" s="371"/>
      <c r="MHK73" s="371"/>
      <c r="MHL73" s="371"/>
      <c r="MHM73" s="371"/>
      <c r="MHN73" s="371"/>
      <c r="MHO73" s="371"/>
      <c r="MHP73" s="371"/>
      <c r="MHQ73" s="371"/>
      <c r="MHR73" s="371"/>
      <c r="MHS73" s="371"/>
      <c r="MHT73" s="371"/>
      <c r="MHU73" s="371"/>
      <c r="MHV73" s="371"/>
      <c r="MHW73" s="371"/>
      <c r="MHX73" s="371"/>
      <c r="MHY73" s="371"/>
      <c r="MHZ73" s="371"/>
      <c r="MIA73" s="371"/>
      <c r="MIB73" s="371"/>
      <c r="MIC73" s="371"/>
      <c r="MID73" s="371"/>
      <c r="MIE73" s="371"/>
      <c r="MIF73" s="371"/>
      <c r="MIG73" s="371"/>
      <c r="MIH73" s="371"/>
      <c r="MII73" s="382"/>
      <c r="MIM73" s="371"/>
      <c r="MIN73" s="371"/>
      <c r="MIO73" s="371"/>
      <c r="MIP73" s="371"/>
      <c r="MIQ73" s="371"/>
      <c r="MIR73" s="371"/>
      <c r="MIS73" s="371"/>
      <c r="MIT73" s="371"/>
      <c r="MIU73" s="371"/>
      <c r="MIV73" s="371"/>
      <c r="MIW73" s="371"/>
      <c r="MIX73" s="371"/>
      <c r="MIY73" s="371"/>
      <c r="MIZ73" s="371"/>
      <c r="MJA73" s="371"/>
      <c r="MJB73" s="371"/>
      <c r="MJC73" s="371"/>
      <c r="MJD73" s="371"/>
      <c r="MJE73" s="371"/>
      <c r="MJF73" s="371"/>
      <c r="MJG73" s="371"/>
      <c r="MJH73" s="371"/>
      <c r="MJI73" s="371"/>
      <c r="MJJ73" s="371"/>
      <c r="MJK73" s="371"/>
      <c r="MJL73" s="371"/>
      <c r="MJM73" s="382"/>
      <c r="MJQ73" s="371"/>
      <c r="MJR73" s="371"/>
      <c r="MJS73" s="371"/>
      <c r="MJT73" s="371"/>
      <c r="MJU73" s="371"/>
      <c r="MJV73" s="371"/>
      <c r="MJW73" s="371"/>
      <c r="MJX73" s="371"/>
      <c r="MJY73" s="371"/>
      <c r="MJZ73" s="371"/>
      <c r="MKA73" s="371"/>
      <c r="MKB73" s="371"/>
      <c r="MKC73" s="371"/>
      <c r="MKD73" s="371"/>
      <c r="MKE73" s="371"/>
      <c r="MKF73" s="371"/>
      <c r="MKG73" s="371"/>
      <c r="MKH73" s="371"/>
      <c r="MKI73" s="371"/>
      <c r="MKJ73" s="371"/>
      <c r="MKK73" s="371"/>
      <c r="MKL73" s="371"/>
      <c r="MKM73" s="371"/>
      <c r="MKN73" s="371"/>
      <c r="MKO73" s="371"/>
      <c r="MKP73" s="371"/>
      <c r="MKQ73" s="382"/>
      <c r="MKU73" s="371"/>
      <c r="MKV73" s="371"/>
      <c r="MKW73" s="371"/>
      <c r="MKX73" s="371"/>
      <c r="MKY73" s="371"/>
      <c r="MKZ73" s="371"/>
      <c r="MLA73" s="371"/>
      <c r="MLB73" s="371"/>
      <c r="MLC73" s="371"/>
      <c r="MLD73" s="371"/>
      <c r="MLE73" s="371"/>
      <c r="MLF73" s="371"/>
      <c r="MLG73" s="371"/>
      <c r="MLH73" s="371"/>
      <c r="MLI73" s="371"/>
      <c r="MLJ73" s="371"/>
      <c r="MLK73" s="371"/>
      <c r="MLL73" s="371"/>
      <c r="MLM73" s="371"/>
      <c r="MLN73" s="371"/>
      <c r="MLO73" s="371"/>
      <c r="MLP73" s="371"/>
      <c r="MLQ73" s="371"/>
      <c r="MLR73" s="371"/>
      <c r="MLS73" s="371"/>
      <c r="MLT73" s="371"/>
      <c r="MLU73" s="382"/>
      <c r="MLY73" s="371"/>
      <c r="MLZ73" s="371"/>
      <c r="MMA73" s="371"/>
      <c r="MMB73" s="371"/>
      <c r="MMC73" s="371"/>
      <c r="MMD73" s="371"/>
      <c r="MME73" s="371"/>
      <c r="MMF73" s="371"/>
      <c r="MMG73" s="371"/>
      <c r="MMH73" s="371"/>
      <c r="MMI73" s="371"/>
      <c r="MMJ73" s="371"/>
      <c r="MMK73" s="371"/>
      <c r="MML73" s="371"/>
      <c r="MMM73" s="371"/>
      <c r="MMN73" s="371"/>
      <c r="MMO73" s="371"/>
      <c r="MMP73" s="371"/>
      <c r="MMQ73" s="371"/>
      <c r="MMR73" s="371"/>
      <c r="MMS73" s="371"/>
      <c r="MMT73" s="371"/>
      <c r="MMU73" s="371"/>
      <c r="MMV73" s="371"/>
      <c r="MMW73" s="371"/>
      <c r="MMX73" s="371"/>
      <c r="MMY73" s="382"/>
      <c r="MNC73" s="371"/>
      <c r="MND73" s="371"/>
      <c r="MNE73" s="371"/>
      <c r="MNF73" s="371"/>
      <c r="MNG73" s="371"/>
      <c r="MNH73" s="371"/>
      <c r="MNI73" s="371"/>
      <c r="MNJ73" s="371"/>
      <c r="MNK73" s="371"/>
      <c r="MNL73" s="371"/>
      <c r="MNM73" s="371"/>
      <c r="MNN73" s="371"/>
      <c r="MNO73" s="371"/>
      <c r="MNP73" s="371"/>
      <c r="MNQ73" s="371"/>
      <c r="MNR73" s="371"/>
      <c r="MNS73" s="371"/>
      <c r="MNT73" s="371"/>
      <c r="MNU73" s="371"/>
      <c r="MNV73" s="371"/>
      <c r="MNW73" s="371"/>
      <c r="MNX73" s="371"/>
      <c r="MNY73" s="371"/>
      <c r="MNZ73" s="371"/>
      <c r="MOA73" s="371"/>
      <c r="MOB73" s="371"/>
      <c r="MOC73" s="382"/>
      <c r="MOG73" s="371"/>
      <c r="MOH73" s="371"/>
      <c r="MOI73" s="371"/>
      <c r="MOJ73" s="371"/>
      <c r="MOK73" s="371"/>
      <c r="MOL73" s="371"/>
      <c r="MOM73" s="371"/>
      <c r="MON73" s="371"/>
      <c r="MOO73" s="371"/>
      <c r="MOP73" s="371"/>
      <c r="MOQ73" s="371"/>
      <c r="MOR73" s="371"/>
      <c r="MOS73" s="371"/>
      <c r="MOT73" s="371"/>
      <c r="MOU73" s="371"/>
      <c r="MOV73" s="371"/>
      <c r="MOW73" s="371"/>
      <c r="MOX73" s="371"/>
      <c r="MOY73" s="371"/>
      <c r="MOZ73" s="371"/>
      <c r="MPA73" s="371"/>
      <c r="MPB73" s="371"/>
      <c r="MPC73" s="371"/>
      <c r="MPD73" s="371"/>
      <c r="MPE73" s="371"/>
      <c r="MPF73" s="371"/>
      <c r="MPG73" s="382"/>
      <c r="MPK73" s="371"/>
      <c r="MPL73" s="371"/>
      <c r="MPM73" s="371"/>
      <c r="MPN73" s="371"/>
      <c r="MPO73" s="371"/>
      <c r="MPP73" s="371"/>
      <c r="MPQ73" s="371"/>
      <c r="MPR73" s="371"/>
      <c r="MPS73" s="371"/>
      <c r="MPT73" s="371"/>
      <c r="MPU73" s="371"/>
      <c r="MPV73" s="371"/>
      <c r="MPW73" s="371"/>
      <c r="MPX73" s="371"/>
      <c r="MPY73" s="371"/>
      <c r="MPZ73" s="371"/>
      <c r="MQA73" s="371"/>
      <c r="MQB73" s="371"/>
      <c r="MQC73" s="371"/>
      <c r="MQD73" s="371"/>
      <c r="MQE73" s="371"/>
      <c r="MQF73" s="371"/>
      <c r="MQG73" s="371"/>
      <c r="MQH73" s="371"/>
      <c r="MQI73" s="371"/>
      <c r="MQJ73" s="371"/>
      <c r="MQK73" s="382"/>
      <c r="MQO73" s="371"/>
      <c r="MQP73" s="371"/>
      <c r="MQQ73" s="371"/>
      <c r="MQR73" s="371"/>
      <c r="MQS73" s="371"/>
      <c r="MQT73" s="371"/>
      <c r="MQU73" s="371"/>
      <c r="MQV73" s="371"/>
      <c r="MQW73" s="371"/>
      <c r="MQX73" s="371"/>
      <c r="MQY73" s="371"/>
      <c r="MQZ73" s="371"/>
      <c r="MRA73" s="371"/>
      <c r="MRB73" s="371"/>
      <c r="MRC73" s="371"/>
      <c r="MRD73" s="371"/>
      <c r="MRE73" s="371"/>
      <c r="MRF73" s="371"/>
      <c r="MRG73" s="371"/>
      <c r="MRH73" s="371"/>
      <c r="MRI73" s="371"/>
      <c r="MRJ73" s="371"/>
      <c r="MRK73" s="371"/>
      <c r="MRL73" s="371"/>
      <c r="MRM73" s="371"/>
      <c r="MRN73" s="371"/>
      <c r="MRO73" s="382"/>
      <c r="MRS73" s="371"/>
      <c r="MRT73" s="371"/>
      <c r="MRU73" s="371"/>
      <c r="MRV73" s="371"/>
      <c r="MRW73" s="371"/>
      <c r="MRX73" s="371"/>
      <c r="MRY73" s="371"/>
      <c r="MRZ73" s="371"/>
      <c r="MSA73" s="371"/>
      <c r="MSB73" s="371"/>
      <c r="MSC73" s="371"/>
      <c r="MSD73" s="371"/>
      <c r="MSE73" s="371"/>
      <c r="MSF73" s="371"/>
      <c r="MSG73" s="371"/>
      <c r="MSH73" s="371"/>
      <c r="MSI73" s="371"/>
      <c r="MSJ73" s="371"/>
      <c r="MSK73" s="371"/>
      <c r="MSL73" s="371"/>
      <c r="MSM73" s="371"/>
      <c r="MSN73" s="371"/>
      <c r="MSO73" s="371"/>
      <c r="MSP73" s="371"/>
      <c r="MSQ73" s="371"/>
      <c r="MSR73" s="371"/>
      <c r="MSS73" s="382"/>
      <c r="MSW73" s="371"/>
      <c r="MSX73" s="371"/>
      <c r="MSY73" s="371"/>
      <c r="MSZ73" s="371"/>
      <c r="MTA73" s="371"/>
      <c r="MTB73" s="371"/>
      <c r="MTC73" s="371"/>
      <c r="MTD73" s="371"/>
      <c r="MTE73" s="371"/>
      <c r="MTF73" s="371"/>
      <c r="MTG73" s="371"/>
      <c r="MTH73" s="371"/>
      <c r="MTI73" s="371"/>
      <c r="MTJ73" s="371"/>
      <c r="MTK73" s="371"/>
      <c r="MTL73" s="371"/>
      <c r="MTM73" s="371"/>
      <c r="MTN73" s="371"/>
      <c r="MTO73" s="371"/>
      <c r="MTP73" s="371"/>
      <c r="MTQ73" s="371"/>
      <c r="MTR73" s="371"/>
      <c r="MTS73" s="371"/>
      <c r="MTT73" s="371"/>
      <c r="MTU73" s="371"/>
      <c r="MTV73" s="371"/>
      <c r="MTW73" s="382"/>
      <c r="MUA73" s="371"/>
      <c r="MUB73" s="371"/>
      <c r="MUC73" s="371"/>
      <c r="MUD73" s="371"/>
      <c r="MUE73" s="371"/>
      <c r="MUF73" s="371"/>
      <c r="MUG73" s="371"/>
      <c r="MUH73" s="371"/>
      <c r="MUI73" s="371"/>
      <c r="MUJ73" s="371"/>
      <c r="MUK73" s="371"/>
      <c r="MUL73" s="371"/>
      <c r="MUM73" s="371"/>
      <c r="MUN73" s="371"/>
      <c r="MUO73" s="371"/>
      <c r="MUP73" s="371"/>
      <c r="MUQ73" s="371"/>
      <c r="MUR73" s="371"/>
      <c r="MUS73" s="371"/>
      <c r="MUT73" s="371"/>
      <c r="MUU73" s="371"/>
      <c r="MUV73" s="371"/>
      <c r="MUW73" s="371"/>
      <c r="MUX73" s="371"/>
      <c r="MUY73" s="371"/>
      <c r="MUZ73" s="371"/>
      <c r="MVA73" s="382"/>
      <c r="MVE73" s="371"/>
      <c r="MVF73" s="371"/>
      <c r="MVG73" s="371"/>
      <c r="MVH73" s="371"/>
      <c r="MVI73" s="371"/>
      <c r="MVJ73" s="371"/>
      <c r="MVK73" s="371"/>
      <c r="MVL73" s="371"/>
      <c r="MVM73" s="371"/>
      <c r="MVN73" s="371"/>
      <c r="MVO73" s="371"/>
      <c r="MVP73" s="371"/>
      <c r="MVQ73" s="371"/>
      <c r="MVR73" s="371"/>
      <c r="MVS73" s="371"/>
      <c r="MVT73" s="371"/>
      <c r="MVU73" s="371"/>
      <c r="MVV73" s="371"/>
      <c r="MVW73" s="371"/>
      <c r="MVX73" s="371"/>
      <c r="MVY73" s="371"/>
      <c r="MVZ73" s="371"/>
      <c r="MWA73" s="371"/>
      <c r="MWB73" s="371"/>
      <c r="MWC73" s="371"/>
      <c r="MWD73" s="371"/>
      <c r="MWE73" s="382"/>
      <c r="MWI73" s="371"/>
      <c r="MWJ73" s="371"/>
      <c r="MWK73" s="371"/>
      <c r="MWL73" s="371"/>
      <c r="MWM73" s="371"/>
      <c r="MWN73" s="371"/>
      <c r="MWO73" s="371"/>
      <c r="MWP73" s="371"/>
      <c r="MWQ73" s="371"/>
      <c r="MWR73" s="371"/>
      <c r="MWS73" s="371"/>
      <c r="MWT73" s="371"/>
      <c r="MWU73" s="371"/>
      <c r="MWV73" s="371"/>
      <c r="MWW73" s="371"/>
      <c r="MWX73" s="371"/>
      <c r="MWY73" s="371"/>
      <c r="MWZ73" s="371"/>
      <c r="MXA73" s="371"/>
      <c r="MXB73" s="371"/>
      <c r="MXC73" s="371"/>
      <c r="MXD73" s="371"/>
      <c r="MXE73" s="371"/>
      <c r="MXF73" s="371"/>
      <c r="MXG73" s="371"/>
      <c r="MXH73" s="371"/>
      <c r="MXI73" s="382"/>
      <c r="MXM73" s="371"/>
      <c r="MXN73" s="371"/>
      <c r="MXO73" s="371"/>
      <c r="MXP73" s="371"/>
      <c r="MXQ73" s="371"/>
      <c r="MXR73" s="371"/>
      <c r="MXS73" s="371"/>
      <c r="MXT73" s="371"/>
      <c r="MXU73" s="371"/>
      <c r="MXV73" s="371"/>
      <c r="MXW73" s="371"/>
      <c r="MXX73" s="371"/>
      <c r="MXY73" s="371"/>
      <c r="MXZ73" s="371"/>
      <c r="MYA73" s="371"/>
      <c r="MYB73" s="371"/>
      <c r="MYC73" s="371"/>
      <c r="MYD73" s="371"/>
      <c r="MYE73" s="371"/>
      <c r="MYF73" s="371"/>
      <c r="MYG73" s="371"/>
      <c r="MYH73" s="371"/>
      <c r="MYI73" s="371"/>
      <c r="MYJ73" s="371"/>
      <c r="MYK73" s="371"/>
      <c r="MYL73" s="371"/>
      <c r="MYM73" s="382"/>
      <c r="MYQ73" s="371"/>
      <c r="MYR73" s="371"/>
      <c r="MYS73" s="371"/>
      <c r="MYT73" s="371"/>
      <c r="MYU73" s="371"/>
      <c r="MYV73" s="371"/>
      <c r="MYW73" s="371"/>
      <c r="MYX73" s="371"/>
      <c r="MYY73" s="371"/>
      <c r="MYZ73" s="371"/>
      <c r="MZA73" s="371"/>
      <c r="MZB73" s="371"/>
      <c r="MZC73" s="371"/>
      <c r="MZD73" s="371"/>
      <c r="MZE73" s="371"/>
      <c r="MZF73" s="371"/>
      <c r="MZG73" s="371"/>
      <c r="MZH73" s="371"/>
      <c r="MZI73" s="371"/>
      <c r="MZJ73" s="371"/>
      <c r="MZK73" s="371"/>
      <c r="MZL73" s="371"/>
      <c r="MZM73" s="371"/>
      <c r="MZN73" s="371"/>
      <c r="MZO73" s="371"/>
      <c r="MZP73" s="371"/>
      <c r="MZQ73" s="382"/>
      <c r="MZU73" s="371"/>
      <c r="MZV73" s="371"/>
      <c r="MZW73" s="371"/>
      <c r="MZX73" s="371"/>
      <c r="MZY73" s="371"/>
      <c r="MZZ73" s="371"/>
      <c r="NAA73" s="371"/>
      <c r="NAB73" s="371"/>
      <c r="NAC73" s="371"/>
      <c r="NAD73" s="371"/>
      <c r="NAE73" s="371"/>
      <c r="NAF73" s="371"/>
      <c r="NAG73" s="371"/>
      <c r="NAH73" s="371"/>
      <c r="NAI73" s="371"/>
      <c r="NAJ73" s="371"/>
      <c r="NAK73" s="371"/>
      <c r="NAL73" s="371"/>
      <c r="NAM73" s="371"/>
      <c r="NAN73" s="371"/>
      <c r="NAO73" s="371"/>
      <c r="NAP73" s="371"/>
      <c r="NAQ73" s="371"/>
      <c r="NAR73" s="371"/>
      <c r="NAS73" s="371"/>
      <c r="NAT73" s="371"/>
      <c r="NAU73" s="382"/>
      <c r="NAY73" s="371"/>
      <c r="NAZ73" s="371"/>
      <c r="NBA73" s="371"/>
      <c r="NBB73" s="371"/>
      <c r="NBC73" s="371"/>
      <c r="NBD73" s="371"/>
      <c r="NBE73" s="371"/>
      <c r="NBF73" s="371"/>
      <c r="NBG73" s="371"/>
      <c r="NBH73" s="371"/>
      <c r="NBI73" s="371"/>
      <c r="NBJ73" s="371"/>
      <c r="NBK73" s="371"/>
      <c r="NBL73" s="371"/>
      <c r="NBM73" s="371"/>
      <c r="NBN73" s="371"/>
      <c r="NBO73" s="371"/>
      <c r="NBP73" s="371"/>
      <c r="NBQ73" s="371"/>
      <c r="NBR73" s="371"/>
      <c r="NBS73" s="371"/>
      <c r="NBT73" s="371"/>
      <c r="NBU73" s="371"/>
      <c r="NBV73" s="371"/>
      <c r="NBW73" s="371"/>
      <c r="NBX73" s="371"/>
      <c r="NBY73" s="382"/>
      <c r="NCC73" s="371"/>
      <c r="NCD73" s="371"/>
      <c r="NCE73" s="371"/>
      <c r="NCF73" s="371"/>
      <c r="NCG73" s="371"/>
      <c r="NCH73" s="371"/>
      <c r="NCI73" s="371"/>
      <c r="NCJ73" s="371"/>
      <c r="NCK73" s="371"/>
      <c r="NCL73" s="371"/>
      <c r="NCM73" s="371"/>
      <c r="NCN73" s="371"/>
      <c r="NCO73" s="371"/>
      <c r="NCP73" s="371"/>
      <c r="NCQ73" s="371"/>
      <c r="NCR73" s="371"/>
      <c r="NCS73" s="371"/>
      <c r="NCT73" s="371"/>
      <c r="NCU73" s="371"/>
      <c r="NCV73" s="371"/>
      <c r="NCW73" s="371"/>
      <c r="NCX73" s="371"/>
      <c r="NCY73" s="371"/>
      <c r="NCZ73" s="371"/>
      <c r="NDA73" s="371"/>
      <c r="NDB73" s="371"/>
      <c r="NDC73" s="382"/>
      <c r="NDG73" s="371"/>
      <c r="NDH73" s="371"/>
      <c r="NDI73" s="371"/>
      <c r="NDJ73" s="371"/>
      <c r="NDK73" s="371"/>
      <c r="NDL73" s="371"/>
      <c r="NDM73" s="371"/>
      <c r="NDN73" s="371"/>
      <c r="NDO73" s="371"/>
      <c r="NDP73" s="371"/>
      <c r="NDQ73" s="371"/>
      <c r="NDR73" s="371"/>
      <c r="NDS73" s="371"/>
      <c r="NDT73" s="371"/>
      <c r="NDU73" s="371"/>
      <c r="NDV73" s="371"/>
      <c r="NDW73" s="371"/>
      <c r="NDX73" s="371"/>
      <c r="NDY73" s="371"/>
      <c r="NDZ73" s="371"/>
      <c r="NEA73" s="371"/>
      <c r="NEB73" s="371"/>
      <c r="NEC73" s="371"/>
      <c r="NED73" s="371"/>
      <c r="NEE73" s="371"/>
      <c r="NEF73" s="371"/>
      <c r="NEG73" s="382"/>
      <c r="NEK73" s="371"/>
      <c r="NEL73" s="371"/>
      <c r="NEM73" s="371"/>
      <c r="NEN73" s="371"/>
      <c r="NEO73" s="371"/>
      <c r="NEP73" s="371"/>
      <c r="NEQ73" s="371"/>
      <c r="NER73" s="371"/>
      <c r="NES73" s="371"/>
      <c r="NET73" s="371"/>
      <c r="NEU73" s="371"/>
      <c r="NEV73" s="371"/>
      <c r="NEW73" s="371"/>
      <c r="NEX73" s="371"/>
      <c r="NEY73" s="371"/>
      <c r="NEZ73" s="371"/>
      <c r="NFA73" s="371"/>
      <c r="NFB73" s="371"/>
      <c r="NFC73" s="371"/>
      <c r="NFD73" s="371"/>
      <c r="NFE73" s="371"/>
      <c r="NFF73" s="371"/>
      <c r="NFG73" s="371"/>
      <c r="NFH73" s="371"/>
      <c r="NFI73" s="371"/>
      <c r="NFJ73" s="371"/>
      <c r="NFK73" s="382"/>
      <c r="NFO73" s="371"/>
      <c r="NFP73" s="371"/>
      <c r="NFQ73" s="371"/>
      <c r="NFR73" s="371"/>
      <c r="NFS73" s="371"/>
      <c r="NFT73" s="371"/>
      <c r="NFU73" s="371"/>
      <c r="NFV73" s="371"/>
      <c r="NFW73" s="371"/>
      <c r="NFX73" s="371"/>
      <c r="NFY73" s="371"/>
      <c r="NFZ73" s="371"/>
      <c r="NGA73" s="371"/>
      <c r="NGB73" s="371"/>
      <c r="NGC73" s="371"/>
      <c r="NGD73" s="371"/>
      <c r="NGE73" s="371"/>
      <c r="NGF73" s="371"/>
      <c r="NGG73" s="371"/>
      <c r="NGH73" s="371"/>
      <c r="NGI73" s="371"/>
      <c r="NGJ73" s="371"/>
      <c r="NGK73" s="371"/>
      <c r="NGL73" s="371"/>
      <c r="NGM73" s="371"/>
      <c r="NGN73" s="371"/>
      <c r="NGO73" s="382"/>
      <c r="NGS73" s="371"/>
      <c r="NGT73" s="371"/>
      <c r="NGU73" s="371"/>
      <c r="NGV73" s="371"/>
      <c r="NGW73" s="371"/>
      <c r="NGX73" s="371"/>
      <c r="NGY73" s="371"/>
      <c r="NGZ73" s="371"/>
      <c r="NHA73" s="371"/>
      <c r="NHB73" s="371"/>
      <c r="NHC73" s="371"/>
      <c r="NHD73" s="371"/>
      <c r="NHE73" s="371"/>
      <c r="NHF73" s="371"/>
      <c r="NHG73" s="371"/>
      <c r="NHH73" s="371"/>
      <c r="NHI73" s="371"/>
      <c r="NHJ73" s="371"/>
      <c r="NHK73" s="371"/>
      <c r="NHL73" s="371"/>
      <c r="NHM73" s="371"/>
      <c r="NHN73" s="371"/>
      <c r="NHO73" s="371"/>
      <c r="NHP73" s="371"/>
      <c r="NHQ73" s="371"/>
      <c r="NHR73" s="371"/>
      <c r="NHS73" s="382"/>
      <c r="NHW73" s="371"/>
      <c r="NHX73" s="371"/>
      <c r="NHY73" s="371"/>
      <c r="NHZ73" s="371"/>
      <c r="NIA73" s="371"/>
      <c r="NIB73" s="371"/>
      <c r="NIC73" s="371"/>
      <c r="NID73" s="371"/>
      <c r="NIE73" s="371"/>
      <c r="NIF73" s="371"/>
      <c r="NIG73" s="371"/>
      <c r="NIH73" s="371"/>
      <c r="NII73" s="371"/>
      <c r="NIJ73" s="371"/>
      <c r="NIK73" s="371"/>
      <c r="NIL73" s="371"/>
      <c r="NIM73" s="371"/>
      <c r="NIN73" s="371"/>
      <c r="NIO73" s="371"/>
      <c r="NIP73" s="371"/>
      <c r="NIQ73" s="371"/>
      <c r="NIR73" s="371"/>
      <c r="NIS73" s="371"/>
      <c r="NIT73" s="371"/>
      <c r="NIU73" s="371"/>
      <c r="NIV73" s="371"/>
      <c r="NIW73" s="382"/>
      <c r="NJA73" s="371"/>
      <c r="NJB73" s="371"/>
      <c r="NJC73" s="371"/>
      <c r="NJD73" s="371"/>
      <c r="NJE73" s="371"/>
      <c r="NJF73" s="371"/>
      <c r="NJG73" s="371"/>
      <c r="NJH73" s="371"/>
      <c r="NJI73" s="371"/>
      <c r="NJJ73" s="371"/>
      <c r="NJK73" s="371"/>
      <c r="NJL73" s="371"/>
      <c r="NJM73" s="371"/>
      <c r="NJN73" s="371"/>
      <c r="NJO73" s="371"/>
      <c r="NJP73" s="371"/>
      <c r="NJQ73" s="371"/>
      <c r="NJR73" s="371"/>
      <c r="NJS73" s="371"/>
      <c r="NJT73" s="371"/>
      <c r="NJU73" s="371"/>
      <c r="NJV73" s="371"/>
      <c r="NJW73" s="371"/>
      <c r="NJX73" s="371"/>
      <c r="NJY73" s="371"/>
      <c r="NJZ73" s="371"/>
      <c r="NKA73" s="382"/>
      <c r="NKE73" s="371"/>
      <c r="NKF73" s="371"/>
      <c r="NKG73" s="371"/>
      <c r="NKH73" s="371"/>
      <c r="NKI73" s="371"/>
      <c r="NKJ73" s="371"/>
      <c r="NKK73" s="371"/>
      <c r="NKL73" s="371"/>
      <c r="NKM73" s="371"/>
      <c r="NKN73" s="371"/>
      <c r="NKO73" s="371"/>
      <c r="NKP73" s="371"/>
      <c r="NKQ73" s="371"/>
      <c r="NKR73" s="371"/>
      <c r="NKS73" s="371"/>
      <c r="NKT73" s="371"/>
      <c r="NKU73" s="371"/>
      <c r="NKV73" s="371"/>
      <c r="NKW73" s="371"/>
      <c r="NKX73" s="371"/>
      <c r="NKY73" s="371"/>
      <c r="NKZ73" s="371"/>
      <c r="NLA73" s="371"/>
      <c r="NLB73" s="371"/>
      <c r="NLC73" s="371"/>
      <c r="NLD73" s="371"/>
      <c r="NLE73" s="382"/>
      <c r="NLI73" s="371"/>
      <c r="NLJ73" s="371"/>
      <c r="NLK73" s="371"/>
      <c r="NLL73" s="371"/>
      <c r="NLM73" s="371"/>
      <c r="NLN73" s="371"/>
      <c r="NLO73" s="371"/>
      <c r="NLP73" s="371"/>
      <c r="NLQ73" s="371"/>
      <c r="NLR73" s="371"/>
      <c r="NLS73" s="371"/>
      <c r="NLT73" s="371"/>
      <c r="NLU73" s="371"/>
      <c r="NLV73" s="371"/>
      <c r="NLW73" s="371"/>
      <c r="NLX73" s="371"/>
      <c r="NLY73" s="371"/>
      <c r="NLZ73" s="371"/>
      <c r="NMA73" s="371"/>
      <c r="NMB73" s="371"/>
      <c r="NMC73" s="371"/>
      <c r="NMD73" s="371"/>
      <c r="NME73" s="371"/>
      <c r="NMF73" s="371"/>
      <c r="NMG73" s="371"/>
      <c r="NMH73" s="371"/>
      <c r="NMI73" s="382"/>
      <c r="NMM73" s="371"/>
      <c r="NMN73" s="371"/>
      <c r="NMO73" s="371"/>
      <c r="NMP73" s="371"/>
      <c r="NMQ73" s="371"/>
      <c r="NMR73" s="371"/>
      <c r="NMS73" s="371"/>
      <c r="NMT73" s="371"/>
      <c r="NMU73" s="371"/>
      <c r="NMV73" s="371"/>
      <c r="NMW73" s="371"/>
      <c r="NMX73" s="371"/>
      <c r="NMY73" s="371"/>
      <c r="NMZ73" s="371"/>
      <c r="NNA73" s="371"/>
      <c r="NNB73" s="371"/>
      <c r="NNC73" s="371"/>
      <c r="NND73" s="371"/>
      <c r="NNE73" s="371"/>
      <c r="NNF73" s="371"/>
      <c r="NNG73" s="371"/>
      <c r="NNH73" s="371"/>
      <c r="NNI73" s="371"/>
      <c r="NNJ73" s="371"/>
      <c r="NNK73" s="371"/>
      <c r="NNL73" s="371"/>
      <c r="NNM73" s="382"/>
      <c r="NNQ73" s="371"/>
      <c r="NNR73" s="371"/>
      <c r="NNS73" s="371"/>
      <c r="NNT73" s="371"/>
      <c r="NNU73" s="371"/>
      <c r="NNV73" s="371"/>
      <c r="NNW73" s="371"/>
      <c r="NNX73" s="371"/>
      <c r="NNY73" s="371"/>
      <c r="NNZ73" s="371"/>
      <c r="NOA73" s="371"/>
      <c r="NOB73" s="371"/>
      <c r="NOC73" s="371"/>
      <c r="NOD73" s="371"/>
      <c r="NOE73" s="371"/>
      <c r="NOF73" s="371"/>
      <c r="NOG73" s="371"/>
      <c r="NOH73" s="371"/>
      <c r="NOI73" s="371"/>
      <c r="NOJ73" s="371"/>
      <c r="NOK73" s="371"/>
      <c r="NOL73" s="371"/>
      <c r="NOM73" s="371"/>
      <c r="NON73" s="371"/>
      <c r="NOO73" s="371"/>
      <c r="NOP73" s="371"/>
      <c r="NOQ73" s="382"/>
      <c r="NOU73" s="371"/>
      <c r="NOV73" s="371"/>
      <c r="NOW73" s="371"/>
      <c r="NOX73" s="371"/>
      <c r="NOY73" s="371"/>
      <c r="NOZ73" s="371"/>
      <c r="NPA73" s="371"/>
      <c r="NPB73" s="371"/>
      <c r="NPC73" s="371"/>
      <c r="NPD73" s="371"/>
      <c r="NPE73" s="371"/>
      <c r="NPF73" s="371"/>
      <c r="NPG73" s="371"/>
      <c r="NPH73" s="371"/>
      <c r="NPI73" s="371"/>
      <c r="NPJ73" s="371"/>
      <c r="NPK73" s="371"/>
      <c r="NPL73" s="371"/>
      <c r="NPM73" s="371"/>
      <c r="NPN73" s="371"/>
      <c r="NPO73" s="371"/>
      <c r="NPP73" s="371"/>
      <c r="NPQ73" s="371"/>
      <c r="NPR73" s="371"/>
      <c r="NPS73" s="371"/>
      <c r="NPT73" s="371"/>
      <c r="NPU73" s="382"/>
      <c r="NPY73" s="371"/>
      <c r="NPZ73" s="371"/>
      <c r="NQA73" s="371"/>
      <c r="NQB73" s="371"/>
      <c r="NQC73" s="371"/>
      <c r="NQD73" s="371"/>
      <c r="NQE73" s="371"/>
      <c r="NQF73" s="371"/>
      <c r="NQG73" s="371"/>
      <c r="NQH73" s="371"/>
      <c r="NQI73" s="371"/>
      <c r="NQJ73" s="371"/>
      <c r="NQK73" s="371"/>
      <c r="NQL73" s="371"/>
      <c r="NQM73" s="371"/>
      <c r="NQN73" s="371"/>
      <c r="NQO73" s="371"/>
      <c r="NQP73" s="371"/>
      <c r="NQQ73" s="371"/>
      <c r="NQR73" s="371"/>
      <c r="NQS73" s="371"/>
      <c r="NQT73" s="371"/>
      <c r="NQU73" s="371"/>
      <c r="NQV73" s="371"/>
      <c r="NQW73" s="371"/>
      <c r="NQX73" s="371"/>
      <c r="NQY73" s="382"/>
      <c r="NRC73" s="371"/>
      <c r="NRD73" s="371"/>
      <c r="NRE73" s="371"/>
      <c r="NRF73" s="371"/>
      <c r="NRG73" s="371"/>
      <c r="NRH73" s="371"/>
      <c r="NRI73" s="371"/>
      <c r="NRJ73" s="371"/>
      <c r="NRK73" s="371"/>
      <c r="NRL73" s="371"/>
      <c r="NRM73" s="371"/>
      <c r="NRN73" s="371"/>
      <c r="NRO73" s="371"/>
      <c r="NRP73" s="371"/>
      <c r="NRQ73" s="371"/>
      <c r="NRR73" s="371"/>
      <c r="NRS73" s="371"/>
      <c r="NRT73" s="371"/>
      <c r="NRU73" s="371"/>
      <c r="NRV73" s="371"/>
      <c r="NRW73" s="371"/>
      <c r="NRX73" s="371"/>
      <c r="NRY73" s="371"/>
      <c r="NRZ73" s="371"/>
      <c r="NSA73" s="371"/>
      <c r="NSB73" s="371"/>
      <c r="NSC73" s="382"/>
      <c r="NSG73" s="371"/>
      <c r="NSH73" s="371"/>
      <c r="NSI73" s="371"/>
      <c r="NSJ73" s="371"/>
      <c r="NSK73" s="371"/>
      <c r="NSL73" s="371"/>
      <c r="NSM73" s="371"/>
      <c r="NSN73" s="371"/>
      <c r="NSO73" s="371"/>
      <c r="NSP73" s="371"/>
      <c r="NSQ73" s="371"/>
      <c r="NSR73" s="371"/>
      <c r="NSS73" s="371"/>
      <c r="NST73" s="371"/>
      <c r="NSU73" s="371"/>
      <c r="NSV73" s="371"/>
      <c r="NSW73" s="371"/>
      <c r="NSX73" s="371"/>
      <c r="NSY73" s="371"/>
      <c r="NSZ73" s="371"/>
      <c r="NTA73" s="371"/>
      <c r="NTB73" s="371"/>
      <c r="NTC73" s="371"/>
      <c r="NTD73" s="371"/>
      <c r="NTE73" s="371"/>
      <c r="NTF73" s="371"/>
      <c r="NTG73" s="382"/>
      <c r="NTK73" s="371"/>
      <c r="NTL73" s="371"/>
      <c r="NTM73" s="371"/>
      <c r="NTN73" s="371"/>
      <c r="NTO73" s="371"/>
      <c r="NTP73" s="371"/>
      <c r="NTQ73" s="371"/>
      <c r="NTR73" s="371"/>
      <c r="NTS73" s="371"/>
      <c r="NTT73" s="371"/>
      <c r="NTU73" s="371"/>
      <c r="NTV73" s="371"/>
      <c r="NTW73" s="371"/>
      <c r="NTX73" s="371"/>
      <c r="NTY73" s="371"/>
      <c r="NTZ73" s="371"/>
      <c r="NUA73" s="371"/>
      <c r="NUB73" s="371"/>
      <c r="NUC73" s="371"/>
      <c r="NUD73" s="371"/>
      <c r="NUE73" s="371"/>
      <c r="NUF73" s="371"/>
      <c r="NUG73" s="371"/>
      <c r="NUH73" s="371"/>
      <c r="NUI73" s="371"/>
      <c r="NUJ73" s="371"/>
      <c r="NUK73" s="382"/>
      <c r="NUO73" s="371"/>
      <c r="NUP73" s="371"/>
      <c r="NUQ73" s="371"/>
      <c r="NUR73" s="371"/>
      <c r="NUS73" s="371"/>
      <c r="NUT73" s="371"/>
      <c r="NUU73" s="371"/>
      <c r="NUV73" s="371"/>
      <c r="NUW73" s="371"/>
      <c r="NUX73" s="371"/>
      <c r="NUY73" s="371"/>
      <c r="NUZ73" s="371"/>
      <c r="NVA73" s="371"/>
      <c r="NVB73" s="371"/>
      <c r="NVC73" s="371"/>
      <c r="NVD73" s="371"/>
      <c r="NVE73" s="371"/>
      <c r="NVF73" s="371"/>
      <c r="NVG73" s="371"/>
      <c r="NVH73" s="371"/>
      <c r="NVI73" s="371"/>
      <c r="NVJ73" s="371"/>
      <c r="NVK73" s="371"/>
      <c r="NVL73" s="371"/>
      <c r="NVM73" s="371"/>
      <c r="NVN73" s="371"/>
      <c r="NVO73" s="382"/>
      <c r="NVS73" s="371"/>
      <c r="NVT73" s="371"/>
      <c r="NVU73" s="371"/>
      <c r="NVV73" s="371"/>
      <c r="NVW73" s="371"/>
      <c r="NVX73" s="371"/>
      <c r="NVY73" s="371"/>
      <c r="NVZ73" s="371"/>
      <c r="NWA73" s="371"/>
      <c r="NWB73" s="371"/>
      <c r="NWC73" s="371"/>
      <c r="NWD73" s="371"/>
      <c r="NWE73" s="371"/>
      <c r="NWF73" s="371"/>
      <c r="NWG73" s="371"/>
      <c r="NWH73" s="371"/>
      <c r="NWI73" s="371"/>
      <c r="NWJ73" s="371"/>
      <c r="NWK73" s="371"/>
      <c r="NWL73" s="371"/>
      <c r="NWM73" s="371"/>
      <c r="NWN73" s="371"/>
      <c r="NWO73" s="371"/>
      <c r="NWP73" s="371"/>
      <c r="NWQ73" s="371"/>
      <c r="NWR73" s="371"/>
      <c r="NWS73" s="382"/>
      <c r="NWW73" s="371"/>
      <c r="NWX73" s="371"/>
      <c r="NWY73" s="371"/>
      <c r="NWZ73" s="371"/>
      <c r="NXA73" s="371"/>
      <c r="NXB73" s="371"/>
      <c r="NXC73" s="371"/>
      <c r="NXD73" s="371"/>
      <c r="NXE73" s="371"/>
      <c r="NXF73" s="371"/>
      <c r="NXG73" s="371"/>
      <c r="NXH73" s="371"/>
      <c r="NXI73" s="371"/>
      <c r="NXJ73" s="371"/>
      <c r="NXK73" s="371"/>
      <c r="NXL73" s="371"/>
      <c r="NXM73" s="371"/>
      <c r="NXN73" s="371"/>
      <c r="NXO73" s="371"/>
      <c r="NXP73" s="371"/>
      <c r="NXQ73" s="371"/>
      <c r="NXR73" s="371"/>
      <c r="NXS73" s="371"/>
      <c r="NXT73" s="371"/>
      <c r="NXU73" s="371"/>
      <c r="NXV73" s="371"/>
      <c r="NXW73" s="382"/>
      <c r="NYA73" s="371"/>
      <c r="NYB73" s="371"/>
      <c r="NYC73" s="371"/>
      <c r="NYD73" s="371"/>
      <c r="NYE73" s="371"/>
      <c r="NYF73" s="371"/>
      <c r="NYG73" s="371"/>
      <c r="NYH73" s="371"/>
      <c r="NYI73" s="371"/>
      <c r="NYJ73" s="371"/>
      <c r="NYK73" s="371"/>
      <c r="NYL73" s="371"/>
      <c r="NYM73" s="371"/>
      <c r="NYN73" s="371"/>
      <c r="NYO73" s="371"/>
      <c r="NYP73" s="371"/>
      <c r="NYQ73" s="371"/>
      <c r="NYR73" s="371"/>
      <c r="NYS73" s="371"/>
      <c r="NYT73" s="371"/>
      <c r="NYU73" s="371"/>
      <c r="NYV73" s="371"/>
      <c r="NYW73" s="371"/>
      <c r="NYX73" s="371"/>
      <c r="NYY73" s="371"/>
      <c r="NYZ73" s="371"/>
      <c r="NZA73" s="382"/>
      <c r="NZE73" s="371"/>
      <c r="NZF73" s="371"/>
      <c r="NZG73" s="371"/>
      <c r="NZH73" s="371"/>
      <c r="NZI73" s="371"/>
      <c r="NZJ73" s="371"/>
      <c r="NZK73" s="371"/>
      <c r="NZL73" s="371"/>
      <c r="NZM73" s="371"/>
      <c r="NZN73" s="371"/>
      <c r="NZO73" s="371"/>
      <c r="NZP73" s="371"/>
      <c r="NZQ73" s="371"/>
      <c r="NZR73" s="371"/>
      <c r="NZS73" s="371"/>
      <c r="NZT73" s="371"/>
      <c r="NZU73" s="371"/>
      <c r="NZV73" s="371"/>
      <c r="NZW73" s="371"/>
      <c r="NZX73" s="371"/>
      <c r="NZY73" s="371"/>
      <c r="NZZ73" s="371"/>
      <c r="OAA73" s="371"/>
      <c r="OAB73" s="371"/>
      <c r="OAC73" s="371"/>
      <c r="OAD73" s="371"/>
      <c r="OAE73" s="382"/>
      <c r="OAI73" s="371"/>
      <c r="OAJ73" s="371"/>
      <c r="OAK73" s="371"/>
      <c r="OAL73" s="371"/>
      <c r="OAM73" s="371"/>
      <c r="OAN73" s="371"/>
      <c r="OAO73" s="371"/>
      <c r="OAP73" s="371"/>
      <c r="OAQ73" s="371"/>
      <c r="OAR73" s="371"/>
      <c r="OAS73" s="371"/>
      <c r="OAT73" s="371"/>
      <c r="OAU73" s="371"/>
      <c r="OAV73" s="371"/>
      <c r="OAW73" s="371"/>
      <c r="OAX73" s="371"/>
      <c r="OAY73" s="371"/>
      <c r="OAZ73" s="371"/>
      <c r="OBA73" s="371"/>
      <c r="OBB73" s="371"/>
      <c r="OBC73" s="371"/>
      <c r="OBD73" s="371"/>
      <c r="OBE73" s="371"/>
      <c r="OBF73" s="371"/>
      <c r="OBG73" s="371"/>
      <c r="OBH73" s="371"/>
      <c r="OBI73" s="382"/>
      <c r="OBM73" s="371"/>
      <c r="OBN73" s="371"/>
      <c r="OBO73" s="371"/>
      <c r="OBP73" s="371"/>
      <c r="OBQ73" s="371"/>
      <c r="OBR73" s="371"/>
      <c r="OBS73" s="371"/>
      <c r="OBT73" s="371"/>
      <c r="OBU73" s="371"/>
      <c r="OBV73" s="371"/>
      <c r="OBW73" s="371"/>
      <c r="OBX73" s="371"/>
      <c r="OBY73" s="371"/>
      <c r="OBZ73" s="371"/>
      <c r="OCA73" s="371"/>
      <c r="OCB73" s="371"/>
      <c r="OCC73" s="371"/>
      <c r="OCD73" s="371"/>
      <c r="OCE73" s="371"/>
      <c r="OCF73" s="371"/>
      <c r="OCG73" s="371"/>
      <c r="OCH73" s="371"/>
      <c r="OCI73" s="371"/>
      <c r="OCJ73" s="371"/>
      <c r="OCK73" s="371"/>
      <c r="OCL73" s="371"/>
      <c r="OCM73" s="382"/>
      <c r="OCQ73" s="371"/>
      <c r="OCR73" s="371"/>
      <c r="OCS73" s="371"/>
      <c r="OCT73" s="371"/>
      <c r="OCU73" s="371"/>
      <c r="OCV73" s="371"/>
      <c r="OCW73" s="371"/>
      <c r="OCX73" s="371"/>
      <c r="OCY73" s="371"/>
      <c r="OCZ73" s="371"/>
      <c r="ODA73" s="371"/>
      <c r="ODB73" s="371"/>
      <c r="ODC73" s="371"/>
      <c r="ODD73" s="371"/>
      <c r="ODE73" s="371"/>
      <c r="ODF73" s="371"/>
      <c r="ODG73" s="371"/>
      <c r="ODH73" s="371"/>
      <c r="ODI73" s="371"/>
      <c r="ODJ73" s="371"/>
      <c r="ODK73" s="371"/>
      <c r="ODL73" s="371"/>
      <c r="ODM73" s="371"/>
      <c r="ODN73" s="371"/>
      <c r="ODO73" s="371"/>
      <c r="ODP73" s="371"/>
      <c r="ODQ73" s="382"/>
      <c r="ODU73" s="371"/>
      <c r="ODV73" s="371"/>
      <c r="ODW73" s="371"/>
      <c r="ODX73" s="371"/>
      <c r="ODY73" s="371"/>
      <c r="ODZ73" s="371"/>
      <c r="OEA73" s="371"/>
      <c r="OEB73" s="371"/>
      <c r="OEC73" s="371"/>
      <c r="OED73" s="371"/>
      <c r="OEE73" s="371"/>
      <c r="OEF73" s="371"/>
      <c r="OEG73" s="371"/>
      <c r="OEH73" s="371"/>
      <c r="OEI73" s="371"/>
      <c r="OEJ73" s="371"/>
      <c r="OEK73" s="371"/>
      <c r="OEL73" s="371"/>
      <c r="OEM73" s="371"/>
      <c r="OEN73" s="371"/>
      <c r="OEO73" s="371"/>
      <c r="OEP73" s="371"/>
      <c r="OEQ73" s="371"/>
      <c r="OER73" s="371"/>
      <c r="OES73" s="371"/>
      <c r="OET73" s="371"/>
      <c r="OEU73" s="382"/>
      <c r="OEY73" s="371"/>
      <c r="OEZ73" s="371"/>
      <c r="OFA73" s="371"/>
      <c r="OFB73" s="371"/>
      <c r="OFC73" s="371"/>
      <c r="OFD73" s="371"/>
      <c r="OFE73" s="371"/>
      <c r="OFF73" s="371"/>
      <c r="OFG73" s="371"/>
      <c r="OFH73" s="371"/>
      <c r="OFI73" s="371"/>
      <c r="OFJ73" s="371"/>
      <c r="OFK73" s="371"/>
      <c r="OFL73" s="371"/>
      <c r="OFM73" s="371"/>
      <c r="OFN73" s="371"/>
      <c r="OFO73" s="371"/>
      <c r="OFP73" s="371"/>
      <c r="OFQ73" s="371"/>
      <c r="OFR73" s="371"/>
      <c r="OFS73" s="371"/>
      <c r="OFT73" s="371"/>
      <c r="OFU73" s="371"/>
      <c r="OFV73" s="371"/>
      <c r="OFW73" s="371"/>
      <c r="OFX73" s="371"/>
      <c r="OFY73" s="382"/>
      <c r="OGC73" s="371"/>
      <c r="OGD73" s="371"/>
      <c r="OGE73" s="371"/>
      <c r="OGF73" s="371"/>
      <c r="OGG73" s="371"/>
      <c r="OGH73" s="371"/>
      <c r="OGI73" s="371"/>
      <c r="OGJ73" s="371"/>
      <c r="OGK73" s="371"/>
      <c r="OGL73" s="371"/>
      <c r="OGM73" s="371"/>
      <c r="OGN73" s="371"/>
      <c r="OGO73" s="371"/>
      <c r="OGP73" s="371"/>
      <c r="OGQ73" s="371"/>
      <c r="OGR73" s="371"/>
      <c r="OGS73" s="371"/>
      <c r="OGT73" s="371"/>
      <c r="OGU73" s="371"/>
      <c r="OGV73" s="371"/>
      <c r="OGW73" s="371"/>
      <c r="OGX73" s="371"/>
      <c r="OGY73" s="371"/>
      <c r="OGZ73" s="371"/>
      <c r="OHA73" s="371"/>
      <c r="OHB73" s="371"/>
      <c r="OHC73" s="382"/>
      <c r="OHG73" s="371"/>
      <c r="OHH73" s="371"/>
      <c r="OHI73" s="371"/>
      <c r="OHJ73" s="371"/>
      <c r="OHK73" s="371"/>
      <c r="OHL73" s="371"/>
      <c r="OHM73" s="371"/>
      <c r="OHN73" s="371"/>
      <c r="OHO73" s="371"/>
      <c r="OHP73" s="371"/>
      <c r="OHQ73" s="371"/>
      <c r="OHR73" s="371"/>
      <c r="OHS73" s="371"/>
      <c r="OHT73" s="371"/>
      <c r="OHU73" s="371"/>
      <c r="OHV73" s="371"/>
      <c r="OHW73" s="371"/>
      <c r="OHX73" s="371"/>
      <c r="OHY73" s="371"/>
      <c r="OHZ73" s="371"/>
      <c r="OIA73" s="371"/>
      <c r="OIB73" s="371"/>
      <c r="OIC73" s="371"/>
      <c r="OID73" s="371"/>
      <c r="OIE73" s="371"/>
      <c r="OIF73" s="371"/>
      <c r="OIG73" s="382"/>
      <c r="OIK73" s="371"/>
      <c r="OIL73" s="371"/>
      <c r="OIM73" s="371"/>
      <c r="OIN73" s="371"/>
      <c r="OIO73" s="371"/>
      <c r="OIP73" s="371"/>
      <c r="OIQ73" s="371"/>
      <c r="OIR73" s="371"/>
      <c r="OIS73" s="371"/>
      <c r="OIT73" s="371"/>
      <c r="OIU73" s="371"/>
      <c r="OIV73" s="371"/>
      <c r="OIW73" s="371"/>
      <c r="OIX73" s="371"/>
      <c r="OIY73" s="371"/>
      <c r="OIZ73" s="371"/>
      <c r="OJA73" s="371"/>
      <c r="OJB73" s="371"/>
      <c r="OJC73" s="371"/>
      <c r="OJD73" s="371"/>
      <c r="OJE73" s="371"/>
      <c r="OJF73" s="371"/>
      <c r="OJG73" s="371"/>
      <c r="OJH73" s="371"/>
      <c r="OJI73" s="371"/>
      <c r="OJJ73" s="371"/>
      <c r="OJK73" s="382"/>
      <c r="OJO73" s="371"/>
      <c r="OJP73" s="371"/>
      <c r="OJQ73" s="371"/>
      <c r="OJR73" s="371"/>
      <c r="OJS73" s="371"/>
      <c r="OJT73" s="371"/>
      <c r="OJU73" s="371"/>
      <c r="OJV73" s="371"/>
      <c r="OJW73" s="371"/>
      <c r="OJX73" s="371"/>
      <c r="OJY73" s="371"/>
      <c r="OJZ73" s="371"/>
      <c r="OKA73" s="371"/>
      <c r="OKB73" s="371"/>
      <c r="OKC73" s="371"/>
      <c r="OKD73" s="371"/>
      <c r="OKE73" s="371"/>
      <c r="OKF73" s="371"/>
      <c r="OKG73" s="371"/>
      <c r="OKH73" s="371"/>
      <c r="OKI73" s="371"/>
      <c r="OKJ73" s="371"/>
      <c r="OKK73" s="371"/>
      <c r="OKL73" s="371"/>
      <c r="OKM73" s="371"/>
      <c r="OKN73" s="371"/>
      <c r="OKO73" s="382"/>
      <c r="OKS73" s="371"/>
      <c r="OKT73" s="371"/>
      <c r="OKU73" s="371"/>
      <c r="OKV73" s="371"/>
      <c r="OKW73" s="371"/>
      <c r="OKX73" s="371"/>
      <c r="OKY73" s="371"/>
      <c r="OKZ73" s="371"/>
      <c r="OLA73" s="371"/>
      <c r="OLB73" s="371"/>
      <c r="OLC73" s="371"/>
      <c r="OLD73" s="371"/>
      <c r="OLE73" s="371"/>
      <c r="OLF73" s="371"/>
      <c r="OLG73" s="371"/>
      <c r="OLH73" s="371"/>
      <c r="OLI73" s="371"/>
      <c r="OLJ73" s="371"/>
      <c r="OLK73" s="371"/>
      <c r="OLL73" s="371"/>
      <c r="OLM73" s="371"/>
      <c r="OLN73" s="371"/>
      <c r="OLO73" s="371"/>
      <c r="OLP73" s="371"/>
      <c r="OLQ73" s="371"/>
      <c r="OLR73" s="371"/>
      <c r="OLS73" s="382"/>
      <c r="OLW73" s="371"/>
      <c r="OLX73" s="371"/>
      <c r="OLY73" s="371"/>
      <c r="OLZ73" s="371"/>
      <c r="OMA73" s="371"/>
      <c r="OMB73" s="371"/>
      <c r="OMC73" s="371"/>
      <c r="OMD73" s="371"/>
      <c r="OME73" s="371"/>
      <c r="OMF73" s="371"/>
      <c r="OMG73" s="371"/>
      <c r="OMH73" s="371"/>
      <c r="OMI73" s="371"/>
      <c r="OMJ73" s="371"/>
      <c r="OMK73" s="371"/>
      <c r="OML73" s="371"/>
      <c r="OMM73" s="371"/>
      <c r="OMN73" s="371"/>
      <c r="OMO73" s="371"/>
      <c r="OMP73" s="371"/>
      <c r="OMQ73" s="371"/>
      <c r="OMR73" s="371"/>
      <c r="OMS73" s="371"/>
      <c r="OMT73" s="371"/>
      <c r="OMU73" s="371"/>
      <c r="OMV73" s="371"/>
      <c r="OMW73" s="382"/>
      <c r="ONA73" s="371"/>
      <c r="ONB73" s="371"/>
      <c r="ONC73" s="371"/>
      <c r="OND73" s="371"/>
      <c r="ONE73" s="371"/>
      <c r="ONF73" s="371"/>
      <c r="ONG73" s="371"/>
      <c r="ONH73" s="371"/>
      <c r="ONI73" s="371"/>
      <c r="ONJ73" s="371"/>
      <c r="ONK73" s="371"/>
      <c r="ONL73" s="371"/>
      <c r="ONM73" s="371"/>
      <c r="ONN73" s="371"/>
      <c r="ONO73" s="371"/>
      <c r="ONP73" s="371"/>
      <c r="ONQ73" s="371"/>
      <c r="ONR73" s="371"/>
      <c r="ONS73" s="371"/>
      <c r="ONT73" s="371"/>
      <c r="ONU73" s="371"/>
      <c r="ONV73" s="371"/>
      <c r="ONW73" s="371"/>
      <c r="ONX73" s="371"/>
      <c r="ONY73" s="371"/>
      <c r="ONZ73" s="371"/>
      <c r="OOA73" s="382"/>
      <c r="OOE73" s="371"/>
      <c r="OOF73" s="371"/>
      <c r="OOG73" s="371"/>
      <c r="OOH73" s="371"/>
      <c r="OOI73" s="371"/>
      <c r="OOJ73" s="371"/>
      <c r="OOK73" s="371"/>
      <c r="OOL73" s="371"/>
      <c r="OOM73" s="371"/>
      <c r="OON73" s="371"/>
      <c r="OOO73" s="371"/>
      <c r="OOP73" s="371"/>
      <c r="OOQ73" s="371"/>
      <c r="OOR73" s="371"/>
      <c r="OOS73" s="371"/>
      <c r="OOT73" s="371"/>
      <c r="OOU73" s="371"/>
      <c r="OOV73" s="371"/>
      <c r="OOW73" s="371"/>
      <c r="OOX73" s="371"/>
      <c r="OOY73" s="371"/>
      <c r="OOZ73" s="371"/>
      <c r="OPA73" s="371"/>
      <c r="OPB73" s="371"/>
      <c r="OPC73" s="371"/>
      <c r="OPD73" s="371"/>
      <c r="OPE73" s="382"/>
      <c r="OPI73" s="371"/>
      <c r="OPJ73" s="371"/>
      <c r="OPK73" s="371"/>
      <c r="OPL73" s="371"/>
      <c r="OPM73" s="371"/>
      <c r="OPN73" s="371"/>
      <c r="OPO73" s="371"/>
      <c r="OPP73" s="371"/>
      <c r="OPQ73" s="371"/>
      <c r="OPR73" s="371"/>
      <c r="OPS73" s="371"/>
      <c r="OPT73" s="371"/>
      <c r="OPU73" s="371"/>
      <c r="OPV73" s="371"/>
      <c r="OPW73" s="371"/>
      <c r="OPX73" s="371"/>
      <c r="OPY73" s="371"/>
      <c r="OPZ73" s="371"/>
      <c r="OQA73" s="371"/>
      <c r="OQB73" s="371"/>
      <c r="OQC73" s="371"/>
      <c r="OQD73" s="371"/>
      <c r="OQE73" s="371"/>
      <c r="OQF73" s="371"/>
      <c r="OQG73" s="371"/>
      <c r="OQH73" s="371"/>
      <c r="OQI73" s="382"/>
      <c r="OQM73" s="371"/>
      <c r="OQN73" s="371"/>
      <c r="OQO73" s="371"/>
      <c r="OQP73" s="371"/>
      <c r="OQQ73" s="371"/>
      <c r="OQR73" s="371"/>
      <c r="OQS73" s="371"/>
      <c r="OQT73" s="371"/>
      <c r="OQU73" s="371"/>
      <c r="OQV73" s="371"/>
      <c r="OQW73" s="371"/>
      <c r="OQX73" s="371"/>
      <c r="OQY73" s="371"/>
      <c r="OQZ73" s="371"/>
      <c r="ORA73" s="371"/>
      <c r="ORB73" s="371"/>
      <c r="ORC73" s="371"/>
      <c r="ORD73" s="371"/>
      <c r="ORE73" s="371"/>
      <c r="ORF73" s="371"/>
      <c r="ORG73" s="371"/>
      <c r="ORH73" s="371"/>
      <c r="ORI73" s="371"/>
      <c r="ORJ73" s="371"/>
      <c r="ORK73" s="371"/>
      <c r="ORL73" s="371"/>
      <c r="ORM73" s="382"/>
      <c r="ORQ73" s="371"/>
      <c r="ORR73" s="371"/>
      <c r="ORS73" s="371"/>
      <c r="ORT73" s="371"/>
      <c r="ORU73" s="371"/>
      <c r="ORV73" s="371"/>
      <c r="ORW73" s="371"/>
      <c r="ORX73" s="371"/>
      <c r="ORY73" s="371"/>
      <c r="ORZ73" s="371"/>
      <c r="OSA73" s="371"/>
      <c r="OSB73" s="371"/>
      <c r="OSC73" s="371"/>
      <c r="OSD73" s="371"/>
      <c r="OSE73" s="371"/>
      <c r="OSF73" s="371"/>
      <c r="OSG73" s="371"/>
      <c r="OSH73" s="371"/>
      <c r="OSI73" s="371"/>
      <c r="OSJ73" s="371"/>
      <c r="OSK73" s="371"/>
      <c r="OSL73" s="371"/>
      <c r="OSM73" s="371"/>
      <c r="OSN73" s="371"/>
      <c r="OSO73" s="371"/>
      <c r="OSP73" s="371"/>
      <c r="OSQ73" s="382"/>
      <c r="OSU73" s="371"/>
      <c r="OSV73" s="371"/>
      <c r="OSW73" s="371"/>
      <c r="OSX73" s="371"/>
      <c r="OSY73" s="371"/>
      <c r="OSZ73" s="371"/>
      <c r="OTA73" s="371"/>
      <c r="OTB73" s="371"/>
      <c r="OTC73" s="371"/>
      <c r="OTD73" s="371"/>
      <c r="OTE73" s="371"/>
      <c r="OTF73" s="371"/>
      <c r="OTG73" s="371"/>
      <c r="OTH73" s="371"/>
      <c r="OTI73" s="371"/>
      <c r="OTJ73" s="371"/>
      <c r="OTK73" s="371"/>
      <c r="OTL73" s="371"/>
      <c r="OTM73" s="371"/>
      <c r="OTN73" s="371"/>
      <c r="OTO73" s="371"/>
      <c r="OTP73" s="371"/>
      <c r="OTQ73" s="371"/>
      <c r="OTR73" s="371"/>
      <c r="OTS73" s="371"/>
      <c r="OTT73" s="371"/>
      <c r="OTU73" s="382"/>
      <c r="OTY73" s="371"/>
      <c r="OTZ73" s="371"/>
      <c r="OUA73" s="371"/>
      <c r="OUB73" s="371"/>
      <c r="OUC73" s="371"/>
      <c r="OUD73" s="371"/>
      <c r="OUE73" s="371"/>
      <c r="OUF73" s="371"/>
      <c r="OUG73" s="371"/>
      <c r="OUH73" s="371"/>
      <c r="OUI73" s="371"/>
      <c r="OUJ73" s="371"/>
      <c r="OUK73" s="371"/>
      <c r="OUL73" s="371"/>
      <c r="OUM73" s="371"/>
      <c r="OUN73" s="371"/>
      <c r="OUO73" s="371"/>
      <c r="OUP73" s="371"/>
      <c r="OUQ73" s="371"/>
      <c r="OUR73" s="371"/>
      <c r="OUS73" s="371"/>
      <c r="OUT73" s="371"/>
      <c r="OUU73" s="371"/>
      <c r="OUV73" s="371"/>
      <c r="OUW73" s="371"/>
      <c r="OUX73" s="371"/>
      <c r="OUY73" s="382"/>
      <c r="OVC73" s="371"/>
      <c r="OVD73" s="371"/>
      <c r="OVE73" s="371"/>
      <c r="OVF73" s="371"/>
      <c r="OVG73" s="371"/>
      <c r="OVH73" s="371"/>
      <c r="OVI73" s="371"/>
      <c r="OVJ73" s="371"/>
      <c r="OVK73" s="371"/>
      <c r="OVL73" s="371"/>
      <c r="OVM73" s="371"/>
      <c r="OVN73" s="371"/>
      <c r="OVO73" s="371"/>
      <c r="OVP73" s="371"/>
      <c r="OVQ73" s="371"/>
      <c r="OVR73" s="371"/>
      <c r="OVS73" s="371"/>
      <c r="OVT73" s="371"/>
      <c r="OVU73" s="371"/>
      <c r="OVV73" s="371"/>
      <c r="OVW73" s="371"/>
      <c r="OVX73" s="371"/>
      <c r="OVY73" s="371"/>
      <c r="OVZ73" s="371"/>
      <c r="OWA73" s="371"/>
      <c r="OWB73" s="371"/>
      <c r="OWC73" s="382"/>
      <c r="OWG73" s="371"/>
      <c r="OWH73" s="371"/>
      <c r="OWI73" s="371"/>
      <c r="OWJ73" s="371"/>
      <c r="OWK73" s="371"/>
      <c r="OWL73" s="371"/>
      <c r="OWM73" s="371"/>
      <c r="OWN73" s="371"/>
      <c r="OWO73" s="371"/>
      <c r="OWP73" s="371"/>
      <c r="OWQ73" s="371"/>
      <c r="OWR73" s="371"/>
      <c r="OWS73" s="371"/>
      <c r="OWT73" s="371"/>
      <c r="OWU73" s="371"/>
      <c r="OWV73" s="371"/>
      <c r="OWW73" s="371"/>
      <c r="OWX73" s="371"/>
      <c r="OWY73" s="371"/>
      <c r="OWZ73" s="371"/>
      <c r="OXA73" s="371"/>
      <c r="OXB73" s="371"/>
      <c r="OXC73" s="371"/>
      <c r="OXD73" s="371"/>
      <c r="OXE73" s="371"/>
      <c r="OXF73" s="371"/>
      <c r="OXG73" s="382"/>
      <c r="OXK73" s="371"/>
      <c r="OXL73" s="371"/>
      <c r="OXM73" s="371"/>
      <c r="OXN73" s="371"/>
      <c r="OXO73" s="371"/>
      <c r="OXP73" s="371"/>
      <c r="OXQ73" s="371"/>
      <c r="OXR73" s="371"/>
      <c r="OXS73" s="371"/>
      <c r="OXT73" s="371"/>
      <c r="OXU73" s="371"/>
      <c r="OXV73" s="371"/>
      <c r="OXW73" s="371"/>
      <c r="OXX73" s="371"/>
      <c r="OXY73" s="371"/>
      <c r="OXZ73" s="371"/>
      <c r="OYA73" s="371"/>
      <c r="OYB73" s="371"/>
      <c r="OYC73" s="371"/>
      <c r="OYD73" s="371"/>
      <c r="OYE73" s="371"/>
      <c r="OYF73" s="371"/>
      <c r="OYG73" s="371"/>
      <c r="OYH73" s="371"/>
      <c r="OYI73" s="371"/>
      <c r="OYJ73" s="371"/>
      <c r="OYK73" s="382"/>
      <c r="OYO73" s="371"/>
      <c r="OYP73" s="371"/>
      <c r="OYQ73" s="371"/>
      <c r="OYR73" s="371"/>
      <c r="OYS73" s="371"/>
      <c r="OYT73" s="371"/>
      <c r="OYU73" s="371"/>
      <c r="OYV73" s="371"/>
      <c r="OYW73" s="371"/>
      <c r="OYX73" s="371"/>
      <c r="OYY73" s="371"/>
      <c r="OYZ73" s="371"/>
      <c r="OZA73" s="371"/>
      <c r="OZB73" s="371"/>
      <c r="OZC73" s="371"/>
      <c r="OZD73" s="371"/>
      <c r="OZE73" s="371"/>
      <c r="OZF73" s="371"/>
      <c r="OZG73" s="371"/>
      <c r="OZH73" s="371"/>
      <c r="OZI73" s="371"/>
      <c r="OZJ73" s="371"/>
      <c r="OZK73" s="371"/>
      <c r="OZL73" s="371"/>
      <c r="OZM73" s="371"/>
      <c r="OZN73" s="371"/>
      <c r="OZO73" s="382"/>
      <c r="OZS73" s="371"/>
      <c r="OZT73" s="371"/>
      <c r="OZU73" s="371"/>
      <c r="OZV73" s="371"/>
      <c r="OZW73" s="371"/>
      <c r="OZX73" s="371"/>
      <c r="OZY73" s="371"/>
      <c r="OZZ73" s="371"/>
      <c r="PAA73" s="371"/>
      <c r="PAB73" s="371"/>
      <c r="PAC73" s="371"/>
      <c r="PAD73" s="371"/>
      <c r="PAE73" s="371"/>
      <c r="PAF73" s="371"/>
      <c r="PAG73" s="371"/>
      <c r="PAH73" s="371"/>
      <c r="PAI73" s="371"/>
      <c r="PAJ73" s="371"/>
      <c r="PAK73" s="371"/>
      <c r="PAL73" s="371"/>
      <c r="PAM73" s="371"/>
      <c r="PAN73" s="371"/>
      <c r="PAO73" s="371"/>
      <c r="PAP73" s="371"/>
      <c r="PAQ73" s="371"/>
      <c r="PAR73" s="371"/>
      <c r="PAS73" s="382"/>
      <c r="PAW73" s="371"/>
      <c r="PAX73" s="371"/>
      <c r="PAY73" s="371"/>
      <c r="PAZ73" s="371"/>
      <c r="PBA73" s="371"/>
      <c r="PBB73" s="371"/>
      <c r="PBC73" s="371"/>
      <c r="PBD73" s="371"/>
      <c r="PBE73" s="371"/>
      <c r="PBF73" s="371"/>
      <c r="PBG73" s="371"/>
      <c r="PBH73" s="371"/>
      <c r="PBI73" s="371"/>
      <c r="PBJ73" s="371"/>
      <c r="PBK73" s="371"/>
      <c r="PBL73" s="371"/>
      <c r="PBM73" s="371"/>
      <c r="PBN73" s="371"/>
      <c r="PBO73" s="371"/>
      <c r="PBP73" s="371"/>
      <c r="PBQ73" s="371"/>
      <c r="PBR73" s="371"/>
      <c r="PBS73" s="371"/>
      <c r="PBT73" s="371"/>
      <c r="PBU73" s="371"/>
      <c r="PBV73" s="371"/>
      <c r="PBW73" s="382"/>
      <c r="PCA73" s="371"/>
      <c r="PCB73" s="371"/>
      <c r="PCC73" s="371"/>
      <c r="PCD73" s="371"/>
      <c r="PCE73" s="371"/>
      <c r="PCF73" s="371"/>
      <c r="PCG73" s="371"/>
      <c r="PCH73" s="371"/>
      <c r="PCI73" s="371"/>
      <c r="PCJ73" s="371"/>
      <c r="PCK73" s="371"/>
      <c r="PCL73" s="371"/>
      <c r="PCM73" s="371"/>
      <c r="PCN73" s="371"/>
      <c r="PCO73" s="371"/>
      <c r="PCP73" s="371"/>
      <c r="PCQ73" s="371"/>
      <c r="PCR73" s="371"/>
      <c r="PCS73" s="371"/>
      <c r="PCT73" s="371"/>
      <c r="PCU73" s="371"/>
      <c r="PCV73" s="371"/>
      <c r="PCW73" s="371"/>
      <c r="PCX73" s="371"/>
      <c r="PCY73" s="371"/>
      <c r="PCZ73" s="371"/>
      <c r="PDA73" s="382"/>
      <c r="PDE73" s="371"/>
      <c r="PDF73" s="371"/>
      <c r="PDG73" s="371"/>
      <c r="PDH73" s="371"/>
      <c r="PDI73" s="371"/>
      <c r="PDJ73" s="371"/>
      <c r="PDK73" s="371"/>
      <c r="PDL73" s="371"/>
      <c r="PDM73" s="371"/>
      <c r="PDN73" s="371"/>
      <c r="PDO73" s="371"/>
      <c r="PDP73" s="371"/>
      <c r="PDQ73" s="371"/>
      <c r="PDR73" s="371"/>
      <c r="PDS73" s="371"/>
      <c r="PDT73" s="371"/>
      <c r="PDU73" s="371"/>
      <c r="PDV73" s="371"/>
      <c r="PDW73" s="371"/>
      <c r="PDX73" s="371"/>
      <c r="PDY73" s="371"/>
      <c r="PDZ73" s="371"/>
      <c r="PEA73" s="371"/>
      <c r="PEB73" s="371"/>
      <c r="PEC73" s="371"/>
      <c r="PED73" s="371"/>
      <c r="PEE73" s="382"/>
      <c r="PEI73" s="371"/>
      <c r="PEJ73" s="371"/>
      <c r="PEK73" s="371"/>
      <c r="PEL73" s="371"/>
      <c r="PEM73" s="371"/>
      <c r="PEN73" s="371"/>
      <c r="PEO73" s="371"/>
      <c r="PEP73" s="371"/>
      <c r="PEQ73" s="371"/>
      <c r="PER73" s="371"/>
      <c r="PES73" s="371"/>
      <c r="PET73" s="371"/>
      <c r="PEU73" s="371"/>
      <c r="PEV73" s="371"/>
      <c r="PEW73" s="371"/>
      <c r="PEX73" s="371"/>
      <c r="PEY73" s="371"/>
      <c r="PEZ73" s="371"/>
      <c r="PFA73" s="371"/>
      <c r="PFB73" s="371"/>
      <c r="PFC73" s="371"/>
      <c r="PFD73" s="371"/>
      <c r="PFE73" s="371"/>
      <c r="PFF73" s="371"/>
      <c r="PFG73" s="371"/>
      <c r="PFH73" s="371"/>
      <c r="PFI73" s="382"/>
      <c r="PFM73" s="371"/>
      <c r="PFN73" s="371"/>
      <c r="PFO73" s="371"/>
      <c r="PFP73" s="371"/>
      <c r="PFQ73" s="371"/>
      <c r="PFR73" s="371"/>
      <c r="PFS73" s="371"/>
      <c r="PFT73" s="371"/>
      <c r="PFU73" s="371"/>
      <c r="PFV73" s="371"/>
      <c r="PFW73" s="371"/>
      <c r="PFX73" s="371"/>
      <c r="PFY73" s="371"/>
      <c r="PFZ73" s="371"/>
      <c r="PGA73" s="371"/>
      <c r="PGB73" s="371"/>
      <c r="PGC73" s="371"/>
      <c r="PGD73" s="371"/>
      <c r="PGE73" s="371"/>
      <c r="PGF73" s="371"/>
      <c r="PGG73" s="371"/>
      <c r="PGH73" s="371"/>
      <c r="PGI73" s="371"/>
      <c r="PGJ73" s="371"/>
      <c r="PGK73" s="371"/>
      <c r="PGL73" s="371"/>
      <c r="PGM73" s="382"/>
      <c r="PGQ73" s="371"/>
      <c r="PGR73" s="371"/>
      <c r="PGS73" s="371"/>
      <c r="PGT73" s="371"/>
      <c r="PGU73" s="371"/>
      <c r="PGV73" s="371"/>
      <c r="PGW73" s="371"/>
      <c r="PGX73" s="371"/>
      <c r="PGY73" s="371"/>
      <c r="PGZ73" s="371"/>
      <c r="PHA73" s="371"/>
      <c r="PHB73" s="371"/>
      <c r="PHC73" s="371"/>
      <c r="PHD73" s="371"/>
      <c r="PHE73" s="371"/>
      <c r="PHF73" s="371"/>
      <c r="PHG73" s="371"/>
      <c r="PHH73" s="371"/>
      <c r="PHI73" s="371"/>
      <c r="PHJ73" s="371"/>
      <c r="PHK73" s="371"/>
      <c r="PHL73" s="371"/>
      <c r="PHM73" s="371"/>
      <c r="PHN73" s="371"/>
      <c r="PHO73" s="371"/>
      <c r="PHP73" s="371"/>
      <c r="PHQ73" s="382"/>
      <c r="PHU73" s="371"/>
      <c r="PHV73" s="371"/>
      <c r="PHW73" s="371"/>
      <c r="PHX73" s="371"/>
      <c r="PHY73" s="371"/>
      <c r="PHZ73" s="371"/>
      <c r="PIA73" s="371"/>
      <c r="PIB73" s="371"/>
      <c r="PIC73" s="371"/>
      <c r="PID73" s="371"/>
      <c r="PIE73" s="371"/>
      <c r="PIF73" s="371"/>
      <c r="PIG73" s="371"/>
      <c r="PIH73" s="371"/>
      <c r="PII73" s="371"/>
      <c r="PIJ73" s="371"/>
      <c r="PIK73" s="371"/>
      <c r="PIL73" s="371"/>
      <c r="PIM73" s="371"/>
      <c r="PIN73" s="371"/>
      <c r="PIO73" s="371"/>
      <c r="PIP73" s="371"/>
      <c r="PIQ73" s="371"/>
      <c r="PIR73" s="371"/>
      <c r="PIS73" s="371"/>
      <c r="PIT73" s="371"/>
      <c r="PIU73" s="382"/>
      <c r="PIY73" s="371"/>
      <c r="PIZ73" s="371"/>
      <c r="PJA73" s="371"/>
      <c r="PJB73" s="371"/>
      <c r="PJC73" s="371"/>
      <c r="PJD73" s="371"/>
      <c r="PJE73" s="371"/>
      <c r="PJF73" s="371"/>
      <c r="PJG73" s="371"/>
      <c r="PJH73" s="371"/>
      <c r="PJI73" s="371"/>
      <c r="PJJ73" s="371"/>
      <c r="PJK73" s="371"/>
      <c r="PJL73" s="371"/>
      <c r="PJM73" s="371"/>
      <c r="PJN73" s="371"/>
      <c r="PJO73" s="371"/>
      <c r="PJP73" s="371"/>
      <c r="PJQ73" s="371"/>
      <c r="PJR73" s="371"/>
      <c r="PJS73" s="371"/>
      <c r="PJT73" s="371"/>
      <c r="PJU73" s="371"/>
      <c r="PJV73" s="371"/>
      <c r="PJW73" s="371"/>
      <c r="PJX73" s="371"/>
      <c r="PJY73" s="382"/>
      <c r="PKC73" s="371"/>
      <c r="PKD73" s="371"/>
      <c r="PKE73" s="371"/>
      <c r="PKF73" s="371"/>
      <c r="PKG73" s="371"/>
      <c r="PKH73" s="371"/>
      <c r="PKI73" s="371"/>
      <c r="PKJ73" s="371"/>
      <c r="PKK73" s="371"/>
      <c r="PKL73" s="371"/>
      <c r="PKM73" s="371"/>
      <c r="PKN73" s="371"/>
      <c r="PKO73" s="371"/>
      <c r="PKP73" s="371"/>
      <c r="PKQ73" s="371"/>
      <c r="PKR73" s="371"/>
      <c r="PKS73" s="371"/>
      <c r="PKT73" s="371"/>
      <c r="PKU73" s="371"/>
      <c r="PKV73" s="371"/>
      <c r="PKW73" s="371"/>
      <c r="PKX73" s="371"/>
      <c r="PKY73" s="371"/>
      <c r="PKZ73" s="371"/>
      <c r="PLA73" s="371"/>
      <c r="PLB73" s="371"/>
      <c r="PLC73" s="382"/>
      <c r="PLG73" s="371"/>
      <c r="PLH73" s="371"/>
      <c r="PLI73" s="371"/>
      <c r="PLJ73" s="371"/>
      <c r="PLK73" s="371"/>
      <c r="PLL73" s="371"/>
      <c r="PLM73" s="371"/>
      <c r="PLN73" s="371"/>
      <c r="PLO73" s="371"/>
      <c r="PLP73" s="371"/>
      <c r="PLQ73" s="371"/>
      <c r="PLR73" s="371"/>
      <c r="PLS73" s="371"/>
      <c r="PLT73" s="371"/>
      <c r="PLU73" s="371"/>
      <c r="PLV73" s="371"/>
      <c r="PLW73" s="371"/>
      <c r="PLX73" s="371"/>
      <c r="PLY73" s="371"/>
      <c r="PLZ73" s="371"/>
      <c r="PMA73" s="371"/>
      <c r="PMB73" s="371"/>
      <c r="PMC73" s="371"/>
      <c r="PMD73" s="371"/>
      <c r="PME73" s="371"/>
      <c r="PMF73" s="371"/>
      <c r="PMG73" s="382"/>
      <c r="PMK73" s="371"/>
      <c r="PML73" s="371"/>
      <c r="PMM73" s="371"/>
      <c r="PMN73" s="371"/>
      <c r="PMO73" s="371"/>
      <c r="PMP73" s="371"/>
      <c r="PMQ73" s="371"/>
      <c r="PMR73" s="371"/>
      <c r="PMS73" s="371"/>
      <c r="PMT73" s="371"/>
      <c r="PMU73" s="371"/>
      <c r="PMV73" s="371"/>
      <c r="PMW73" s="371"/>
      <c r="PMX73" s="371"/>
      <c r="PMY73" s="371"/>
      <c r="PMZ73" s="371"/>
      <c r="PNA73" s="371"/>
      <c r="PNB73" s="371"/>
      <c r="PNC73" s="371"/>
      <c r="PND73" s="371"/>
      <c r="PNE73" s="371"/>
      <c r="PNF73" s="371"/>
      <c r="PNG73" s="371"/>
      <c r="PNH73" s="371"/>
      <c r="PNI73" s="371"/>
      <c r="PNJ73" s="371"/>
      <c r="PNK73" s="382"/>
      <c r="PNO73" s="371"/>
      <c r="PNP73" s="371"/>
      <c r="PNQ73" s="371"/>
      <c r="PNR73" s="371"/>
      <c r="PNS73" s="371"/>
      <c r="PNT73" s="371"/>
      <c r="PNU73" s="371"/>
      <c r="PNV73" s="371"/>
      <c r="PNW73" s="371"/>
      <c r="PNX73" s="371"/>
      <c r="PNY73" s="371"/>
      <c r="PNZ73" s="371"/>
      <c r="POA73" s="371"/>
      <c r="POB73" s="371"/>
      <c r="POC73" s="371"/>
      <c r="POD73" s="371"/>
      <c r="POE73" s="371"/>
      <c r="POF73" s="371"/>
      <c r="POG73" s="371"/>
      <c r="POH73" s="371"/>
      <c r="POI73" s="371"/>
      <c r="POJ73" s="371"/>
      <c r="POK73" s="371"/>
      <c r="POL73" s="371"/>
      <c r="POM73" s="371"/>
      <c r="PON73" s="371"/>
      <c r="POO73" s="382"/>
      <c r="POS73" s="371"/>
      <c r="POT73" s="371"/>
      <c r="POU73" s="371"/>
      <c r="POV73" s="371"/>
      <c r="POW73" s="371"/>
      <c r="POX73" s="371"/>
      <c r="POY73" s="371"/>
      <c r="POZ73" s="371"/>
      <c r="PPA73" s="371"/>
      <c r="PPB73" s="371"/>
      <c r="PPC73" s="371"/>
      <c r="PPD73" s="371"/>
      <c r="PPE73" s="371"/>
      <c r="PPF73" s="371"/>
      <c r="PPG73" s="371"/>
      <c r="PPH73" s="371"/>
      <c r="PPI73" s="371"/>
      <c r="PPJ73" s="371"/>
      <c r="PPK73" s="371"/>
      <c r="PPL73" s="371"/>
      <c r="PPM73" s="371"/>
      <c r="PPN73" s="371"/>
      <c r="PPO73" s="371"/>
      <c r="PPP73" s="371"/>
      <c r="PPQ73" s="371"/>
      <c r="PPR73" s="371"/>
      <c r="PPS73" s="382"/>
      <c r="PPW73" s="371"/>
      <c r="PPX73" s="371"/>
      <c r="PPY73" s="371"/>
      <c r="PPZ73" s="371"/>
      <c r="PQA73" s="371"/>
      <c r="PQB73" s="371"/>
      <c r="PQC73" s="371"/>
      <c r="PQD73" s="371"/>
      <c r="PQE73" s="371"/>
      <c r="PQF73" s="371"/>
      <c r="PQG73" s="371"/>
      <c r="PQH73" s="371"/>
      <c r="PQI73" s="371"/>
      <c r="PQJ73" s="371"/>
      <c r="PQK73" s="371"/>
      <c r="PQL73" s="371"/>
      <c r="PQM73" s="371"/>
      <c r="PQN73" s="371"/>
      <c r="PQO73" s="371"/>
      <c r="PQP73" s="371"/>
      <c r="PQQ73" s="371"/>
      <c r="PQR73" s="371"/>
      <c r="PQS73" s="371"/>
      <c r="PQT73" s="371"/>
      <c r="PQU73" s="371"/>
      <c r="PQV73" s="371"/>
      <c r="PQW73" s="382"/>
      <c r="PRA73" s="371"/>
      <c r="PRB73" s="371"/>
      <c r="PRC73" s="371"/>
      <c r="PRD73" s="371"/>
      <c r="PRE73" s="371"/>
      <c r="PRF73" s="371"/>
      <c r="PRG73" s="371"/>
      <c r="PRH73" s="371"/>
      <c r="PRI73" s="371"/>
      <c r="PRJ73" s="371"/>
      <c r="PRK73" s="371"/>
      <c r="PRL73" s="371"/>
      <c r="PRM73" s="371"/>
      <c r="PRN73" s="371"/>
      <c r="PRO73" s="371"/>
      <c r="PRP73" s="371"/>
      <c r="PRQ73" s="371"/>
      <c r="PRR73" s="371"/>
      <c r="PRS73" s="371"/>
      <c r="PRT73" s="371"/>
      <c r="PRU73" s="371"/>
      <c r="PRV73" s="371"/>
      <c r="PRW73" s="371"/>
      <c r="PRX73" s="371"/>
      <c r="PRY73" s="371"/>
      <c r="PRZ73" s="371"/>
      <c r="PSA73" s="382"/>
      <c r="PSE73" s="371"/>
      <c r="PSF73" s="371"/>
      <c r="PSG73" s="371"/>
      <c r="PSH73" s="371"/>
      <c r="PSI73" s="371"/>
      <c r="PSJ73" s="371"/>
      <c r="PSK73" s="371"/>
      <c r="PSL73" s="371"/>
      <c r="PSM73" s="371"/>
      <c r="PSN73" s="371"/>
      <c r="PSO73" s="371"/>
      <c r="PSP73" s="371"/>
      <c r="PSQ73" s="371"/>
      <c r="PSR73" s="371"/>
      <c r="PSS73" s="371"/>
      <c r="PST73" s="371"/>
      <c r="PSU73" s="371"/>
      <c r="PSV73" s="371"/>
      <c r="PSW73" s="371"/>
      <c r="PSX73" s="371"/>
      <c r="PSY73" s="371"/>
      <c r="PSZ73" s="371"/>
      <c r="PTA73" s="371"/>
      <c r="PTB73" s="371"/>
      <c r="PTC73" s="371"/>
      <c r="PTD73" s="371"/>
      <c r="PTE73" s="382"/>
      <c r="PTI73" s="371"/>
      <c r="PTJ73" s="371"/>
      <c r="PTK73" s="371"/>
      <c r="PTL73" s="371"/>
      <c r="PTM73" s="371"/>
      <c r="PTN73" s="371"/>
      <c r="PTO73" s="371"/>
      <c r="PTP73" s="371"/>
      <c r="PTQ73" s="371"/>
      <c r="PTR73" s="371"/>
      <c r="PTS73" s="371"/>
      <c r="PTT73" s="371"/>
      <c r="PTU73" s="371"/>
      <c r="PTV73" s="371"/>
      <c r="PTW73" s="371"/>
      <c r="PTX73" s="371"/>
      <c r="PTY73" s="371"/>
      <c r="PTZ73" s="371"/>
      <c r="PUA73" s="371"/>
      <c r="PUB73" s="371"/>
      <c r="PUC73" s="371"/>
      <c r="PUD73" s="371"/>
      <c r="PUE73" s="371"/>
      <c r="PUF73" s="371"/>
      <c r="PUG73" s="371"/>
      <c r="PUH73" s="371"/>
      <c r="PUI73" s="382"/>
      <c r="PUM73" s="371"/>
      <c r="PUN73" s="371"/>
      <c r="PUO73" s="371"/>
      <c r="PUP73" s="371"/>
      <c r="PUQ73" s="371"/>
      <c r="PUR73" s="371"/>
      <c r="PUS73" s="371"/>
      <c r="PUT73" s="371"/>
      <c r="PUU73" s="371"/>
      <c r="PUV73" s="371"/>
      <c r="PUW73" s="371"/>
      <c r="PUX73" s="371"/>
      <c r="PUY73" s="371"/>
      <c r="PUZ73" s="371"/>
      <c r="PVA73" s="371"/>
      <c r="PVB73" s="371"/>
      <c r="PVC73" s="371"/>
      <c r="PVD73" s="371"/>
      <c r="PVE73" s="371"/>
      <c r="PVF73" s="371"/>
      <c r="PVG73" s="371"/>
      <c r="PVH73" s="371"/>
      <c r="PVI73" s="371"/>
      <c r="PVJ73" s="371"/>
      <c r="PVK73" s="371"/>
      <c r="PVL73" s="371"/>
      <c r="PVM73" s="382"/>
      <c r="PVQ73" s="371"/>
      <c r="PVR73" s="371"/>
      <c r="PVS73" s="371"/>
      <c r="PVT73" s="371"/>
      <c r="PVU73" s="371"/>
      <c r="PVV73" s="371"/>
      <c r="PVW73" s="371"/>
      <c r="PVX73" s="371"/>
      <c r="PVY73" s="371"/>
      <c r="PVZ73" s="371"/>
      <c r="PWA73" s="371"/>
      <c r="PWB73" s="371"/>
      <c r="PWC73" s="371"/>
      <c r="PWD73" s="371"/>
      <c r="PWE73" s="371"/>
      <c r="PWF73" s="371"/>
      <c r="PWG73" s="371"/>
      <c r="PWH73" s="371"/>
      <c r="PWI73" s="371"/>
      <c r="PWJ73" s="371"/>
      <c r="PWK73" s="371"/>
      <c r="PWL73" s="371"/>
      <c r="PWM73" s="371"/>
      <c r="PWN73" s="371"/>
      <c r="PWO73" s="371"/>
      <c r="PWP73" s="371"/>
      <c r="PWQ73" s="382"/>
      <c r="PWU73" s="371"/>
      <c r="PWV73" s="371"/>
      <c r="PWW73" s="371"/>
      <c r="PWX73" s="371"/>
      <c r="PWY73" s="371"/>
      <c r="PWZ73" s="371"/>
      <c r="PXA73" s="371"/>
      <c r="PXB73" s="371"/>
      <c r="PXC73" s="371"/>
      <c r="PXD73" s="371"/>
      <c r="PXE73" s="371"/>
      <c r="PXF73" s="371"/>
      <c r="PXG73" s="371"/>
      <c r="PXH73" s="371"/>
      <c r="PXI73" s="371"/>
      <c r="PXJ73" s="371"/>
      <c r="PXK73" s="371"/>
      <c r="PXL73" s="371"/>
      <c r="PXM73" s="371"/>
      <c r="PXN73" s="371"/>
      <c r="PXO73" s="371"/>
      <c r="PXP73" s="371"/>
      <c r="PXQ73" s="371"/>
      <c r="PXR73" s="371"/>
      <c r="PXS73" s="371"/>
      <c r="PXT73" s="371"/>
      <c r="PXU73" s="382"/>
      <c r="PXY73" s="371"/>
      <c r="PXZ73" s="371"/>
      <c r="PYA73" s="371"/>
      <c r="PYB73" s="371"/>
      <c r="PYC73" s="371"/>
      <c r="PYD73" s="371"/>
      <c r="PYE73" s="371"/>
      <c r="PYF73" s="371"/>
      <c r="PYG73" s="371"/>
      <c r="PYH73" s="371"/>
      <c r="PYI73" s="371"/>
      <c r="PYJ73" s="371"/>
      <c r="PYK73" s="371"/>
      <c r="PYL73" s="371"/>
      <c r="PYM73" s="371"/>
      <c r="PYN73" s="371"/>
      <c r="PYO73" s="371"/>
      <c r="PYP73" s="371"/>
      <c r="PYQ73" s="371"/>
      <c r="PYR73" s="371"/>
      <c r="PYS73" s="371"/>
      <c r="PYT73" s="371"/>
      <c r="PYU73" s="371"/>
      <c r="PYV73" s="371"/>
      <c r="PYW73" s="371"/>
      <c r="PYX73" s="371"/>
      <c r="PYY73" s="382"/>
      <c r="PZC73" s="371"/>
      <c r="PZD73" s="371"/>
      <c r="PZE73" s="371"/>
      <c r="PZF73" s="371"/>
      <c r="PZG73" s="371"/>
      <c r="PZH73" s="371"/>
      <c r="PZI73" s="371"/>
      <c r="PZJ73" s="371"/>
      <c r="PZK73" s="371"/>
      <c r="PZL73" s="371"/>
      <c r="PZM73" s="371"/>
      <c r="PZN73" s="371"/>
      <c r="PZO73" s="371"/>
      <c r="PZP73" s="371"/>
      <c r="PZQ73" s="371"/>
      <c r="PZR73" s="371"/>
      <c r="PZS73" s="371"/>
      <c r="PZT73" s="371"/>
      <c r="PZU73" s="371"/>
      <c r="PZV73" s="371"/>
      <c r="PZW73" s="371"/>
      <c r="PZX73" s="371"/>
      <c r="PZY73" s="371"/>
      <c r="PZZ73" s="371"/>
      <c r="QAA73" s="371"/>
      <c r="QAB73" s="371"/>
      <c r="QAC73" s="382"/>
      <c r="QAG73" s="371"/>
      <c r="QAH73" s="371"/>
      <c r="QAI73" s="371"/>
      <c r="QAJ73" s="371"/>
      <c r="QAK73" s="371"/>
      <c r="QAL73" s="371"/>
      <c r="QAM73" s="371"/>
      <c r="QAN73" s="371"/>
      <c r="QAO73" s="371"/>
      <c r="QAP73" s="371"/>
      <c r="QAQ73" s="371"/>
      <c r="QAR73" s="371"/>
      <c r="QAS73" s="371"/>
      <c r="QAT73" s="371"/>
      <c r="QAU73" s="371"/>
      <c r="QAV73" s="371"/>
      <c r="QAW73" s="371"/>
      <c r="QAX73" s="371"/>
      <c r="QAY73" s="371"/>
      <c r="QAZ73" s="371"/>
      <c r="QBA73" s="371"/>
      <c r="QBB73" s="371"/>
      <c r="QBC73" s="371"/>
      <c r="QBD73" s="371"/>
      <c r="QBE73" s="371"/>
      <c r="QBF73" s="371"/>
      <c r="QBG73" s="382"/>
      <c r="QBK73" s="371"/>
      <c r="QBL73" s="371"/>
      <c r="QBM73" s="371"/>
      <c r="QBN73" s="371"/>
      <c r="QBO73" s="371"/>
      <c r="QBP73" s="371"/>
      <c r="QBQ73" s="371"/>
      <c r="QBR73" s="371"/>
      <c r="QBS73" s="371"/>
      <c r="QBT73" s="371"/>
      <c r="QBU73" s="371"/>
      <c r="QBV73" s="371"/>
      <c r="QBW73" s="371"/>
      <c r="QBX73" s="371"/>
      <c r="QBY73" s="371"/>
      <c r="QBZ73" s="371"/>
      <c r="QCA73" s="371"/>
      <c r="QCB73" s="371"/>
      <c r="QCC73" s="371"/>
      <c r="QCD73" s="371"/>
      <c r="QCE73" s="371"/>
      <c r="QCF73" s="371"/>
      <c r="QCG73" s="371"/>
      <c r="QCH73" s="371"/>
      <c r="QCI73" s="371"/>
      <c r="QCJ73" s="371"/>
      <c r="QCK73" s="382"/>
      <c r="QCO73" s="371"/>
      <c r="QCP73" s="371"/>
      <c r="QCQ73" s="371"/>
      <c r="QCR73" s="371"/>
      <c r="QCS73" s="371"/>
      <c r="QCT73" s="371"/>
      <c r="QCU73" s="371"/>
      <c r="QCV73" s="371"/>
      <c r="QCW73" s="371"/>
      <c r="QCX73" s="371"/>
      <c r="QCY73" s="371"/>
      <c r="QCZ73" s="371"/>
      <c r="QDA73" s="371"/>
      <c r="QDB73" s="371"/>
      <c r="QDC73" s="371"/>
      <c r="QDD73" s="371"/>
      <c r="QDE73" s="371"/>
      <c r="QDF73" s="371"/>
      <c r="QDG73" s="371"/>
      <c r="QDH73" s="371"/>
      <c r="QDI73" s="371"/>
      <c r="QDJ73" s="371"/>
      <c r="QDK73" s="371"/>
      <c r="QDL73" s="371"/>
      <c r="QDM73" s="371"/>
      <c r="QDN73" s="371"/>
      <c r="QDO73" s="382"/>
      <c r="QDS73" s="371"/>
      <c r="QDT73" s="371"/>
      <c r="QDU73" s="371"/>
      <c r="QDV73" s="371"/>
      <c r="QDW73" s="371"/>
      <c r="QDX73" s="371"/>
      <c r="QDY73" s="371"/>
      <c r="QDZ73" s="371"/>
      <c r="QEA73" s="371"/>
      <c r="QEB73" s="371"/>
      <c r="QEC73" s="371"/>
      <c r="QED73" s="371"/>
      <c r="QEE73" s="371"/>
      <c r="QEF73" s="371"/>
      <c r="QEG73" s="371"/>
      <c r="QEH73" s="371"/>
      <c r="QEI73" s="371"/>
      <c r="QEJ73" s="371"/>
      <c r="QEK73" s="371"/>
      <c r="QEL73" s="371"/>
      <c r="QEM73" s="371"/>
      <c r="QEN73" s="371"/>
      <c r="QEO73" s="371"/>
      <c r="QEP73" s="371"/>
      <c r="QEQ73" s="371"/>
      <c r="QER73" s="371"/>
      <c r="QES73" s="382"/>
      <c r="QEW73" s="371"/>
      <c r="QEX73" s="371"/>
      <c r="QEY73" s="371"/>
      <c r="QEZ73" s="371"/>
      <c r="QFA73" s="371"/>
      <c r="QFB73" s="371"/>
      <c r="QFC73" s="371"/>
      <c r="QFD73" s="371"/>
      <c r="QFE73" s="371"/>
      <c r="QFF73" s="371"/>
      <c r="QFG73" s="371"/>
      <c r="QFH73" s="371"/>
      <c r="QFI73" s="371"/>
      <c r="QFJ73" s="371"/>
      <c r="QFK73" s="371"/>
      <c r="QFL73" s="371"/>
      <c r="QFM73" s="371"/>
      <c r="QFN73" s="371"/>
      <c r="QFO73" s="371"/>
      <c r="QFP73" s="371"/>
      <c r="QFQ73" s="371"/>
      <c r="QFR73" s="371"/>
      <c r="QFS73" s="371"/>
      <c r="QFT73" s="371"/>
      <c r="QFU73" s="371"/>
      <c r="QFV73" s="371"/>
      <c r="QFW73" s="382"/>
      <c r="QGA73" s="371"/>
      <c r="QGB73" s="371"/>
      <c r="QGC73" s="371"/>
      <c r="QGD73" s="371"/>
      <c r="QGE73" s="371"/>
      <c r="QGF73" s="371"/>
      <c r="QGG73" s="371"/>
      <c r="QGH73" s="371"/>
      <c r="QGI73" s="371"/>
      <c r="QGJ73" s="371"/>
      <c r="QGK73" s="371"/>
      <c r="QGL73" s="371"/>
      <c r="QGM73" s="371"/>
      <c r="QGN73" s="371"/>
      <c r="QGO73" s="371"/>
      <c r="QGP73" s="371"/>
      <c r="QGQ73" s="371"/>
      <c r="QGR73" s="371"/>
      <c r="QGS73" s="371"/>
      <c r="QGT73" s="371"/>
      <c r="QGU73" s="371"/>
      <c r="QGV73" s="371"/>
      <c r="QGW73" s="371"/>
      <c r="QGX73" s="371"/>
      <c r="QGY73" s="371"/>
      <c r="QGZ73" s="371"/>
      <c r="QHA73" s="382"/>
      <c r="QHE73" s="371"/>
      <c r="QHF73" s="371"/>
      <c r="QHG73" s="371"/>
      <c r="QHH73" s="371"/>
      <c r="QHI73" s="371"/>
      <c r="QHJ73" s="371"/>
      <c r="QHK73" s="371"/>
      <c r="QHL73" s="371"/>
      <c r="QHM73" s="371"/>
      <c r="QHN73" s="371"/>
      <c r="QHO73" s="371"/>
      <c r="QHP73" s="371"/>
      <c r="QHQ73" s="371"/>
      <c r="QHR73" s="371"/>
      <c r="QHS73" s="371"/>
      <c r="QHT73" s="371"/>
      <c r="QHU73" s="371"/>
      <c r="QHV73" s="371"/>
      <c r="QHW73" s="371"/>
      <c r="QHX73" s="371"/>
      <c r="QHY73" s="371"/>
      <c r="QHZ73" s="371"/>
      <c r="QIA73" s="371"/>
      <c r="QIB73" s="371"/>
      <c r="QIC73" s="371"/>
      <c r="QID73" s="371"/>
      <c r="QIE73" s="382"/>
      <c r="QII73" s="371"/>
      <c r="QIJ73" s="371"/>
      <c r="QIK73" s="371"/>
      <c r="QIL73" s="371"/>
      <c r="QIM73" s="371"/>
      <c r="QIN73" s="371"/>
      <c r="QIO73" s="371"/>
      <c r="QIP73" s="371"/>
      <c r="QIQ73" s="371"/>
      <c r="QIR73" s="371"/>
      <c r="QIS73" s="371"/>
      <c r="QIT73" s="371"/>
      <c r="QIU73" s="371"/>
      <c r="QIV73" s="371"/>
      <c r="QIW73" s="371"/>
      <c r="QIX73" s="371"/>
      <c r="QIY73" s="371"/>
      <c r="QIZ73" s="371"/>
      <c r="QJA73" s="371"/>
      <c r="QJB73" s="371"/>
      <c r="QJC73" s="371"/>
      <c r="QJD73" s="371"/>
      <c r="QJE73" s="371"/>
      <c r="QJF73" s="371"/>
      <c r="QJG73" s="371"/>
      <c r="QJH73" s="371"/>
      <c r="QJI73" s="382"/>
      <c r="QJM73" s="371"/>
      <c r="QJN73" s="371"/>
      <c r="QJO73" s="371"/>
      <c r="QJP73" s="371"/>
      <c r="QJQ73" s="371"/>
      <c r="QJR73" s="371"/>
      <c r="QJS73" s="371"/>
      <c r="QJT73" s="371"/>
      <c r="QJU73" s="371"/>
      <c r="QJV73" s="371"/>
      <c r="QJW73" s="371"/>
      <c r="QJX73" s="371"/>
      <c r="QJY73" s="371"/>
      <c r="QJZ73" s="371"/>
      <c r="QKA73" s="371"/>
      <c r="QKB73" s="371"/>
      <c r="QKC73" s="371"/>
      <c r="QKD73" s="371"/>
      <c r="QKE73" s="371"/>
      <c r="QKF73" s="371"/>
      <c r="QKG73" s="371"/>
      <c r="QKH73" s="371"/>
      <c r="QKI73" s="371"/>
      <c r="QKJ73" s="371"/>
      <c r="QKK73" s="371"/>
      <c r="QKL73" s="371"/>
      <c r="QKM73" s="382"/>
      <c r="QKQ73" s="371"/>
      <c r="QKR73" s="371"/>
      <c r="QKS73" s="371"/>
      <c r="QKT73" s="371"/>
      <c r="QKU73" s="371"/>
      <c r="QKV73" s="371"/>
      <c r="QKW73" s="371"/>
      <c r="QKX73" s="371"/>
      <c r="QKY73" s="371"/>
      <c r="QKZ73" s="371"/>
      <c r="QLA73" s="371"/>
      <c r="QLB73" s="371"/>
      <c r="QLC73" s="371"/>
      <c r="QLD73" s="371"/>
      <c r="QLE73" s="371"/>
      <c r="QLF73" s="371"/>
      <c r="QLG73" s="371"/>
      <c r="QLH73" s="371"/>
      <c r="QLI73" s="371"/>
      <c r="QLJ73" s="371"/>
      <c r="QLK73" s="371"/>
      <c r="QLL73" s="371"/>
      <c r="QLM73" s="371"/>
      <c r="QLN73" s="371"/>
      <c r="QLO73" s="371"/>
      <c r="QLP73" s="371"/>
      <c r="QLQ73" s="382"/>
      <c r="QLU73" s="371"/>
      <c r="QLV73" s="371"/>
      <c r="QLW73" s="371"/>
      <c r="QLX73" s="371"/>
      <c r="QLY73" s="371"/>
      <c r="QLZ73" s="371"/>
      <c r="QMA73" s="371"/>
      <c r="QMB73" s="371"/>
      <c r="QMC73" s="371"/>
      <c r="QMD73" s="371"/>
      <c r="QME73" s="371"/>
      <c r="QMF73" s="371"/>
      <c r="QMG73" s="371"/>
      <c r="QMH73" s="371"/>
      <c r="QMI73" s="371"/>
      <c r="QMJ73" s="371"/>
      <c r="QMK73" s="371"/>
      <c r="QML73" s="371"/>
      <c r="QMM73" s="371"/>
      <c r="QMN73" s="371"/>
      <c r="QMO73" s="371"/>
      <c r="QMP73" s="371"/>
      <c r="QMQ73" s="371"/>
      <c r="QMR73" s="371"/>
      <c r="QMS73" s="371"/>
      <c r="QMT73" s="371"/>
      <c r="QMU73" s="382"/>
      <c r="QMY73" s="371"/>
      <c r="QMZ73" s="371"/>
      <c r="QNA73" s="371"/>
      <c r="QNB73" s="371"/>
      <c r="QNC73" s="371"/>
      <c r="QND73" s="371"/>
      <c r="QNE73" s="371"/>
      <c r="QNF73" s="371"/>
      <c r="QNG73" s="371"/>
      <c r="QNH73" s="371"/>
      <c r="QNI73" s="371"/>
      <c r="QNJ73" s="371"/>
      <c r="QNK73" s="371"/>
      <c r="QNL73" s="371"/>
      <c r="QNM73" s="371"/>
      <c r="QNN73" s="371"/>
      <c r="QNO73" s="371"/>
      <c r="QNP73" s="371"/>
      <c r="QNQ73" s="371"/>
      <c r="QNR73" s="371"/>
      <c r="QNS73" s="371"/>
      <c r="QNT73" s="371"/>
      <c r="QNU73" s="371"/>
      <c r="QNV73" s="371"/>
      <c r="QNW73" s="371"/>
      <c r="QNX73" s="371"/>
      <c r="QNY73" s="382"/>
      <c r="QOC73" s="371"/>
      <c r="QOD73" s="371"/>
      <c r="QOE73" s="371"/>
      <c r="QOF73" s="371"/>
      <c r="QOG73" s="371"/>
      <c r="QOH73" s="371"/>
      <c r="QOI73" s="371"/>
      <c r="QOJ73" s="371"/>
      <c r="QOK73" s="371"/>
      <c r="QOL73" s="371"/>
      <c r="QOM73" s="371"/>
      <c r="QON73" s="371"/>
      <c r="QOO73" s="371"/>
      <c r="QOP73" s="371"/>
      <c r="QOQ73" s="371"/>
      <c r="QOR73" s="371"/>
      <c r="QOS73" s="371"/>
      <c r="QOT73" s="371"/>
      <c r="QOU73" s="371"/>
      <c r="QOV73" s="371"/>
      <c r="QOW73" s="371"/>
      <c r="QOX73" s="371"/>
      <c r="QOY73" s="371"/>
      <c r="QOZ73" s="371"/>
      <c r="QPA73" s="371"/>
      <c r="QPB73" s="371"/>
      <c r="QPC73" s="382"/>
      <c r="QPG73" s="371"/>
      <c r="QPH73" s="371"/>
      <c r="QPI73" s="371"/>
      <c r="QPJ73" s="371"/>
      <c r="QPK73" s="371"/>
      <c r="QPL73" s="371"/>
      <c r="QPM73" s="371"/>
      <c r="QPN73" s="371"/>
      <c r="QPO73" s="371"/>
      <c r="QPP73" s="371"/>
      <c r="QPQ73" s="371"/>
      <c r="QPR73" s="371"/>
      <c r="QPS73" s="371"/>
      <c r="QPT73" s="371"/>
      <c r="QPU73" s="371"/>
      <c r="QPV73" s="371"/>
      <c r="QPW73" s="371"/>
      <c r="QPX73" s="371"/>
      <c r="QPY73" s="371"/>
      <c r="QPZ73" s="371"/>
      <c r="QQA73" s="371"/>
      <c r="QQB73" s="371"/>
      <c r="QQC73" s="371"/>
      <c r="QQD73" s="371"/>
      <c r="QQE73" s="371"/>
      <c r="QQF73" s="371"/>
      <c r="QQG73" s="382"/>
      <c r="QQK73" s="371"/>
      <c r="QQL73" s="371"/>
      <c r="QQM73" s="371"/>
      <c r="QQN73" s="371"/>
      <c r="QQO73" s="371"/>
      <c r="QQP73" s="371"/>
      <c r="QQQ73" s="371"/>
      <c r="QQR73" s="371"/>
      <c r="QQS73" s="371"/>
      <c r="QQT73" s="371"/>
      <c r="QQU73" s="371"/>
      <c r="QQV73" s="371"/>
      <c r="QQW73" s="371"/>
      <c r="QQX73" s="371"/>
      <c r="QQY73" s="371"/>
      <c r="QQZ73" s="371"/>
      <c r="QRA73" s="371"/>
      <c r="QRB73" s="371"/>
      <c r="QRC73" s="371"/>
      <c r="QRD73" s="371"/>
      <c r="QRE73" s="371"/>
      <c r="QRF73" s="371"/>
      <c r="QRG73" s="371"/>
      <c r="QRH73" s="371"/>
      <c r="QRI73" s="371"/>
      <c r="QRJ73" s="371"/>
      <c r="QRK73" s="382"/>
      <c r="QRO73" s="371"/>
      <c r="QRP73" s="371"/>
      <c r="QRQ73" s="371"/>
      <c r="QRR73" s="371"/>
      <c r="QRS73" s="371"/>
      <c r="QRT73" s="371"/>
      <c r="QRU73" s="371"/>
      <c r="QRV73" s="371"/>
      <c r="QRW73" s="371"/>
      <c r="QRX73" s="371"/>
      <c r="QRY73" s="371"/>
      <c r="QRZ73" s="371"/>
      <c r="QSA73" s="371"/>
      <c r="QSB73" s="371"/>
      <c r="QSC73" s="371"/>
      <c r="QSD73" s="371"/>
      <c r="QSE73" s="371"/>
      <c r="QSF73" s="371"/>
      <c r="QSG73" s="371"/>
      <c r="QSH73" s="371"/>
      <c r="QSI73" s="371"/>
      <c r="QSJ73" s="371"/>
      <c r="QSK73" s="371"/>
      <c r="QSL73" s="371"/>
      <c r="QSM73" s="371"/>
      <c r="QSN73" s="371"/>
      <c r="QSO73" s="382"/>
      <c r="QSS73" s="371"/>
      <c r="QST73" s="371"/>
      <c r="QSU73" s="371"/>
      <c r="QSV73" s="371"/>
      <c r="QSW73" s="371"/>
      <c r="QSX73" s="371"/>
      <c r="QSY73" s="371"/>
      <c r="QSZ73" s="371"/>
      <c r="QTA73" s="371"/>
      <c r="QTB73" s="371"/>
      <c r="QTC73" s="371"/>
      <c r="QTD73" s="371"/>
      <c r="QTE73" s="371"/>
      <c r="QTF73" s="371"/>
      <c r="QTG73" s="371"/>
      <c r="QTH73" s="371"/>
      <c r="QTI73" s="371"/>
      <c r="QTJ73" s="371"/>
      <c r="QTK73" s="371"/>
      <c r="QTL73" s="371"/>
      <c r="QTM73" s="371"/>
      <c r="QTN73" s="371"/>
      <c r="QTO73" s="371"/>
      <c r="QTP73" s="371"/>
      <c r="QTQ73" s="371"/>
      <c r="QTR73" s="371"/>
      <c r="QTS73" s="382"/>
      <c r="QTW73" s="371"/>
      <c r="QTX73" s="371"/>
      <c r="QTY73" s="371"/>
      <c r="QTZ73" s="371"/>
      <c r="QUA73" s="371"/>
      <c r="QUB73" s="371"/>
      <c r="QUC73" s="371"/>
      <c r="QUD73" s="371"/>
      <c r="QUE73" s="371"/>
      <c r="QUF73" s="371"/>
      <c r="QUG73" s="371"/>
      <c r="QUH73" s="371"/>
      <c r="QUI73" s="371"/>
      <c r="QUJ73" s="371"/>
      <c r="QUK73" s="371"/>
      <c r="QUL73" s="371"/>
      <c r="QUM73" s="371"/>
      <c r="QUN73" s="371"/>
      <c r="QUO73" s="371"/>
      <c r="QUP73" s="371"/>
      <c r="QUQ73" s="371"/>
      <c r="QUR73" s="371"/>
      <c r="QUS73" s="371"/>
      <c r="QUT73" s="371"/>
      <c r="QUU73" s="371"/>
      <c r="QUV73" s="371"/>
      <c r="QUW73" s="382"/>
      <c r="QVA73" s="371"/>
      <c r="QVB73" s="371"/>
      <c r="QVC73" s="371"/>
      <c r="QVD73" s="371"/>
      <c r="QVE73" s="371"/>
      <c r="QVF73" s="371"/>
      <c r="QVG73" s="371"/>
      <c r="QVH73" s="371"/>
      <c r="QVI73" s="371"/>
      <c r="QVJ73" s="371"/>
      <c r="QVK73" s="371"/>
      <c r="QVL73" s="371"/>
      <c r="QVM73" s="371"/>
      <c r="QVN73" s="371"/>
      <c r="QVO73" s="371"/>
      <c r="QVP73" s="371"/>
      <c r="QVQ73" s="371"/>
      <c r="QVR73" s="371"/>
      <c r="QVS73" s="371"/>
      <c r="QVT73" s="371"/>
      <c r="QVU73" s="371"/>
      <c r="QVV73" s="371"/>
      <c r="QVW73" s="371"/>
      <c r="QVX73" s="371"/>
      <c r="QVY73" s="371"/>
      <c r="QVZ73" s="371"/>
      <c r="QWA73" s="382"/>
      <c r="QWE73" s="371"/>
      <c r="QWF73" s="371"/>
      <c r="QWG73" s="371"/>
      <c r="QWH73" s="371"/>
      <c r="QWI73" s="371"/>
      <c r="QWJ73" s="371"/>
      <c r="QWK73" s="371"/>
      <c r="QWL73" s="371"/>
      <c r="QWM73" s="371"/>
      <c r="QWN73" s="371"/>
      <c r="QWO73" s="371"/>
      <c r="QWP73" s="371"/>
      <c r="QWQ73" s="371"/>
      <c r="QWR73" s="371"/>
      <c r="QWS73" s="371"/>
      <c r="QWT73" s="371"/>
      <c r="QWU73" s="371"/>
      <c r="QWV73" s="371"/>
      <c r="QWW73" s="371"/>
      <c r="QWX73" s="371"/>
      <c r="QWY73" s="371"/>
      <c r="QWZ73" s="371"/>
      <c r="QXA73" s="371"/>
      <c r="QXB73" s="371"/>
      <c r="QXC73" s="371"/>
      <c r="QXD73" s="371"/>
      <c r="QXE73" s="382"/>
      <c r="QXI73" s="371"/>
      <c r="QXJ73" s="371"/>
      <c r="QXK73" s="371"/>
      <c r="QXL73" s="371"/>
      <c r="QXM73" s="371"/>
      <c r="QXN73" s="371"/>
      <c r="QXO73" s="371"/>
      <c r="QXP73" s="371"/>
      <c r="QXQ73" s="371"/>
      <c r="QXR73" s="371"/>
      <c r="QXS73" s="371"/>
      <c r="QXT73" s="371"/>
      <c r="QXU73" s="371"/>
      <c r="QXV73" s="371"/>
      <c r="QXW73" s="371"/>
      <c r="QXX73" s="371"/>
      <c r="QXY73" s="371"/>
      <c r="QXZ73" s="371"/>
      <c r="QYA73" s="371"/>
      <c r="QYB73" s="371"/>
      <c r="QYC73" s="371"/>
      <c r="QYD73" s="371"/>
      <c r="QYE73" s="371"/>
      <c r="QYF73" s="371"/>
      <c r="QYG73" s="371"/>
      <c r="QYH73" s="371"/>
      <c r="QYI73" s="382"/>
      <c r="QYM73" s="371"/>
      <c r="QYN73" s="371"/>
      <c r="QYO73" s="371"/>
      <c r="QYP73" s="371"/>
      <c r="QYQ73" s="371"/>
      <c r="QYR73" s="371"/>
      <c r="QYS73" s="371"/>
      <c r="QYT73" s="371"/>
      <c r="QYU73" s="371"/>
      <c r="QYV73" s="371"/>
      <c r="QYW73" s="371"/>
      <c r="QYX73" s="371"/>
      <c r="QYY73" s="371"/>
      <c r="QYZ73" s="371"/>
      <c r="QZA73" s="371"/>
      <c r="QZB73" s="371"/>
      <c r="QZC73" s="371"/>
      <c r="QZD73" s="371"/>
      <c r="QZE73" s="371"/>
      <c r="QZF73" s="371"/>
      <c r="QZG73" s="371"/>
      <c r="QZH73" s="371"/>
      <c r="QZI73" s="371"/>
      <c r="QZJ73" s="371"/>
      <c r="QZK73" s="371"/>
      <c r="QZL73" s="371"/>
      <c r="QZM73" s="382"/>
      <c r="QZQ73" s="371"/>
      <c r="QZR73" s="371"/>
      <c r="QZS73" s="371"/>
      <c r="QZT73" s="371"/>
      <c r="QZU73" s="371"/>
      <c r="QZV73" s="371"/>
      <c r="QZW73" s="371"/>
      <c r="QZX73" s="371"/>
      <c r="QZY73" s="371"/>
      <c r="QZZ73" s="371"/>
      <c r="RAA73" s="371"/>
      <c r="RAB73" s="371"/>
      <c r="RAC73" s="371"/>
      <c r="RAD73" s="371"/>
      <c r="RAE73" s="371"/>
      <c r="RAF73" s="371"/>
      <c r="RAG73" s="371"/>
      <c r="RAH73" s="371"/>
      <c r="RAI73" s="371"/>
      <c r="RAJ73" s="371"/>
      <c r="RAK73" s="371"/>
      <c r="RAL73" s="371"/>
      <c r="RAM73" s="371"/>
      <c r="RAN73" s="371"/>
      <c r="RAO73" s="371"/>
      <c r="RAP73" s="371"/>
      <c r="RAQ73" s="382"/>
      <c r="RAU73" s="371"/>
      <c r="RAV73" s="371"/>
      <c r="RAW73" s="371"/>
      <c r="RAX73" s="371"/>
      <c r="RAY73" s="371"/>
      <c r="RAZ73" s="371"/>
      <c r="RBA73" s="371"/>
      <c r="RBB73" s="371"/>
      <c r="RBC73" s="371"/>
      <c r="RBD73" s="371"/>
      <c r="RBE73" s="371"/>
      <c r="RBF73" s="371"/>
      <c r="RBG73" s="371"/>
      <c r="RBH73" s="371"/>
      <c r="RBI73" s="371"/>
      <c r="RBJ73" s="371"/>
      <c r="RBK73" s="371"/>
      <c r="RBL73" s="371"/>
      <c r="RBM73" s="371"/>
      <c r="RBN73" s="371"/>
      <c r="RBO73" s="371"/>
      <c r="RBP73" s="371"/>
      <c r="RBQ73" s="371"/>
      <c r="RBR73" s="371"/>
      <c r="RBS73" s="371"/>
      <c r="RBT73" s="371"/>
      <c r="RBU73" s="382"/>
      <c r="RBY73" s="371"/>
      <c r="RBZ73" s="371"/>
      <c r="RCA73" s="371"/>
      <c r="RCB73" s="371"/>
      <c r="RCC73" s="371"/>
      <c r="RCD73" s="371"/>
      <c r="RCE73" s="371"/>
      <c r="RCF73" s="371"/>
      <c r="RCG73" s="371"/>
      <c r="RCH73" s="371"/>
      <c r="RCI73" s="371"/>
      <c r="RCJ73" s="371"/>
      <c r="RCK73" s="371"/>
      <c r="RCL73" s="371"/>
      <c r="RCM73" s="371"/>
      <c r="RCN73" s="371"/>
      <c r="RCO73" s="371"/>
      <c r="RCP73" s="371"/>
      <c r="RCQ73" s="371"/>
      <c r="RCR73" s="371"/>
      <c r="RCS73" s="371"/>
      <c r="RCT73" s="371"/>
      <c r="RCU73" s="371"/>
      <c r="RCV73" s="371"/>
      <c r="RCW73" s="371"/>
      <c r="RCX73" s="371"/>
      <c r="RCY73" s="382"/>
      <c r="RDC73" s="371"/>
      <c r="RDD73" s="371"/>
      <c r="RDE73" s="371"/>
      <c r="RDF73" s="371"/>
      <c r="RDG73" s="371"/>
      <c r="RDH73" s="371"/>
      <c r="RDI73" s="371"/>
      <c r="RDJ73" s="371"/>
      <c r="RDK73" s="371"/>
      <c r="RDL73" s="371"/>
      <c r="RDM73" s="371"/>
      <c r="RDN73" s="371"/>
      <c r="RDO73" s="371"/>
      <c r="RDP73" s="371"/>
      <c r="RDQ73" s="371"/>
      <c r="RDR73" s="371"/>
      <c r="RDS73" s="371"/>
      <c r="RDT73" s="371"/>
      <c r="RDU73" s="371"/>
      <c r="RDV73" s="371"/>
      <c r="RDW73" s="371"/>
      <c r="RDX73" s="371"/>
      <c r="RDY73" s="371"/>
      <c r="RDZ73" s="371"/>
      <c r="REA73" s="371"/>
      <c r="REB73" s="371"/>
      <c r="REC73" s="382"/>
      <c r="REG73" s="371"/>
      <c r="REH73" s="371"/>
      <c r="REI73" s="371"/>
      <c r="REJ73" s="371"/>
      <c r="REK73" s="371"/>
      <c r="REL73" s="371"/>
      <c r="REM73" s="371"/>
      <c r="REN73" s="371"/>
      <c r="REO73" s="371"/>
      <c r="REP73" s="371"/>
      <c r="REQ73" s="371"/>
      <c r="RER73" s="371"/>
      <c r="RES73" s="371"/>
      <c r="RET73" s="371"/>
      <c r="REU73" s="371"/>
      <c r="REV73" s="371"/>
      <c r="REW73" s="371"/>
      <c r="REX73" s="371"/>
      <c r="REY73" s="371"/>
      <c r="REZ73" s="371"/>
      <c r="RFA73" s="371"/>
      <c r="RFB73" s="371"/>
      <c r="RFC73" s="371"/>
      <c r="RFD73" s="371"/>
      <c r="RFE73" s="371"/>
      <c r="RFF73" s="371"/>
      <c r="RFG73" s="382"/>
      <c r="RFK73" s="371"/>
      <c r="RFL73" s="371"/>
      <c r="RFM73" s="371"/>
      <c r="RFN73" s="371"/>
      <c r="RFO73" s="371"/>
      <c r="RFP73" s="371"/>
      <c r="RFQ73" s="371"/>
      <c r="RFR73" s="371"/>
      <c r="RFS73" s="371"/>
      <c r="RFT73" s="371"/>
      <c r="RFU73" s="371"/>
      <c r="RFV73" s="371"/>
      <c r="RFW73" s="371"/>
      <c r="RFX73" s="371"/>
      <c r="RFY73" s="371"/>
      <c r="RFZ73" s="371"/>
      <c r="RGA73" s="371"/>
      <c r="RGB73" s="371"/>
      <c r="RGC73" s="371"/>
      <c r="RGD73" s="371"/>
      <c r="RGE73" s="371"/>
      <c r="RGF73" s="371"/>
      <c r="RGG73" s="371"/>
      <c r="RGH73" s="371"/>
      <c r="RGI73" s="371"/>
      <c r="RGJ73" s="371"/>
      <c r="RGK73" s="382"/>
      <c r="RGO73" s="371"/>
      <c r="RGP73" s="371"/>
      <c r="RGQ73" s="371"/>
      <c r="RGR73" s="371"/>
      <c r="RGS73" s="371"/>
      <c r="RGT73" s="371"/>
      <c r="RGU73" s="371"/>
      <c r="RGV73" s="371"/>
      <c r="RGW73" s="371"/>
      <c r="RGX73" s="371"/>
      <c r="RGY73" s="371"/>
      <c r="RGZ73" s="371"/>
      <c r="RHA73" s="371"/>
      <c r="RHB73" s="371"/>
      <c r="RHC73" s="371"/>
      <c r="RHD73" s="371"/>
      <c r="RHE73" s="371"/>
      <c r="RHF73" s="371"/>
      <c r="RHG73" s="371"/>
      <c r="RHH73" s="371"/>
      <c r="RHI73" s="371"/>
      <c r="RHJ73" s="371"/>
      <c r="RHK73" s="371"/>
      <c r="RHL73" s="371"/>
      <c r="RHM73" s="371"/>
      <c r="RHN73" s="371"/>
      <c r="RHO73" s="382"/>
      <c r="RHS73" s="371"/>
      <c r="RHT73" s="371"/>
      <c r="RHU73" s="371"/>
      <c r="RHV73" s="371"/>
      <c r="RHW73" s="371"/>
      <c r="RHX73" s="371"/>
      <c r="RHY73" s="371"/>
      <c r="RHZ73" s="371"/>
      <c r="RIA73" s="371"/>
      <c r="RIB73" s="371"/>
      <c r="RIC73" s="371"/>
      <c r="RID73" s="371"/>
      <c r="RIE73" s="371"/>
      <c r="RIF73" s="371"/>
      <c r="RIG73" s="371"/>
      <c r="RIH73" s="371"/>
      <c r="RII73" s="371"/>
      <c r="RIJ73" s="371"/>
      <c r="RIK73" s="371"/>
      <c r="RIL73" s="371"/>
      <c r="RIM73" s="371"/>
      <c r="RIN73" s="371"/>
      <c r="RIO73" s="371"/>
      <c r="RIP73" s="371"/>
      <c r="RIQ73" s="371"/>
      <c r="RIR73" s="371"/>
      <c r="RIS73" s="382"/>
      <c r="RIW73" s="371"/>
      <c r="RIX73" s="371"/>
      <c r="RIY73" s="371"/>
      <c r="RIZ73" s="371"/>
      <c r="RJA73" s="371"/>
      <c r="RJB73" s="371"/>
      <c r="RJC73" s="371"/>
      <c r="RJD73" s="371"/>
      <c r="RJE73" s="371"/>
      <c r="RJF73" s="371"/>
      <c r="RJG73" s="371"/>
      <c r="RJH73" s="371"/>
      <c r="RJI73" s="371"/>
      <c r="RJJ73" s="371"/>
      <c r="RJK73" s="371"/>
      <c r="RJL73" s="371"/>
      <c r="RJM73" s="371"/>
      <c r="RJN73" s="371"/>
      <c r="RJO73" s="371"/>
      <c r="RJP73" s="371"/>
      <c r="RJQ73" s="371"/>
      <c r="RJR73" s="371"/>
      <c r="RJS73" s="371"/>
      <c r="RJT73" s="371"/>
      <c r="RJU73" s="371"/>
      <c r="RJV73" s="371"/>
      <c r="RJW73" s="382"/>
      <c r="RKA73" s="371"/>
      <c r="RKB73" s="371"/>
      <c r="RKC73" s="371"/>
      <c r="RKD73" s="371"/>
      <c r="RKE73" s="371"/>
      <c r="RKF73" s="371"/>
      <c r="RKG73" s="371"/>
      <c r="RKH73" s="371"/>
      <c r="RKI73" s="371"/>
      <c r="RKJ73" s="371"/>
      <c r="RKK73" s="371"/>
      <c r="RKL73" s="371"/>
      <c r="RKM73" s="371"/>
      <c r="RKN73" s="371"/>
      <c r="RKO73" s="371"/>
      <c r="RKP73" s="371"/>
      <c r="RKQ73" s="371"/>
      <c r="RKR73" s="371"/>
      <c r="RKS73" s="371"/>
      <c r="RKT73" s="371"/>
      <c r="RKU73" s="371"/>
      <c r="RKV73" s="371"/>
      <c r="RKW73" s="371"/>
      <c r="RKX73" s="371"/>
      <c r="RKY73" s="371"/>
      <c r="RKZ73" s="371"/>
      <c r="RLA73" s="382"/>
      <c r="RLE73" s="371"/>
      <c r="RLF73" s="371"/>
      <c r="RLG73" s="371"/>
      <c r="RLH73" s="371"/>
      <c r="RLI73" s="371"/>
      <c r="RLJ73" s="371"/>
      <c r="RLK73" s="371"/>
      <c r="RLL73" s="371"/>
      <c r="RLM73" s="371"/>
      <c r="RLN73" s="371"/>
      <c r="RLO73" s="371"/>
      <c r="RLP73" s="371"/>
      <c r="RLQ73" s="371"/>
      <c r="RLR73" s="371"/>
      <c r="RLS73" s="371"/>
      <c r="RLT73" s="371"/>
      <c r="RLU73" s="371"/>
      <c r="RLV73" s="371"/>
      <c r="RLW73" s="371"/>
      <c r="RLX73" s="371"/>
      <c r="RLY73" s="371"/>
      <c r="RLZ73" s="371"/>
      <c r="RMA73" s="371"/>
      <c r="RMB73" s="371"/>
      <c r="RMC73" s="371"/>
      <c r="RMD73" s="371"/>
      <c r="RME73" s="382"/>
      <c r="RMI73" s="371"/>
      <c r="RMJ73" s="371"/>
      <c r="RMK73" s="371"/>
      <c r="RML73" s="371"/>
      <c r="RMM73" s="371"/>
      <c r="RMN73" s="371"/>
      <c r="RMO73" s="371"/>
      <c r="RMP73" s="371"/>
      <c r="RMQ73" s="371"/>
      <c r="RMR73" s="371"/>
      <c r="RMS73" s="371"/>
      <c r="RMT73" s="371"/>
      <c r="RMU73" s="371"/>
      <c r="RMV73" s="371"/>
      <c r="RMW73" s="371"/>
      <c r="RMX73" s="371"/>
      <c r="RMY73" s="371"/>
      <c r="RMZ73" s="371"/>
      <c r="RNA73" s="371"/>
      <c r="RNB73" s="371"/>
      <c r="RNC73" s="371"/>
      <c r="RND73" s="371"/>
      <c r="RNE73" s="371"/>
      <c r="RNF73" s="371"/>
      <c r="RNG73" s="371"/>
      <c r="RNH73" s="371"/>
      <c r="RNI73" s="382"/>
      <c r="RNM73" s="371"/>
      <c r="RNN73" s="371"/>
      <c r="RNO73" s="371"/>
      <c r="RNP73" s="371"/>
      <c r="RNQ73" s="371"/>
      <c r="RNR73" s="371"/>
      <c r="RNS73" s="371"/>
      <c r="RNT73" s="371"/>
      <c r="RNU73" s="371"/>
      <c r="RNV73" s="371"/>
      <c r="RNW73" s="371"/>
      <c r="RNX73" s="371"/>
      <c r="RNY73" s="371"/>
      <c r="RNZ73" s="371"/>
      <c r="ROA73" s="371"/>
      <c r="ROB73" s="371"/>
      <c r="ROC73" s="371"/>
      <c r="ROD73" s="371"/>
      <c r="ROE73" s="371"/>
      <c r="ROF73" s="371"/>
      <c r="ROG73" s="371"/>
      <c r="ROH73" s="371"/>
      <c r="ROI73" s="371"/>
      <c r="ROJ73" s="371"/>
      <c r="ROK73" s="371"/>
      <c r="ROL73" s="371"/>
      <c r="ROM73" s="382"/>
      <c r="ROQ73" s="371"/>
      <c r="ROR73" s="371"/>
      <c r="ROS73" s="371"/>
      <c r="ROT73" s="371"/>
      <c r="ROU73" s="371"/>
      <c r="ROV73" s="371"/>
      <c r="ROW73" s="371"/>
      <c r="ROX73" s="371"/>
      <c r="ROY73" s="371"/>
      <c r="ROZ73" s="371"/>
      <c r="RPA73" s="371"/>
      <c r="RPB73" s="371"/>
      <c r="RPC73" s="371"/>
      <c r="RPD73" s="371"/>
      <c r="RPE73" s="371"/>
      <c r="RPF73" s="371"/>
      <c r="RPG73" s="371"/>
      <c r="RPH73" s="371"/>
      <c r="RPI73" s="371"/>
      <c r="RPJ73" s="371"/>
      <c r="RPK73" s="371"/>
      <c r="RPL73" s="371"/>
      <c r="RPM73" s="371"/>
      <c r="RPN73" s="371"/>
      <c r="RPO73" s="371"/>
      <c r="RPP73" s="371"/>
      <c r="RPQ73" s="382"/>
      <c r="RPU73" s="371"/>
      <c r="RPV73" s="371"/>
      <c r="RPW73" s="371"/>
      <c r="RPX73" s="371"/>
      <c r="RPY73" s="371"/>
      <c r="RPZ73" s="371"/>
      <c r="RQA73" s="371"/>
      <c r="RQB73" s="371"/>
      <c r="RQC73" s="371"/>
      <c r="RQD73" s="371"/>
      <c r="RQE73" s="371"/>
      <c r="RQF73" s="371"/>
      <c r="RQG73" s="371"/>
      <c r="RQH73" s="371"/>
      <c r="RQI73" s="371"/>
      <c r="RQJ73" s="371"/>
      <c r="RQK73" s="371"/>
      <c r="RQL73" s="371"/>
      <c r="RQM73" s="371"/>
      <c r="RQN73" s="371"/>
      <c r="RQO73" s="371"/>
      <c r="RQP73" s="371"/>
      <c r="RQQ73" s="371"/>
      <c r="RQR73" s="371"/>
      <c r="RQS73" s="371"/>
      <c r="RQT73" s="371"/>
      <c r="RQU73" s="382"/>
      <c r="RQY73" s="371"/>
      <c r="RQZ73" s="371"/>
      <c r="RRA73" s="371"/>
      <c r="RRB73" s="371"/>
      <c r="RRC73" s="371"/>
      <c r="RRD73" s="371"/>
      <c r="RRE73" s="371"/>
      <c r="RRF73" s="371"/>
      <c r="RRG73" s="371"/>
      <c r="RRH73" s="371"/>
      <c r="RRI73" s="371"/>
      <c r="RRJ73" s="371"/>
      <c r="RRK73" s="371"/>
      <c r="RRL73" s="371"/>
      <c r="RRM73" s="371"/>
      <c r="RRN73" s="371"/>
      <c r="RRO73" s="371"/>
      <c r="RRP73" s="371"/>
      <c r="RRQ73" s="371"/>
      <c r="RRR73" s="371"/>
      <c r="RRS73" s="371"/>
      <c r="RRT73" s="371"/>
      <c r="RRU73" s="371"/>
      <c r="RRV73" s="371"/>
      <c r="RRW73" s="371"/>
      <c r="RRX73" s="371"/>
      <c r="RRY73" s="382"/>
      <c r="RSC73" s="371"/>
      <c r="RSD73" s="371"/>
      <c r="RSE73" s="371"/>
      <c r="RSF73" s="371"/>
      <c r="RSG73" s="371"/>
      <c r="RSH73" s="371"/>
      <c r="RSI73" s="371"/>
      <c r="RSJ73" s="371"/>
      <c r="RSK73" s="371"/>
      <c r="RSL73" s="371"/>
      <c r="RSM73" s="371"/>
      <c r="RSN73" s="371"/>
      <c r="RSO73" s="371"/>
      <c r="RSP73" s="371"/>
      <c r="RSQ73" s="371"/>
      <c r="RSR73" s="371"/>
      <c r="RSS73" s="371"/>
      <c r="RST73" s="371"/>
      <c r="RSU73" s="371"/>
      <c r="RSV73" s="371"/>
      <c r="RSW73" s="371"/>
      <c r="RSX73" s="371"/>
      <c r="RSY73" s="371"/>
      <c r="RSZ73" s="371"/>
      <c r="RTA73" s="371"/>
      <c r="RTB73" s="371"/>
      <c r="RTC73" s="382"/>
      <c r="RTG73" s="371"/>
      <c r="RTH73" s="371"/>
      <c r="RTI73" s="371"/>
      <c r="RTJ73" s="371"/>
      <c r="RTK73" s="371"/>
      <c r="RTL73" s="371"/>
      <c r="RTM73" s="371"/>
      <c r="RTN73" s="371"/>
      <c r="RTO73" s="371"/>
      <c r="RTP73" s="371"/>
      <c r="RTQ73" s="371"/>
      <c r="RTR73" s="371"/>
      <c r="RTS73" s="371"/>
      <c r="RTT73" s="371"/>
      <c r="RTU73" s="371"/>
      <c r="RTV73" s="371"/>
      <c r="RTW73" s="371"/>
      <c r="RTX73" s="371"/>
      <c r="RTY73" s="371"/>
      <c r="RTZ73" s="371"/>
      <c r="RUA73" s="371"/>
      <c r="RUB73" s="371"/>
      <c r="RUC73" s="371"/>
      <c r="RUD73" s="371"/>
      <c r="RUE73" s="371"/>
      <c r="RUF73" s="371"/>
      <c r="RUG73" s="382"/>
      <c r="RUK73" s="371"/>
      <c r="RUL73" s="371"/>
      <c r="RUM73" s="371"/>
      <c r="RUN73" s="371"/>
      <c r="RUO73" s="371"/>
      <c r="RUP73" s="371"/>
      <c r="RUQ73" s="371"/>
      <c r="RUR73" s="371"/>
      <c r="RUS73" s="371"/>
      <c r="RUT73" s="371"/>
      <c r="RUU73" s="371"/>
      <c r="RUV73" s="371"/>
      <c r="RUW73" s="371"/>
      <c r="RUX73" s="371"/>
      <c r="RUY73" s="371"/>
      <c r="RUZ73" s="371"/>
      <c r="RVA73" s="371"/>
      <c r="RVB73" s="371"/>
      <c r="RVC73" s="371"/>
      <c r="RVD73" s="371"/>
      <c r="RVE73" s="371"/>
      <c r="RVF73" s="371"/>
      <c r="RVG73" s="371"/>
      <c r="RVH73" s="371"/>
      <c r="RVI73" s="371"/>
      <c r="RVJ73" s="371"/>
      <c r="RVK73" s="382"/>
      <c r="RVO73" s="371"/>
      <c r="RVP73" s="371"/>
      <c r="RVQ73" s="371"/>
      <c r="RVR73" s="371"/>
      <c r="RVS73" s="371"/>
      <c r="RVT73" s="371"/>
      <c r="RVU73" s="371"/>
      <c r="RVV73" s="371"/>
      <c r="RVW73" s="371"/>
      <c r="RVX73" s="371"/>
      <c r="RVY73" s="371"/>
      <c r="RVZ73" s="371"/>
      <c r="RWA73" s="371"/>
      <c r="RWB73" s="371"/>
      <c r="RWC73" s="371"/>
      <c r="RWD73" s="371"/>
      <c r="RWE73" s="371"/>
      <c r="RWF73" s="371"/>
      <c r="RWG73" s="371"/>
      <c r="RWH73" s="371"/>
      <c r="RWI73" s="371"/>
      <c r="RWJ73" s="371"/>
      <c r="RWK73" s="371"/>
      <c r="RWL73" s="371"/>
      <c r="RWM73" s="371"/>
      <c r="RWN73" s="371"/>
      <c r="RWO73" s="382"/>
      <c r="RWS73" s="371"/>
      <c r="RWT73" s="371"/>
      <c r="RWU73" s="371"/>
      <c r="RWV73" s="371"/>
      <c r="RWW73" s="371"/>
      <c r="RWX73" s="371"/>
      <c r="RWY73" s="371"/>
      <c r="RWZ73" s="371"/>
      <c r="RXA73" s="371"/>
      <c r="RXB73" s="371"/>
      <c r="RXC73" s="371"/>
      <c r="RXD73" s="371"/>
      <c r="RXE73" s="371"/>
      <c r="RXF73" s="371"/>
      <c r="RXG73" s="371"/>
      <c r="RXH73" s="371"/>
      <c r="RXI73" s="371"/>
      <c r="RXJ73" s="371"/>
      <c r="RXK73" s="371"/>
      <c r="RXL73" s="371"/>
      <c r="RXM73" s="371"/>
      <c r="RXN73" s="371"/>
      <c r="RXO73" s="371"/>
      <c r="RXP73" s="371"/>
      <c r="RXQ73" s="371"/>
      <c r="RXR73" s="371"/>
      <c r="RXS73" s="382"/>
      <c r="RXW73" s="371"/>
      <c r="RXX73" s="371"/>
      <c r="RXY73" s="371"/>
      <c r="RXZ73" s="371"/>
      <c r="RYA73" s="371"/>
      <c r="RYB73" s="371"/>
      <c r="RYC73" s="371"/>
      <c r="RYD73" s="371"/>
      <c r="RYE73" s="371"/>
      <c r="RYF73" s="371"/>
      <c r="RYG73" s="371"/>
      <c r="RYH73" s="371"/>
      <c r="RYI73" s="371"/>
      <c r="RYJ73" s="371"/>
      <c r="RYK73" s="371"/>
      <c r="RYL73" s="371"/>
      <c r="RYM73" s="371"/>
      <c r="RYN73" s="371"/>
      <c r="RYO73" s="371"/>
      <c r="RYP73" s="371"/>
      <c r="RYQ73" s="371"/>
      <c r="RYR73" s="371"/>
      <c r="RYS73" s="371"/>
      <c r="RYT73" s="371"/>
      <c r="RYU73" s="371"/>
      <c r="RYV73" s="371"/>
      <c r="RYW73" s="382"/>
      <c r="RZA73" s="371"/>
      <c r="RZB73" s="371"/>
      <c r="RZC73" s="371"/>
      <c r="RZD73" s="371"/>
      <c r="RZE73" s="371"/>
      <c r="RZF73" s="371"/>
      <c r="RZG73" s="371"/>
      <c r="RZH73" s="371"/>
      <c r="RZI73" s="371"/>
      <c r="RZJ73" s="371"/>
      <c r="RZK73" s="371"/>
      <c r="RZL73" s="371"/>
      <c r="RZM73" s="371"/>
      <c r="RZN73" s="371"/>
      <c r="RZO73" s="371"/>
      <c r="RZP73" s="371"/>
      <c r="RZQ73" s="371"/>
      <c r="RZR73" s="371"/>
      <c r="RZS73" s="371"/>
      <c r="RZT73" s="371"/>
      <c r="RZU73" s="371"/>
      <c r="RZV73" s="371"/>
      <c r="RZW73" s="371"/>
      <c r="RZX73" s="371"/>
      <c r="RZY73" s="371"/>
      <c r="RZZ73" s="371"/>
      <c r="SAA73" s="382"/>
      <c r="SAE73" s="371"/>
      <c r="SAF73" s="371"/>
      <c r="SAG73" s="371"/>
      <c r="SAH73" s="371"/>
      <c r="SAI73" s="371"/>
      <c r="SAJ73" s="371"/>
      <c r="SAK73" s="371"/>
      <c r="SAL73" s="371"/>
      <c r="SAM73" s="371"/>
      <c r="SAN73" s="371"/>
      <c r="SAO73" s="371"/>
      <c r="SAP73" s="371"/>
      <c r="SAQ73" s="371"/>
      <c r="SAR73" s="371"/>
      <c r="SAS73" s="371"/>
      <c r="SAT73" s="371"/>
      <c r="SAU73" s="371"/>
      <c r="SAV73" s="371"/>
      <c r="SAW73" s="371"/>
      <c r="SAX73" s="371"/>
      <c r="SAY73" s="371"/>
      <c r="SAZ73" s="371"/>
      <c r="SBA73" s="371"/>
      <c r="SBB73" s="371"/>
      <c r="SBC73" s="371"/>
      <c r="SBD73" s="371"/>
      <c r="SBE73" s="382"/>
      <c r="SBI73" s="371"/>
      <c r="SBJ73" s="371"/>
      <c r="SBK73" s="371"/>
      <c r="SBL73" s="371"/>
      <c r="SBM73" s="371"/>
      <c r="SBN73" s="371"/>
      <c r="SBO73" s="371"/>
      <c r="SBP73" s="371"/>
      <c r="SBQ73" s="371"/>
      <c r="SBR73" s="371"/>
      <c r="SBS73" s="371"/>
      <c r="SBT73" s="371"/>
      <c r="SBU73" s="371"/>
      <c r="SBV73" s="371"/>
      <c r="SBW73" s="371"/>
      <c r="SBX73" s="371"/>
      <c r="SBY73" s="371"/>
      <c r="SBZ73" s="371"/>
      <c r="SCA73" s="371"/>
      <c r="SCB73" s="371"/>
      <c r="SCC73" s="371"/>
      <c r="SCD73" s="371"/>
      <c r="SCE73" s="371"/>
      <c r="SCF73" s="371"/>
      <c r="SCG73" s="371"/>
      <c r="SCH73" s="371"/>
      <c r="SCI73" s="382"/>
      <c r="SCM73" s="371"/>
      <c r="SCN73" s="371"/>
      <c r="SCO73" s="371"/>
      <c r="SCP73" s="371"/>
      <c r="SCQ73" s="371"/>
      <c r="SCR73" s="371"/>
      <c r="SCS73" s="371"/>
      <c r="SCT73" s="371"/>
      <c r="SCU73" s="371"/>
      <c r="SCV73" s="371"/>
      <c r="SCW73" s="371"/>
      <c r="SCX73" s="371"/>
      <c r="SCY73" s="371"/>
      <c r="SCZ73" s="371"/>
      <c r="SDA73" s="371"/>
      <c r="SDB73" s="371"/>
      <c r="SDC73" s="371"/>
      <c r="SDD73" s="371"/>
      <c r="SDE73" s="371"/>
      <c r="SDF73" s="371"/>
      <c r="SDG73" s="371"/>
      <c r="SDH73" s="371"/>
      <c r="SDI73" s="371"/>
      <c r="SDJ73" s="371"/>
      <c r="SDK73" s="371"/>
      <c r="SDL73" s="371"/>
      <c r="SDM73" s="382"/>
      <c r="SDQ73" s="371"/>
      <c r="SDR73" s="371"/>
      <c r="SDS73" s="371"/>
      <c r="SDT73" s="371"/>
      <c r="SDU73" s="371"/>
      <c r="SDV73" s="371"/>
      <c r="SDW73" s="371"/>
      <c r="SDX73" s="371"/>
      <c r="SDY73" s="371"/>
      <c r="SDZ73" s="371"/>
      <c r="SEA73" s="371"/>
      <c r="SEB73" s="371"/>
      <c r="SEC73" s="371"/>
      <c r="SED73" s="371"/>
      <c r="SEE73" s="371"/>
      <c r="SEF73" s="371"/>
      <c r="SEG73" s="371"/>
      <c r="SEH73" s="371"/>
      <c r="SEI73" s="371"/>
      <c r="SEJ73" s="371"/>
      <c r="SEK73" s="371"/>
      <c r="SEL73" s="371"/>
      <c r="SEM73" s="371"/>
      <c r="SEN73" s="371"/>
      <c r="SEO73" s="371"/>
      <c r="SEP73" s="371"/>
      <c r="SEQ73" s="382"/>
      <c r="SEU73" s="371"/>
      <c r="SEV73" s="371"/>
      <c r="SEW73" s="371"/>
      <c r="SEX73" s="371"/>
      <c r="SEY73" s="371"/>
      <c r="SEZ73" s="371"/>
      <c r="SFA73" s="371"/>
      <c r="SFB73" s="371"/>
      <c r="SFC73" s="371"/>
      <c r="SFD73" s="371"/>
      <c r="SFE73" s="371"/>
      <c r="SFF73" s="371"/>
      <c r="SFG73" s="371"/>
      <c r="SFH73" s="371"/>
      <c r="SFI73" s="371"/>
      <c r="SFJ73" s="371"/>
      <c r="SFK73" s="371"/>
      <c r="SFL73" s="371"/>
      <c r="SFM73" s="371"/>
      <c r="SFN73" s="371"/>
      <c r="SFO73" s="371"/>
      <c r="SFP73" s="371"/>
      <c r="SFQ73" s="371"/>
      <c r="SFR73" s="371"/>
      <c r="SFS73" s="371"/>
      <c r="SFT73" s="371"/>
      <c r="SFU73" s="382"/>
      <c r="SFY73" s="371"/>
      <c r="SFZ73" s="371"/>
      <c r="SGA73" s="371"/>
      <c r="SGB73" s="371"/>
      <c r="SGC73" s="371"/>
      <c r="SGD73" s="371"/>
      <c r="SGE73" s="371"/>
      <c r="SGF73" s="371"/>
      <c r="SGG73" s="371"/>
      <c r="SGH73" s="371"/>
      <c r="SGI73" s="371"/>
      <c r="SGJ73" s="371"/>
      <c r="SGK73" s="371"/>
      <c r="SGL73" s="371"/>
      <c r="SGM73" s="371"/>
      <c r="SGN73" s="371"/>
      <c r="SGO73" s="371"/>
      <c r="SGP73" s="371"/>
      <c r="SGQ73" s="371"/>
      <c r="SGR73" s="371"/>
      <c r="SGS73" s="371"/>
      <c r="SGT73" s="371"/>
      <c r="SGU73" s="371"/>
      <c r="SGV73" s="371"/>
      <c r="SGW73" s="371"/>
      <c r="SGX73" s="371"/>
      <c r="SGY73" s="382"/>
      <c r="SHC73" s="371"/>
      <c r="SHD73" s="371"/>
      <c r="SHE73" s="371"/>
      <c r="SHF73" s="371"/>
      <c r="SHG73" s="371"/>
      <c r="SHH73" s="371"/>
      <c r="SHI73" s="371"/>
      <c r="SHJ73" s="371"/>
      <c r="SHK73" s="371"/>
      <c r="SHL73" s="371"/>
      <c r="SHM73" s="371"/>
      <c r="SHN73" s="371"/>
      <c r="SHO73" s="371"/>
      <c r="SHP73" s="371"/>
      <c r="SHQ73" s="371"/>
      <c r="SHR73" s="371"/>
      <c r="SHS73" s="371"/>
      <c r="SHT73" s="371"/>
      <c r="SHU73" s="371"/>
      <c r="SHV73" s="371"/>
      <c r="SHW73" s="371"/>
      <c r="SHX73" s="371"/>
      <c r="SHY73" s="371"/>
      <c r="SHZ73" s="371"/>
      <c r="SIA73" s="371"/>
      <c r="SIB73" s="371"/>
      <c r="SIC73" s="382"/>
      <c r="SIG73" s="371"/>
      <c r="SIH73" s="371"/>
      <c r="SII73" s="371"/>
      <c r="SIJ73" s="371"/>
      <c r="SIK73" s="371"/>
      <c r="SIL73" s="371"/>
      <c r="SIM73" s="371"/>
      <c r="SIN73" s="371"/>
      <c r="SIO73" s="371"/>
      <c r="SIP73" s="371"/>
      <c r="SIQ73" s="371"/>
      <c r="SIR73" s="371"/>
      <c r="SIS73" s="371"/>
      <c r="SIT73" s="371"/>
      <c r="SIU73" s="371"/>
      <c r="SIV73" s="371"/>
      <c r="SIW73" s="371"/>
      <c r="SIX73" s="371"/>
      <c r="SIY73" s="371"/>
      <c r="SIZ73" s="371"/>
      <c r="SJA73" s="371"/>
      <c r="SJB73" s="371"/>
      <c r="SJC73" s="371"/>
      <c r="SJD73" s="371"/>
      <c r="SJE73" s="371"/>
      <c r="SJF73" s="371"/>
      <c r="SJG73" s="382"/>
      <c r="SJK73" s="371"/>
      <c r="SJL73" s="371"/>
      <c r="SJM73" s="371"/>
      <c r="SJN73" s="371"/>
      <c r="SJO73" s="371"/>
      <c r="SJP73" s="371"/>
      <c r="SJQ73" s="371"/>
      <c r="SJR73" s="371"/>
      <c r="SJS73" s="371"/>
      <c r="SJT73" s="371"/>
      <c r="SJU73" s="371"/>
      <c r="SJV73" s="371"/>
      <c r="SJW73" s="371"/>
      <c r="SJX73" s="371"/>
      <c r="SJY73" s="371"/>
      <c r="SJZ73" s="371"/>
      <c r="SKA73" s="371"/>
      <c r="SKB73" s="371"/>
      <c r="SKC73" s="371"/>
      <c r="SKD73" s="371"/>
      <c r="SKE73" s="371"/>
      <c r="SKF73" s="371"/>
      <c r="SKG73" s="371"/>
      <c r="SKH73" s="371"/>
      <c r="SKI73" s="371"/>
      <c r="SKJ73" s="371"/>
      <c r="SKK73" s="382"/>
      <c r="SKO73" s="371"/>
      <c r="SKP73" s="371"/>
      <c r="SKQ73" s="371"/>
      <c r="SKR73" s="371"/>
      <c r="SKS73" s="371"/>
      <c r="SKT73" s="371"/>
      <c r="SKU73" s="371"/>
      <c r="SKV73" s="371"/>
      <c r="SKW73" s="371"/>
      <c r="SKX73" s="371"/>
      <c r="SKY73" s="371"/>
      <c r="SKZ73" s="371"/>
      <c r="SLA73" s="371"/>
      <c r="SLB73" s="371"/>
      <c r="SLC73" s="371"/>
      <c r="SLD73" s="371"/>
      <c r="SLE73" s="371"/>
      <c r="SLF73" s="371"/>
      <c r="SLG73" s="371"/>
      <c r="SLH73" s="371"/>
      <c r="SLI73" s="371"/>
      <c r="SLJ73" s="371"/>
      <c r="SLK73" s="371"/>
      <c r="SLL73" s="371"/>
      <c r="SLM73" s="371"/>
      <c r="SLN73" s="371"/>
      <c r="SLO73" s="382"/>
      <c r="SLS73" s="371"/>
      <c r="SLT73" s="371"/>
      <c r="SLU73" s="371"/>
      <c r="SLV73" s="371"/>
      <c r="SLW73" s="371"/>
      <c r="SLX73" s="371"/>
      <c r="SLY73" s="371"/>
      <c r="SLZ73" s="371"/>
      <c r="SMA73" s="371"/>
      <c r="SMB73" s="371"/>
      <c r="SMC73" s="371"/>
      <c r="SMD73" s="371"/>
      <c r="SME73" s="371"/>
      <c r="SMF73" s="371"/>
      <c r="SMG73" s="371"/>
      <c r="SMH73" s="371"/>
      <c r="SMI73" s="371"/>
      <c r="SMJ73" s="371"/>
      <c r="SMK73" s="371"/>
      <c r="SML73" s="371"/>
      <c r="SMM73" s="371"/>
      <c r="SMN73" s="371"/>
      <c r="SMO73" s="371"/>
      <c r="SMP73" s="371"/>
      <c r="SMQ73" s="371"/>
      <c r="SMR73" s="371"/>
      <c r="SMS73" s="382"/>
      <c r="SMW73" s="371"/>
      <c r="SMX73" s="371"/>
      <c r="SMY73" s="371"/>
      <c r="SMZ73" s="371"/>
      <c r="SNA73" s="371"/>
      <c r="SNB73" s="371"/>
      <c r="SNC73" s="371"/>
      <c r="SND73" s="371"/>
      <c r="SNE73" s="371"/>
      <c r="SNF73" s="371"/>
      <c r="SNG73" s="371"/>
      <c r="SNH73" s="371"/>
      <c r="SNI73" s="371"/>
      <c r="SNJ73" s="371"/>
      <c r="SNK73" s="371"/>
      <c r="SNL73" s="371"/>
      <c r="SNM73" s="371"/>
      <c r="SNN73" s="371"/>
      <c r="SNO73" s="371"/>
      <c r="SNP73" s="371"/>
      <c r="SNQ73" s="371"/>
      <c r="SNR73" s="371"/>
      <c r="SNS73" s="371"/>
      <c r="SNT73" s="371"/>
      <c r="SNU73" s="371"/>
      <c r="SNV73" s="371"/>
      <c r="SNW73" s="382"/>
      <c r="SOA73" s="371"/>
      <c r="SOB73" s="371"/>
      <c r="SOC73" s="371"/>
      <c r="SOD73" s="371"/>
      <c r="SOE73" s="371"/>
      <c r="SOF73" s="371"/>
      <c r="SOG73" s="371"/>
      <c r="SOH73" s="371"/>
      <c r="SOI73" s="371"/>
      <c r="SOJ73" s="371"/>
      <c r="SOK73" s="371"/>
      <c r="SOL73" s="371"/>
      <c r="SOM73" s="371"/>
      <c r="SON73" s="371"/>
      <c r="SOO73" s="371"/>
      <c r="SOP73" s="371"/>
      <c r="SOQ73" s="371"/>
      <c r="SOR73" s="371"/>
      <c r="SOS73" s="371"/>
      <c r="SOT73" s="371"/>
      <c r="SOU73" s="371"/>
      <c r="SOV73" s="371"/>
      <c r="SOW73" s="371"/>
      <c r="SOX73" s="371"/>
      <c r="SOY73" s="371"/>
      <c r="SOZ73" s="371"/>
      <c r="SPA73" s="382"/>
      <c r="SPE73" s="371"/>
      <c r="SPF73" s="371"/>
      <c r="SPG73" s="371"/>
      <c r="SPH73" s="371"/>
      <c r="SPI73" s="371"/>
      <c r="SPJ73" s="371"/>
      <c r="SPK73" s="371"/>
      <c r="SPL73" s="371"/>
      <c r="SPM73" s="371"/>
      <c r="SPN73" s="371"/>
      <c r="SPO73" s="371"/>
      <c r="SPP73" s="371"/>
      <c r="SPQ73" s="371"/>
      <c r="SPR73" s="371"/>
      <c r="SPS73" s="371"/>
      <c r="SPT73" s="371"/>
      <c r="SPU73" s="371"/>
      <c r="SPV73" s="371"/>
      <c r="SPW73" s="371"/>
      <c r="SPX73" s="371"/>
      <c r="SPY73" s="371"/>
      <c r="SPZ73" s="371"/>
      <c r="SQA73" s="371"/>
      <c r="SQB73" s="371"/>
      <c r="SQC73" s="371"/>
      <c r="SQD73" s="371"/>
      <c r="SQE73" s="382"/>
      <c r="SQI73" s="371"/>
      <c r="SQJ73" s="371"/>
      <c r="SQK73" s="371"/>
      <c r="SQL73" s="371"/>
      <c r="SQM73" s="371"/>
      <c r="SQN73" s="371"/>
      <c r="SQO73" s="371"/>
      <c r="SQP73" s="371"/>
      <c r="SQQ73" s="371"/>
      <c r="SQR73" s="371"/>
      <c r="SQS73" s="371"/>
      <c r="SQT73" s="371"/>
      <c r="SQU73" s="371"/>
      <c r="SQV73" s="371"/>
      <c r="SQW73" s="371"/>
      <c r="SQX73" s="371"/>
      <c r="SQY73" s="371"/>
      <c r="SQZ73" s="371"/>
      <c r="SRA73" s="371"/>
      <c r="SRB73" s="371"/>
      <c r="SRC73" s="371"/>
      <c r="SRD73" s="371"/>
      <c r="SRE73" s="371"/>
      <c r="SRF73" s="371"/>
      <c r="SRG73" s="371"/>
      <c r="SRH73" s="371"/>
      <c r="SRI73" s="382"/>
      <c r="SRM73" s="371"/>
      <c r="SRN73" s="371"/>
      <c r="SRO73" s="371"/>
      <c r="SRP73" s="371"/>
      <c r="SRQ73" s="371"/>
      <c r="SRR73" s="371"/>
      <c r="SRS73" s="371"/>
      <c r="SRT73" s="371"/>
      <c r="SRU73" s="371"/>
      <c r="SRV73" s="371"/>
      <c r="SRW73" s="371"/>
      <c r="SRX73" s="371"/>
      <c r="SRY73" s="371"/>
      <c r="SRZ73" s="371"/>
      <c r="SSA73" s="371"/>
      <c r="SSB73" s="371"/>
      <c r="SSC73" s="371"/>
      <c r="SSD73" s="371"/>
      <c r="SSE73" s="371"/>
      <c r="SSF73" s="371"/>
      <c r="SSG73" s="371"/>
      <c r="SSH73" s="371"/>
      <c r="SSI73" s="371"/>
      <c r="SSJ73" s="371"/>
      <c r="SSK73" s="371"/>
      <c r="SSL73" s="371"/>
      <c r="SSM73" s="382"/>
      <c r="SSQ73" s="371"/>
      <c r="SSR73" s="371"/>
      <c r="SSS73" s="371"/>
      <c r="SST73" s="371"/>
      <c r="SSU73" s="371"/>
      <c r="SSV73" s="371"/>
      <c r="SSW73" s="371"/>
      <c r="SSX73" s="371"/>
      <c r="SSY73" s="371"/>
      <c r="SSZ73" s="371"/>
      <c r="STA73" s="371"/>
      <c r="STB73" s="371"/>
      <c r="STC73" s="371"/>
      <c r="STD73" s="371"/>
      <c r="STE73" s="371"/>
      <c r="STF73" s="371"/>
      <c r="STG73" s="371"/>
      <c r="STH73" s="371"/>
      <c r="STI73" s="371"/>
      <c r="STJ73" s="371"/>
      <c r="STK73" s="371"/>
      <c r="STL73" s="371"/>
      <c r="STM73" s="371"/>
      <c r="STN73" s="371"/>
      <c r="STO73" s="371"/>
      <c r="STP73" s="371"/>
      <c r="STQ73" s="382"/>
      <c r="STU73" s="371"/>
      <c r="STV73" s="371"/>
      <c r="STW73" s="371"/>
      <c r="STX73" s="371"/>
      <c r="STY73" s="371"/>
      <c r="STZ73" s="371"/>
      <c r="SUA73" s="371"/>
      <c r="SUB73" s="371"/>
      <c r="SUC73" s="371"/>
      <c r="SUD73" s="371"/>
      <c r="SUE73" s="371"/>
      <c r="SUF73" s="371"/>
      <c r="SUG73" s="371"/>
      <c r="SUH73" s="371"/>
      <c r="SUI73" s="371"/>
      <c r="SUJ73" s="371"/>
      <c r="SUK73" s="371"/>
      <c r="SUL73" s="371"/>
      <c r="SUM73" s="371"/>
      <c r="SUN73" s="371"/>
      <c r="SUO73" s="371"/>
      <c r="SUP73" s="371"/>
      <c r="SUQ73" s="371"/>
      <c r="SUR73" s="371"/>
      <c r="SUS73" s="371"/>
      <c r="SUT73" s="371"/>
      <c r="SUU73" s="382"/>
      <c r="SUY73" s="371"/>
      <c r="SUZ73" s="371"/>
      <c r="SVA73" s="371"/>
      <c r="SVB73" s="371"/>
      <c r="SVC73" s="371"/>
      <c r="SVD73" s="371"/>
      <c r="SVE73" s="371"/>
      <c r="SVF73" s="371"/>
      <c r="SVG73" s="371"/>
      <c r="SVH73" s="371"/>
      <c r="SVI73" s="371"/>
      <c r="SVJ73" s="371"/>
      <c r="SVK73" s="371"/>
      <c r="SVL73" s="371"/>
      <c r="SVM73" s="371"/>
      <c r="SVN73" s="371"/>
      <c r="SVO73" s="371"/>
      <c r="SVP73" s="371"/>
      <c r="SVQ73" s="371"/>
      <c r="SVR73" s="371"/>
      <c r="SVS73" s="371"/>
      <c r="SVT73" s="371"/>
      <c r="SVU73" s="371"/>
      <c r="SVV73" s="371"/>
      <c r="SVW73" s="371"/>
      <c r="SVX73" s="371"/>
      <c r="SVY73" s="382"/>
      <c r="SWC73" s="371"/>
      <c r="SWD73" s="371"/>
      <c r="SWE73" s="371"/>
      <c r="SWF73" s="371"/>
      <c r="SWG73" s="371"/>
      <c r="SWH73" s="371"/>
      <c r="SWI73" s="371"/>
      <c r="SWJ73" s="371"/>
      <c r="SWK73" s="371"/>
      <c r="SWL73" s="371"/>
      <c r="SWM73" s="371"/>
      <c r="SWN73" s="371"/>
      <c r="SWO73" s="371"/>
      <c r="SWP73" s="371"/>
      <c r="SWQ73" s="371"/>
      <c r="SWR73" s="371"/>
      <c r="SWS73" s="371"/>
      <c r="SWT73" s="371"/>
      <c r="SWU73" s="371"/>
      <c r="SWV73" s="371"/>
      <c r="SWW73" s="371"/>
      <c r="SWX73" s="371"/>
      <c r="SWY73" s="371"/>
      <c r="SWZ73" s="371"/>
      <c r="SXA73" s="371"/>
      <c r="SXB73" s="371"/>
      <c r="SXC73" s="382"/>
      <c r="SXG73" s="371"/>
      <c r="SXH73" s="371"/>
      <c r="SXI73" s="371"/>
      <c r="SXJ73" s="371"/>
      <c r="SXK73" s="371"/>
      <c r="SXL73" s="371"/>
      <c r="SXM73" s="371"/>
      <c r="SXN73" s="371"/>
      <c r="SXO73" s="371"/>
      <c r="SXP73" s="371"/>
      <c r="SXQ73" s="371"/>
      <c r="SXR73" s="371"/>
      <c r="SXS73" s="371"/>
      <c r="SXT73" s="371"/>
      <c r="SXU73" s="371"/>
      <c r="SXV73" s="371"/>
      <c r="SXW73" s="371"/>
      <c r="SXX73" s="371"/>
      <c r="SXY73" s="371"/>
      <c r="SXZ73" s="371"/>
      <c r="SYA73" s="371"/>
      <c r="SYB73" s="371"/>
      <c r="SYC73" s="371"/>
      <c r="SYD73" s="371"/>
      <c r="SYE73" s="371"/>
      <c r="SYF73" s="371"/>
      <c r="SYG73" s="382"/>
      <c r="SYK73" s="371"/>
      <c r="SYL73" s="371"/>
      <c r="SYM73" s="371"/>
      <c r="SYN73" s="371"/>
      <c r="SYO73" s="371"/>
      <c r="SYP73" s="371"/>
      <c r="SYQ73" s="371"/>
      <c r="SYR73" s="371"/>
      <c r="SYS73" s="371"/>
      <c r="SYT73" s="371"/>
      <c r="SYU73" s="371"/>
      <c r="SYV73" s="371"/>
      <c r="SYW73" s="371"/>
      <c r="SYX73" s="371"/>
      <c r="SYY73" s="371"/>
      <c r="SYZ73" s="371"/>
      <c r="SZA73" s="371"/>
      <c r="SZB73" s="371"/>
      <c r="SZC73" s="371"/>
      <c r="SZD73" s="371"/>
      <c r="SZE73" s="371"/>
      <c r="SZF73" s="371"/>
      <c r="SZG73" s="371"/>
      <c r="SZH73" s="371"/>
      <c r="SZI73" s="371"/>
      <c r="SZJ73" s="371"/>
      <c r="SZK73" s="382"/>
      <c r="SZO73" s="371"/>
      <c r="SZP73" s="371"/>
      <c r="SZQ73" s="371"/>
      <c r="SZR73" s="371"/>
      <c r="SZS73" s="371"/>
      <c r="SZT73" s="371"/>
      <c r="SZU73" s="371"/>
      <c r="SZV73" s="371"/>
      <c r="SZW73" s="371"/>
      <c r="SZX73" s="371"/>
      <c r="SZY73" s="371"/>
      <c r="SZZ73" s="371"/>
      <c r="TAA73" s="371"/>
      <c r="TAB73" s="371"/>
      <c r="TAC73" s="371"/>
      <c r="TAD73" s="371"/>
      <c r="TAE73" s="371"/>
      <c r="TAF73" s="371"/>
      <c r="TAG73" s="371"/>
      <c r="TAH73" s="371"/>
      <c r="TAI73" s="371"/>
      <c r="TAJ73" s="371"/>
      <c r="TAK73" s="371"/>
      <c r="TAL73" s="371"/>
      <c r="TAM73" s="371"/>
      <c r="TAN73" s="371"/>
      <c r="TAO73" s="382"/>
      <c r="TAS73" s="371"/>
      <c r="TAT73" s="371"/>
      <c r="TAU73" s="371"/>
      <c r="TAV73" s="371"/>
      <c r="TAW73" s="371"/>
      <c r="TAX73" s="371"/>
      <c r="TAY73" s="371"/>
      <c r="TAZ73" s="371"/>
      <c r="TBA73" s="371"/>
      <c r="TBB73" s="371"/>
      <c r="TBC73" s="371"/>
      <c r="TBD73" s="371"/>
      <c r="TBE73" s="371"/>
      <c r="TBF73" s="371"/>
      <c r="TBG73" s="371"/>
      <c r="TBH73" s="371"/>
      <c r="TBI73" s="371"/>
      <c r="TBJ73" s="371"/>
      <c r="TBK73" s="371"/>
      <c r="TBL73" s="371"/>
      <c r="TBM73" s="371"/>
      <c r="TBN73" s="371"/>
      <c r="TBO73" s="371"/>
      <c r="TBP73" s="371"/>
      <c r="TBQ73" s="371"/>
      <c r="TBR73" s="371"/>
      <c r="TBS73" s="382"/>
      <c r="TBW73" s="371"/>
      <c r="TBX73" s="371"/>
      <c r="TBY73" s="371"/>
      <c r="TBZ73" s="371"/>
      <c r="TCA73" s="371"/>
      <c r="TCB73" s="371"/>
      <c r="TCC73" s="371"/>
      <c r="TCD73" s="371"/>
      <c r="TCE73" s="371"/>
      <c r="TCF73" s="371"/>
      <c r="TCG73" s="371"/>
      <c r="TCH73" s="371"/>
      <c r="TCI73" s="371"/>
      <c r="TCJ73" s="371"/>
      <c r="TCK73" s="371"/>
      <c r="TCL73" s="371"/>
      <c r="TCM73" s="371"/>
      <c r="TCN73" s="371"/>
      <c r="TCO73" s="371"/>
      <c r="TCP73" s="371"/>
      <c r="TCQ73" s="371"/>
      <c r="TCR73" s="371"/>
      <c r="TCS73" s="371"/>
      <c r="TCT73" s="371"/>
      <c r="TCU73" s="371"/>
      <c r="TCV73" s="371"/>
      <c r="TCW73" s="382"/>
      <c r="TDA73" s="371"/>
      <c r="TDB73" s="371"/>
      <c r="TDC73" s="371"/>
      <c r="TDD73" s="371"/>
      <c r="TDE73" s="371"/>
      <c r="TDF73" s="371"/>
      <c r="TDG73" s="371"/>
      <c r="TDH73" s="371"/>
      <c r="TDI73" s="371"/>
      <c r="TDJ73" s="371"/>
      <c r="TDK73" s="371"/>
      <c r="TDL73" s="371"/>
      <c r="TDM73" s="371"/>
      <c r="TDN73" s="371"/>
      <c r="TDO73" s="371"/>
      <c r="TDP73" s="371"/>
      <c r="TDQ73" s="371"/>
      <c r="TDR73" s="371"/>
      <c r="TDS73" s="371"/>
      <c r="TDT73" s="371"/>
      <c r="TDU73" s="371"/>
      <c r="TDV73" s="371"/>
      <c r="TDW73" s="371"/>
      <c r="TDX73" s="371"/>
      <c r="TDY73" s="371"/>
      <c r="TDZ73" s="371"/>
      <c r="TEA73" s="382"/>
      <c r="TEE73" s="371"/>
      <c r="TEF73" s="371"/>
      <c r="TEG73" s="371"/>
      <c r="TEH73" s="371"/>
      <c r="TEI73" s="371"/>
      <c r="TEJ73" s="371"/>
      <c r="TEK73" s="371"/>
      <c r="TEL73" s="371"/>
      <c r="TEM73" s="371"/>
      <c r="TEN73" s="371"/>
      <c r="TEO73" s="371"/>
      <c r="TEP73" s="371"/>
      <c r="TEQ73" s="371"/>
      <c r="TER73" s="371"/>
      <c r="TES73" s="371"/>
      <c r="TET73" s="371"/>
      <c r="TEU73" s="371"/>
      <c r="TEV73" s="371"/>
      <c r="TEW73" s="371"/>
      <c r="TEX73" s="371"/>
      <c r="TEY73" s="371"/>
      <c r="TEZ73" s="371"/>
      <c r="TFA73" s="371"/>
      <c r="TFB73" s="371"/>
      <c r="TFC73" s="371"/>
      <c r="TFD73" s="371"/>
      <c r="TFE73" s="382"/>
      <c r="TFI73" s="371"/>
      <c r="TFJ73" s="371"/>
      <c r="TFK73" s="371"/>
      <c r="TFL73" s="371"/>
      <c r="TFM73" s="371"/>
      <c r="TFN73" s="371"/>
      <c r="TFO73" s="371"/>
      <c r="TFP73" s="371"/>
      <c r="TFQ73" s="371"/>
      <c r="TFR73" s="371"/>
      <c r="TFS73" s="371"/>
      <c r="TFT73" s="371"/>
      <c r="TFU73" s="371"/>
      <c r="TFV73" s="371"/>
      <c r="TFW73" s="371"/>
      <c r="TFX73" s="371"/>
      <c r="TFY73" s="371"/>
      <c r="TFZ73" s="371"/>
      <c r="TGA73" s="371"/>
      <c r="TGB73" s="371"/>
      <c r="TGC73" s="371"/>
      <c r="TGD73" s="371"/>
      <c r="TGE73" s="371"/>
      <c r="TGF73" s="371"/>
      <c r="TGG73" s="371"/>
      <c r="TGH73" s="371"/>
      <c r="TGI73" s="382"/>
      <c r="TGM73" s="371"/>
      <c r="TGN73" s="371"/>
      <c r="TGO73" s="371"/>
      <c r="TGP73" s="371"/>
      <c r="TGQ73" s="371"/>
      <c r="TGR73" s="371"/>
      <c r="TGS73" s="371"/>
      <c r="TGT73" s="371"/>
      <c r="TGU73" s="371"/>
      <c r="TGV73" s="371"/>
      <c r="TGW73" s="371"/>
      <c r="TGX73" s="371"/>
      <c r="TGY73" s="371"/>
      <c r="TGZ73" s="371"/>
      <c r="THA73" s="371"/>
      <c r="THB73" s="371"/>
      <c r="THC73" s="371"/>
      <c r="THD73" s="371"/>
      <c r="THE73" s="371"/>
      <c r="THF73" s="371"/>
      <c r="THG73" s="371"/>
      <c r="THH73" s="371"/>
      <c r="THI73" s="371"/>
      <c r="THJ73" s="371"/>
      <c r="THK73" s="371"/>
      <c r="THL73" s="371"/>
      <c r="THM73" s="382"/>
      <c r="THQ73" s="371"/>
      <c r="THR73" s="371"/>
      <c r="THS73" s="371"/>
      <c r="THT73" s="371"/>
      <c r="THU73" s="371"/>
      <c r="THV73" s="371"/>
      <c r="THW73" s="371"/>
      <c r="THX73" s="371"/>
      <c r="THY73" s="371"/>
      <c r="THZ73" s="371"/>
      <c r="TIA73" s="371"/>
      <c r="TIB73" s="371"/>
      <c r="TIC73" s="371"/>
      <c r="TID73" s="371"/>
      <c r="TIE73" s="371"/>
      <c r="TIF73" s="371"/>
      <c r="TIG73" s="371"/>
      <c r="TIH73" s="371"/>
      <c r="TII73" s="371"/>
      <c r="TIJ73" s="371"/>
      <c r="TIK73" s="371"/>
      <c r="TIL73" s="371"/>
      <c r="TIM73" s="371"/>
      <c r="TIN73" s="371"/>
      <c r="TIO73" s="371"/>
      <c r="TIP73" s="371"/>
      <c r="TIQ73" s="382"/>
      <c r="TIU73" s="371"/>
      <c r="TIV73" s="371"/>
      <c r="TIW73" s="371"/>
      <c r="TIX73" s="371"/>
      <c r="TIY73" s="371"/>
      <c r="TIZ73" s="371"/>
      <c r="TJA73" s="371"/>
      <c r="TJB73" s="371"/>
      <c r="TJC73" s="371"/>
      <c r="TJD73" s="371"/>
      <c r="TJE73" s="371"/>
      <c r="TJF73" s="371"/>
      <c r="TJG73" s="371"/>
      <c r="TJH73" s="371"/>
      <c r="TJI73" s="371"/>
      <c r="TJJ73" s="371"/>
      <c r="TJK73" s="371"/>
      <c r="TJL73" s="371"/>
      <c r="TJM73" s="371"/>
      <c r="TJN73" s="371"/>
      <c r="TJO73" s="371"/>
      <c r="TJP73" s="371"/>
      <c r="TJQ73" s="371"/>
      <c r="TJR73" s="371"/>
      <c r="TJS73" s="371"/>
      <c r="TJT73" s="371"/>
      <c r="TJU73" s="382"/>
      <c r="TJY73" s="371"/>
      <c r="TJZ73" s="371"/>
      <c r="TKA73" s="371"/>
      <c r="TKB73" s="371"/>
      <c r="TKC73" s="371"/>
      <c r="TKD73" s="371"/>
      <c r="TKE73" s="371"/>
      <c r="TKF73" s="371"/>
      <c r="TKG73" s="371"/>
      <c r="TKH73" s="371"/>
      <c r="TKI73" s="371"/>
      <c r="TKJ73" s="371"/>
      <c r="TKK73" s="371"/>
      <c r="TKL73" s="371"/>
      <c r="TKM73" s="371"/>
      <c r="TKN73" s="371"/>
      <c r="TKO73" s="371"/>
      <c r="TKP73" s="371"/>
      <c r="TKQ73" s="371"/>
      <c r="TKR73" s="371"/>
      <c r="TKS73" s="371"/>
      <c r="TKT73" s="371"/>
      <c r="TKU73" s="371"/>
      <c r="TKV73" s="371"/>
      <c r="TKW73" s="371"/>
      <c r="TKX73" s="371"/>
      <c r="TKY73" s="382"/>
      <c r="TLC73" s="371"/>
      <c r="TLD73" s="371"/>
      <c r="TLE73" s="371"/>
      <c r="TLF73" s="371"/>
      <c r="TLG73" s="371"/>
      <c r="TLH73" s="371"/>
      <c r="TLI73" s="371"/>
      <c r="TLJ73" s="371"/>
      <c r="TLK73" s="371"/>
      <c r="TLL73" s="371"/>
      <c r="TLM73" s="371"/>
      <c r="TLN73" s="371"/>
      <c r="TLO73" s="371"/>
      <c r="TLP73" s="371"/>
      <c r="TLQ73" s="371"/>
      <c r="TLR73" s="371"/>
      <c r="TLS73" s="371"/>
      <c r="TLT73" s="371"/>
      <c r="TLU73" s="371"/>
      <c r="TLV73" s="371"/>
      <c r="TLW73" s="371"/>
      <c r="TLX73" s="371"/>
      <c r="TLY73" s="371"/>
      <c r="TLZ73" s="371"/>
      <c r="TMA73" s="371"/>
      <c r="TMB73" s="371"/>
      <c r="TMC73" s="382"/>
      <c r="TMG73" s="371"/>
      <c r="TMH73" s="371"/>
      <c r="TMI73" s="371"/>
      <c r="TMJ73" s="371"/>
      <c r="TMK73" s="371"/>
      <c r="TML73" s="371"/>
      <c r="TMM73" s="371"/>
      <c r="TMN73" s="371"/>
      <c r="TMO73" s="371"/>
      <c r="TMP73" s="371"/>
      <c r="TMQ73" s="371"/>
      <c r="TMR73" s="371"/>
      <c r="TMS73" s="371"/>
      <c r="TMT73" s="371"/>
      <c r="TMU73" s="371"/>
      <c r="TMV73" s="371"/>
      <c r="TMW73" s="371"/>
      <c r="TMX73" s="371"/>
      <c r="TMY73" s="371"/>
      <c r="TMZ73" s="371"/>
      <c r="TNA73" s="371"/>
      <c r="TNB73" s="371"/>
      <c r="TNC73" s="371"/>
      <c r="TND73" s="371"/>
      <c r="TNE73" s="371"/>
      <c r="TNF73" s="371"/>
      <c r="TNG73" s="382"/>
      <c r="TNK73" s="371"/>
      <c r="TNL73" s="371"/>
      <c r="TNM73" s="371"/>
      <c r="TNN73" s="371"/>
      <c r="TNO73" s="371"/>
      <c r="TNP73" s="371"/>
      <c r="TNQ73" s="371"/>
      <c r="TNR73" s="371"/>
      <c r="TNS73" s="371"/>
      <c r="TNT73" s="371"/>
      <c r="TNU73" s="371"/>
      <c r="TNV73" s="371"/>
      <c r="TNW73" s="371"/>
      <c r="TNX73" s="371"/>
      <c r="TNY73" s="371"/>
      <c r="TNZ73" s="371"/>
      <c r="TOA73" s="371"/>
      <c r="TOB73" s="371"/>
      <c r="TOC73" s="371"/>
      <c r="TOD73" s="371"/>
      <c r="TOE73" s="371"/>
      <c r="TOF73" s="371"/>
      <c r="TOG73" s="371"/>
      <c r="TOH73" s="371"/>
      <c r="TOI73" s="371"/>
      <c r="TOJ73" s="371"/>
      <c r="TOK73" s="382"/>
      <c r="TOO73" s="371"/>
      <c r="TOP73" s="371"/>
      <c r="TOQ73" s="371"/>
      <c r="TOR73" s="371"/>
      <c r="TOS73" s="371"/>
      <c r="TOT73" s="371"/>
      <c r="TOU73" s="371"/>
      <c r="TOV73" s="371"/>
      <c r="TOW73" s="371"/>
      <c r="TOX73" s="371"/>
      <c r="TOY73" s="371"/>
      <c r="TOZ73" s="371"/>
      <c r="TPA73" s="371"/>
      <c r="TPB73" s="371"/>
      <c r="TPC73" s="371"/>
      <c r="TPD73" s="371"/>
      <c r="TPE73" s="371"/>
      <c r="TPF73" s="371"/>
      <c r="TPG73" s="371"/>
      <c r="TPH73" s="371"/>
      <c r="TPI73" s="371"/>
      <c r="TPJ73" s="371"/>
      <c r="TPK73" s="371"/>
      <c r="TPL73" s="371"/>
      <c r="TPM73" s="371"/>
      <c r="TPN73" s="371"/>
      <c r="TPO73" s="382"/>
      <c r="TPS73" s="371"/>
      <c r="TPT73" s="371"/>
      <c r="TPU73" s="371"/>
      <c r="TPV73" s="371"/>
      <c r="TPW73" s="371"/>
      <c r="TPX73" s="371"/>
      <c r="TPY73" s="371"/>
      <c r="TPZ73" s="371"/>
      <c r="TQA73" s="371"/>
      <c r="TQB73" s="371"/>
      <c r="TQC73" s="371"/>
      <c r="TQD73" s="371"/>
      <c r="TQE73" s="371"/>
      <c r="TQF73" s="371"/>
      <c r="TQG73" s="371"/>
      <c r="TQH73" s="371"/>
      <c r="TQI73" s="371"/>
      <c r="TQJ73" s="371"/>
      <c r="TQK73" s="371"/>
      <c r="TQL73" s="371"/>
      <c r="TQM73" s="371"/>
      <c r="TQN73" s="371"/>
      <c r="TQO73" s="371"/>
      <c r="TQP73" s="371"/>
      <c r="TQQ73" s="371"/>
      <c r="TQR73" s="371"/>
      <c r="TQS73" s="382"/>
      <c r="TQW73" s="371"/>
      <c r="TQX73" s="371"/>
      <c r="TQY73" s="371"/>
      <c r="TQZ73" s="371"/>
      <c r="TRA73" s="371"/>
      <c r="TRB73" s="371"/>
      <c r="TRC73" s="371"/>
      <c r="TRD73" s="371"/>
      <c r="TRE73" s="371"/>
      <c r="TRF73" s="371"/>
      <c r="TRG73" s="371"/>
      <c r="TRH73" s="371"/>
      <c r="TRI73" s="371"/>
      <c r="TRJ73" s="371"/>
      <c r="TRK73" s="371"/>
      <c r="TRL73" s="371"/>
      <c r="TRM73" s="371"/>
      <c r="TRN73" s="371"/>
      <c r="TRO73" s="371"/>
      <c r="TRP73" s="371"/>
      <c r="TRQ73" s="371"/>
      <c r="TRR73" s="371"/>
      <c r="TRS73" s="371"/>
      <c r="TRT73" s="371"/>
      <c r="TRU73" s="371"/>
      <c r="TRV73" s="371"/>
      <c r="TRW73" s="382"/>
      <c r="TSA73" s="371"/>
      <c r="TSB73" s="371"/>
      <c r="TSC73" s="371"/>
      <c r="TSD73" s="371"/>
      <c r="TSE73" s="371"/>
      <c r="TSF73" s="371"/>
      <c r="TSG73" s="371"/>
      <c r="TSH73" s="371"/>
      <c r="TSI73" s="371"/>
      <c r="TSJ73" s="371"/>
      <c r="TSK73" s="371"/>
      <c r="TSL73" s="371"/>
      <c r="TSM73" s="371"/>
      <c r="TSN73" s="371"/>
      <c r="TSO73" s="371"/>
      <c r="TSP73" s="371"/>
      <c r="TSQ73" s="371"/>
      <c r="TSR73" s="371"/>
      <c r="TSS73" s="371"/>
      <c r="TST73" s="371"/>
      <c r="TSU73" s="371"/>
      <c r="TSV73" s="371"/>
      <c r="TSW73" s="371"/>
      <c r="TSX73" s="371"/>
      <c r="TSY73" s="371"/>
      <c r="TSZ73" s="371"/>
      <c r="TTA73" s="382"/>
      <c r="TTE73" s="371"/>
      <c r="TTF73" s="371"/>
      <c r="TTG73" s="371"/>
      <c r="TTH73" s="371"/>
      <c r="TTI73" s="371"/>
      <c r="TTJ73" s="371"/>
      <c r="TTK73" s="371"/>
      <c r="TTL73" s="371"/>
      <c r="TTM73" s="371"/>
      <c r="TTN73" s="371"/>
      <c r="TTO73" s="371"/>
      <c r="TTP73" s="371"/>
      <c r="TTQ73" s="371"/>
      <c r="TTR73" s="371"/>
      <c r="TTS73" s="371"/>
      <c r="TTT73" s="371"/>
      <c r="TTU73" s="371"/>
      <c r="TTV73" s="371"/>
      <c r="TTW73" s="371"/>
      <c r="TTX73" s="371"/>
      <c r="TTY73" s="371"/>
      <c r="TTZ73" s="371"/>
      <c r="TUA73" s="371"/>
      <c r="TUB73" s="371"/>
      <c r="TUC73" s="371"/>
      <c r="TUD73" s="371"/>
      <c r="TUE73" s="382"/>
      <c r="TUI73" s="371"/>
      <c r="TUJ73" s="371"/>
      <c r="TUK73" s="371"/>
      <c r="TUL73" s="371"/>
      <c r="TUM73" s="371"/>
      <c r="TUN73" s="371"/>
      <c r="TUO73" s="371"/>
      <c r="TUP73" s="371"/>
      <c r="TUQ73" s="371"/>
      <c r="TUR73" s="371"/>
      <c r="TUS73" s="371"/>
      <c r="TUT73" s="371"/>
      <c r="TUU73" s="371"/>
      <c r="TUV73" s="371"/>
      <c r="TUW73" s="371"/>
      <c r="TUX73" s="371"/>
      <c r="TUY73" s="371"/>
      <c r="TUZ73" s="371"/>
      <c r="TVA73" s="371"/>
      <c r="TVB73" s="371"/>
      <c r="TVC73" s="371"/>
      <c r="TVD73" s="371"/>
      <c r="TVE73" s="371"/>
      <c r="TVF73" s="371"/>
      <c r="TVG73" s="371"/>
      <c r="TVH73" s="371"/>
      <c r="TVI73" s="382"/>
      <c r="TVM73" s="371"/>
      <c r="TVN73" s="371"/>
      <c r="TVO73" s="371"/>
      <c r="TVP73" s="371"/>
      <c r="TVQ73" s="371"/>
      <c r="TVR73" s="371"/>
      <c r="TVS73" s="371"/>
      <c r="TVT73" s="371"/>
      <c r="TVU73" s="371"/>
      <c r="TVV73" s="371"/>
      <c r="TVW73" s="371"/>
      <c r="TVX73" s="371"/>
      <c r="TVY73" s="371"/>
      <c r="TVZ73" s="371"/>
      <c r="TWA73" s="371"/>
      <c r="TWB73" s="371"/>
      <c r="TWC73" s="371"/>
      <c r="TWD73" s="371"/>
      <c r="TWE73" s="371"/>
      <c r="TWF73" s="371"/>
      <c r="TWG73" s="371"/>
      <c r="TWH73" s="371"/>
      <c r="TWI73" s="371"/>
      <c r="TWJ73" s="371"/>
      <c r="TWK73" s="371"/>
      <c r="TWL73" s="371"/>
      <c r="TWM73" s="382"/>
      <c r="TWQ73" s="371"/>
      <c r="TWR73" s="371"/>
      <c r="TWS73" s="371"/>
      <c r="TWT73" s="371"/>
      <c r="TWU73" s="371"/>
      <c r="TWV73" s="371"/>
      <c r="TWW73" s="371"/>
      <c r="TWX73" s="371"/>
      <c r="TWY73" s="371"/>
      <c r="TWZ73" s="371"/>
      <c r="TXA73" s="371"/>
      <c r="TXB73" s="371"/>
      <c r="TXC73" s="371"/>
      <c r="TXD73" s="371"/>
      <c r="TXE73" s="371"/>
      <c r="TXF73" s="371"/>
      <c r="TXG73" s="371"/>
      <c r="TXH73" s="371"/>
      <c r="TXI73" s="371"/>
      <c r="TXJ73" s="371"/>
      <c r="TXK73" s="371"/>
      <c r="TXL73" s="371"/>
      <c r="TXM73" s="371"/>
      <c r="TXN73" s="371"/>
      <c r="TXO73" s="371"/>
      <c r="TXP73" s="371"/>
      <c r="TXQ73" s="382"/>
      <c r="TXU73" s="371"/>
      <c r="TXV73" s="371"/>
      <c r="TXW73" s="371"/>
      <c r="TXX73" s="371"/>
      <c r="TXY73" s="371"/>
      <c r="TXZ73" s="371"/>
      <c r="TYA73" s="371"/>
      <c r="TYB73" s="371"/>
      <c r="TYC73" s="371"/>
      <c r="TYD73" s="371"/>
      <c r="TYE73" s="371"/>
      <c r="TYF73" s="371"/>
      <c r="TYG73" s="371"/>
      <c r="TYH73" s="371"/>
      <c r="TYI73" s="371"/>
      <c r="TYJ73" s="371"/>
      <c r="TYK73" s="371"/>
      <c r="TYL73" s="371"/>
      <c r="TYM73" s="371"/>
      <c r="TYN73" s="371"/>
      <c r="TYO73" s="371"/>
      <c r="TYP73" s="371"/>
      <c r="TYQ73" s="371"/>
      <c r="TYR73" s="371"/>
      <c r="TYS73" s="371"/>
      <c r="TYT73" s="371"/>
      <c r="TYU73" s="382"/>
      <c r="TYY73" s="371"/>
      <c r="TYZ73" s="371"/>
      <c r="TZA73" s="371"/>
      <c r="TZB73" s="371"/>
      <c r="TZC73" s="371"/>
      <c r="TZD73" s="371"/>
      <c r="TZE73" s="371"/>
      <c r="TZF73" s="371"/>
      <c r="TZG73" s="371"/>
      <c r="TZH73" s="371"/>
      <c r="TZI73" s="371"/>
      <c r="TZJ73" s="371"/>
      <c r="TZK73" s="371"/>
      <c r="TZL73" s="371"/>
      <c r="TZM73" s="371"/>
      <c r="TZN73" s="371"/>
      <c r="TZO73" s="371"/>
      <c r="TZP73" s="371"/>
      <c r="TZQ73" s="371"/>
      <c r="TZR73" s="371"/>
      <c r="TZS73" s="371"/>
      <c r="TZT73" s="371"/>
      <c r="TZU73" s="371"/>
      <c r="TZV73" s="371"/>
      <c r="TZW73" s="371"/>
      <c r="TZX73" s="371"/>
      <c r="TZY73" s="382"/>
      <c r="UAC73" s="371"/>
      <c r="UAD73" s="371"/>
      <c r="UAE73" s="371"/>
      <c r="UAF73" s="371"/>
      <c r="UAG73" s="371"/>
      <c r="UAH73" s="371"/>
      <c r="UAI73" s="371"/>
      <c r="UAJ73" s="371"/>
      <c r="UAK73" s="371"/>
      <c r="UAL73" s="371"/>
      <c r="UAM73" s="371"/>
      <c r="UAN73" s="371"/>
      <c r="UAO73" s="371"/>
      <c r="UAP73" s="371"/>
      <c r="UAQ73" s="371"/>
      <c r="UAR73" s="371"/>
      <c r="UAS73" s="371"/>
      <c r="UAT73" s="371"/>
      <c r="UAU73" s="371"/>
      <c r="UAV73" s="371"/>
      <c r="UAW73" s="371"/>
      <c r="UAX73" s="371"/>
      <c r="UAY73" s="371"/>
      <c r="UAZ73" s="371"/>
      <c r="UBA73" s="371"/>
      <c r="UBB73" s="371"/>
      <c r="UBC73" s="382"/>
      <c r="UBG73" s="371"/>
      <c r="UBH73" s="371"/>
      <c r="UBI73" s="371"/>
      <c r="UBJ73" s="371"/>
      <c r="UBK73" s="371"/>
      <c r="UBL73" s="371"/>
      <c r="UBM73" s="371"/>
      <c r="UBN73" s="371"/>
      <c r="UBO73" s="371"/>
      <c r="UBP73" s="371"/>
      <c r="UBQ73" s="371"/>
      <c r="UBR73" s="371"/>
      <c r="UBS73" s="371"/>
      <c r="UBT73" s="371"/>
      <c r="UBU73" s="371"/>
      <c r="UBV73" s="371"/>
      <c r="UBW73" s="371"/>
      <c r="UBX73" s="371"/>
      <c r="UBY73" s="371"/>
      <c r="UBZ73" s="371"/>
      <c r="UCA73" s="371"/>
      <c r="UCB73" s="371"/>
      <c r="UCC73" s="371"/>
      <c r="UCD73" s="371"/>
      <c r="UCE73" s="371"/>
      <c r="UCF73" s="371"/>
      <c r="UCG73" s="382"/>
      <c r="UCK73" s="371"/>
      <c r="UCL73" s="371"/>
      <c r="UCM73" s="371"/>
      <c r="UCN73" s="371"/>
      <c r="UCO73" s="371"/>
      <c r="UCP73" s="371"/>
      <c r="UCQ73" s="371"/>
      <c r="UCR73" s="371"/>
      <c r="UCS73" s="371"/>
      <c r="UCT73" s="371"/>
      <c r="UCU73" s="371"/>
      <c r="UCV73" s="371"/>
      <c r="UCW73" s="371"/>
      <c r="UCX73" s="371"/>
      <c r="UCY73" s="371"/>
      <c r="UCZ73" s="371"/>
      <c r="UDA73" s="371"/>
      <c r="UDB73" s="371"/>
      <c r="UDC73" s="371"/>
      <c r="UDD73" s="371"/>
      <c r="UDE73" s="371"/>
      <c r="UDF73" s="371"/>
      <c r="UDG73" s="371"/>
      <c r="UDH73" s="371"/>
      <c r="UDI73" s="371"/>
      <c r="UDJ73" s="371"/>
      <c r="UDK73" s="382"/>
      <c r="UDO73" s="371"/>
      <c r="UDP73" s="371"/>
      <c r="UDQ73" s="371"/>
      <c r="UDR73" s="371"/>
      <c r="UDS73" s="371"/>
      <c r="UDT73" s="371"/>
      <c r="UDU73" s="371"/>
      <c r="UDV73" s="371"/>
      <c r="UDW73" s="371"/>
      <c r="UDX73" s="371"/>
      <c r="UDY73" s="371"/>
      <c r="UDZ73" s="371"/>
      <c r="UEA73" s="371"/>
      <c r="UEB73" s="371"/>
      <c r="UEC73" s="371"/>
      <c r="UED73" s="371"/>
      <c r="UEE73" s="371"/>
      <c r="UEF73" s="371"/>
      <c r="UEG73" s="371"/>
      <c r="UEH73" s="371"/>
      <c r="UEI73" s="371"/>
      <c r="UEJ73" s="371"/>
      <c r="UEK73" s="371"/>
      <c r="UEL73" s="371"/>
      <c r="UEM73" s="371"/>
      <c r="UEN73" s="371"/>
      <c r="UEO73" s="382"/>
      <c r="UES73" s="371"/>
      <c r="UET73" s="371"/>
      <c r="UEU73" s="371"/>
      <c r="UEV73" s="371"/>
      <c r="UEW73" s="371"/>
      <c r="UEX73" s="371"/>
      <c r="UEY73" s="371"/>
      <c r="UEZ73" s="371"/>
      <c r="UFA73" s="371"/>
      <c r="UFB73" s="371"/>
      <c r="UFC73" s="371"/>
      <c r="UFD73" s="371"/>
      <c r="UFE73" s="371"/>
      <c r="UFF73" s="371"/>
      <c r="UFG73" s="371"/>
      <c r="UFH73" s="371"/>
      <c r="UFI73" s="371"/>
      <c r="UFJ73" s="371"/>
      <c r="UFK73" s="371"/>
      <c r="UFL73" s="371"/>
      <c r="UFM73" s="371"/>
      <c r="UFN73" s="371"/>
      <c r="UFO73" s="371"/>
      <c r="UFP73" s="371"/>
      <c r="UFQ73" s="371"/>
      <c r="UFR73" s="371"/>
      <c r="UFS73" s="382"/>
      <c r="UFW73" s="371"/>
      <c r="UFX73" s="371"/>
      <c r="UFY73" s="371"/>
      <c r="UFZ73" s="371"/>
      <c r="UGA73" s="371"/>
      <c r="UGB73" s="371"/>
      <c r="UGC73" s="371"/>
      <c r="UGD73" s="371"/>
      <c r="UGE73" s="371"/>
      <c r="UGF73" s="371"/>
      <c r="UGG73" s="371"/>
      <c r="UGH73" s="371"/>
      <c r="UGI73" s="371"/>
      <c r="UGJ73" s="371"/>
      <c r="UGK73" s="371"/>
      <c r="UGL73" s="371"/>
      <c r="UGM73" s="371"/>
      <c r="UGN73" s="371"/>
      <c r="UGO73" s="371"/>
      <c r="UGP73" s="371"/>
      <c r="UGQ73" s="371"/>
      <c r="UGR73" s="371"/>
      <c r="UGS73" s="371"/>
      <c r="UGT73" s="371"/>
      <c r="UGU73" s="371"/>
      <c r="UGV73" s="371"/>
      <c r="UGW73" s="382"/>
      <c r="UHA73" s="371"/>
      <c r="UHB73" s="371"/>
      <c r="UHC73" s="371"/>
      <c r="UHD73" s="371"/>
      <c r="UHE73" s="371"/>
      <c r="UHF73" s="371"/>
      <c r="UHG73" s="371"/>
      <c r="UHH73" s="371"/>
      <c r="UHI73" s="371"/>
      <c r="UHJ73" s="371"/>
      <c r="UHK73" s="371"/>
      <c r="UHL73" s="371"/>
      <c r="UHM73" s="371"/>
      <c r="UHN73" s="371"/>
      <c r="UHO73" s="371"/>
      <c r="UHP73" s="371"/>
      <c r="UHQ73" s="371"/>
      <c r="UHR73" s="371"/>
      <c r="UHS73" s="371"/>
      <c r="UHT73" s="371"/>
      <c r="UHU73" s="371"/>
      <c r="UHV73" s="371"/>
      <c r="UHW73" s="371"/>
      <c r="UHX73" s="371"/>
      <c r="UHY73" s="371"/>
      <c r="UHZ73" s="371"/>
      <c r="UIA73" s="382"/>
      <c r="UIE73" s="371"/>
      <c r="UIF73" s="371"/>
      <c r="UIG73" s="371"/>
      <c r="UIH73" s="371"/>
      <c r="UII73" s="371"/>
      <c r="UIJ73" s="371"/>
      <c r="UIK73" s="371"/>
      <c r="UIL73" s="371"/>
      <c r="UIM73" s="371"/>
      <c r="UIN73" s="371"/>
      <c r="UIO73" s="371"/>
      <c r="UIP73" s="371"/>
      <c r="UIQ73" s="371"/>
      <c r="UIR73" s="371"/>
      <c r="UIS73" s="371"/>
      <c r="UIT73" s="371"/>
      <c r="UIU73" s="371"/>
      <c r="UIV73" s="371"/>
      <c r="UIW73" s="371"/>
      <c r="UIX73" s="371"/>
      <c r="UIY73" s="371"/>
      <c r="UIZ73" s="371"/>
      <c r="UJA73" s="371"/>
      <c r="UJB73" s="371"/>
      <c r="UJC73" s="371"/>
      <c r="UJD73" s="371"/>
      <c r="UJE73" s="382"/>
      <c r="UJI73" s="371"/>
      <c r="UJJ73" s="371"/>
      <c r="UJK73" s="371"/>
      <c r="UJL73" s="371"/>
      <c r="UJM73" s="371"/>
      <c r="UJN73" s="371"/>
      <c r="UJO73" s="371"/>
      <c r="UJP73" s="371"/>
      <c r="UJQ73" s="371"/>
      <c r="UJR73" s="371"/>
      <c r="UJS73" s="371"/>
      <c r="UJT73" s="371"/>
      <c r="UJU73" s="371"/>
      <c r="UJV73" s="371"/>
      <c r="UJW73" s="371"/>
      <c r="UJX73" s="371"/>
      <c r="UJY73" s="371"/>
      <c r="UJZ73" s="371"/>
      <c r="UKA73" s="371"/>
      <c r="UKB73" s="371"/>
      <c r="UKC73" s="371"/>
      <c r="UKD73" s="371"/>
      <c r="UKE73" s="371"/>
      <c r="UKF73" s="371"/>
      <c r="UKG73" s="371"/>
      <c r="UKH73" s="371"/>
      <c r="UKI73" s="382"/>
      <c r="UKM73" s="371"/>
      <c r="UKN73" s="371"/>
      <c r="UKO73" s="371"/>
      <c r="UKP73" s="371"/>
      <c r="UKQ73" s="371"/>
      <c r="UKR73" s="371"/>
      <c r="UKS73" s="371"/>
      <c r="UKT73" s="371"/>
      <c r="UKU73" s="371"/>
      <c r="UKV73" s="371"/>
      <c r="UKW73" s="371"/>
      <c r="UKX73" s="371"/>
      <c r="UKY73" s="371"/>
      <c r="UKZ73" s="371"/>
      <c r="ULA73" s="371"/>
      <c r="ULB73" s="371"/>
      <c r="ULC73" s="371"/>
      <c r="ULD73" s="371"/>
      <c r="ULE73" s="371"/>
      <c r="ULF73" s="371"/>
      <c r="ULG73" s="371"/>
      <c r="ULH73" s="371"/>
      <c r="ULI73" s="371"/>
      <c r="ULJ73" s="371"/>
      <c r="ULK73" s="371"/>
      <c r="ULL73" s="371"/>
      <c r="ULM73" s="382"/>
      <c r="ULQ73" s="371"/>
      <c r="ULR73" s="371"/>
      <c r="ULS73" s="371"/>
      <c r="ULT73" s="371"/>
      <c r="ULU73" s="371"/>
      <c r="ULV73" s="371"/>
      <c r="ULW73" s="371"/>
      <c r="ULX73" s="371"/>
      <c r="ULY73" s="371"/>
      <c r="ULZ73" s="371"/>
      <c r="UMA73" s="371"/>
      <c r="UMB73" s="371"/>
      <c r="UMC73" s="371"/>
      <c r="UMD73" s="371"/>
      <c r="UME73" s="371"/>
      <c r="UMF73" s="371"/>
      <c r="UMG73" s="371"/>
      <c r="UMH73" s="371"/>
      <c r="UMI73" s="371"/>
      <c r="UMJ73" s="371"/>
      <c r="UMK73" s="371"/>
      <c r="UML73" s="371"/>
      <c r="UMM73" s="371"/>
      <c r="UMN73" s="371"/>
      <c r="UMO73" s="371"/>
      <c r="UMP73" s="371"/>
      <c r="UMQ73" s="382"/>
      <c r="UMU73" s="371"/>
      <c r="UMV73" s="371"/>
      <c r="UMW73" s="371"/>
      <c r="UMX73" s="371"/>
      <c r="UMY73" s="371"/>
      <c r="UMZ73" s="371"/>
      <c r="UNA73" s="371"/>
      <c r="UNB73" s="371"/>
      <c r="UNC73" s="371"/>
      <c r="UND73" s="371"/>
      <c r="UNE73" s="371"/>
      <c r="UNF73" s="371"/>
      <c r="UNG73" s="371"/>
      <c r="UNH73" s="371"/>
      <c r="UNI73" s="371"/>
      <c r="UNJ73" s="371"/>
      <c r="UNK73" s="371"/>
      <c r="UNL73" s="371"/>
      <c r="UNM73" s="371"/>
      <c r="UNN73" s="371"/>
      <c r="UNO73" s="371"/>
      <c r="UNP73" s="371"/>
      <c r="UNQ73" s="371"/>
      <c r="UNR73" s="371"/>
      <c r="UNS73" s="371"/>
      <c r="UNT73" s="371"/>
      <c r="UNU73" s="382"/>
      <c r="UNY73" s="371"/>
      <c r="UNZ73" s="371"/>
      <c r="UOA73" s="371"/>
      <c r="UOB73" s="371"/>
      <c r="UOC73" s="371"/>
      <c r="UOD73" s="371"/>
      <c r="UOE73" s="371"/>
      <c r="UOF73" s="371"/>
      <c r="UOG73" s="371"/>
      <c r="UOH73" s="371"/>
      <c r="UOI73" s="371"/>
      <c r="UOJ73" s="371"/>
      <c r="UOK73" s="371"/>
      <c r="UOL73" s="371"/>
      <c r="UOM73" s="371"/>
      <c r="UON73" s="371"/>
      <c r="UOO73" s="371"/>
      <c r="UOP73" s="371"/>
      <c r="UOQ73" s="371"/>
      <c r="UOR73" s="371"/>
      <c r="UOS73" s="371"/>
      <c r="UOT73" s="371"/>
      <c r="UOU73" s="371"/>
      <c r="UOV73" s="371"/>
      <c r="UOW73" s="371"/>
      <c r="UOX73" s="371"/>
      <c r="UOY73" s="382"/>
      <c r="UPC73" s="371"/>
      <c r="UPD73" s="371"/>
      <c r="UPE73" s="371"/>
      <c r="UPF73" s="371"/>
      <c r="UPG73" s="371"/>
      <c r="UPH73" s="371"/>
      <c r="UPI73" s="371"/>
      <c r="UPJ73" s="371"/>
      <c r="UPK73" s="371"/>
      <c r="UPL73" s="371"/>
      <c r="UPM73" s="371"/>
      <c r="UPN73" s="371"/>
      <c r="UPO73" s="371"/>
      <c r="UPP73" s="371"/>
      <c r="UPQ73" s="371"/>
      <c r="UPR73" s="371"/>
      <c r="UPS73" s="371"/>
      <c r="UPT73" s="371"/>
      <c r="UPU73" s="371"/>
      <c r="UPV73" s="371"/>
      <c r="UPW73" s="371"/>
      <c r="UPX73" s="371"/>
      <c r="UPY73" s="371"/>
      <c r="UPZ73" s="371"/>
      <c r="UQA73" s="371"/>
      <c r="UQB73" s="371"/>
      <c r="UQC73" s="382"/>
      <c r="UQG73" s="371"/>
      <c r="UQH73" s="371"/>
      <c r="UQI73" s="371"/>
      <c r="UQJ73" s="371"/>
      <c r="UQK73" s="371"/>
      <c r="UQL73" s="371"/>
      <c r="UQM73" s="371"/>
      <c r="UQN73" s="371"/>
      <c r="UQO73" s="371"/>
      <c r="UQP73" s="371"/>
      <c r="UQQ73" s="371"/>
      <c r="UQR73" s="371"/>
      <c r="UQS73" s="371"/>
      <c r="UQT73" s="371"/>
      <c r="UQU73" s="371"/>
      <c r="UQV73" s="371"/>
      <c r="UQW73" s="371"/>
      <c r="UQX73" s="371"/>
      <c r="UQY73" s="371"/>
      <c r="UQZ73" s="371"/>
      <c r="URA73" s="371"/>
      <c r="URB73" s="371"/>
      <c r="URC73" s="371"/>
      <c r="URD73" s="371"/>
      <c r="URE73" s="371"/>
      <c r="URF73" s="371"/>
      <c r="URG73" s="382"/>
      <c r="URK73" s="371"/>
      <c r="URL73" s="371"/>
      <c r="URM73" s="371"/>
      <c r="URN73" s="371"/>
      <c r="URO73" s="371"/>
      <c r="URP73" s="371"/>
      <c r="URQ73" s="371"/>
      <c r="URR73" s="371"/>
      <c r="URS73" s="371"/>
      <c r="URT73" s="371"/>
      <c r="URU73" s="371"/>
      <c r="URV73" s="371"/>
      <c r="URW73" s="371"/>
      <c r="URX73" s="371"/>
      <c r="URY73" s="371"/>
      <c r="URZ73" s="371"/>
      <c r="USA73" s="371"/>
      <c r="USB73" s="371"/>
      <c r="USC73" s="371"/>
      <c r="USD73" s="371"/>
      <c r="USE73" s="371"/>
      <c r="USF73" s="371"/>
      <c r="USG73" s="371"/>
      <c r="USH73" s="371"/>
      <c r="USI73" s="371"/>
      <c r="USJ73" s="371"/>
      <c r="USK73" s="382"/>
      <c r="USO73" s="371"/>
      <c r="USP73" s="371"/>
      <c r="USQ73" s="371"/>
      <c r="USR73" s="371"/>
      <c r="USS73" s="371"/>
      <c r="UST73" s="371"/>
      <c r="USU73" s="371"/>
      <c r="USV73" s="371"/>
      <c r="USW73" s="371"/>
      <c r="USX73" s="371"/>
      <c r="USY73" s="371"/>
      <c r="USZ73" s="371"/>
      <c r="UTA73" s="371"/>
      <c r="UTB73" s="371"/>
      <c r="UTC73" s="371"/>
      <c r="UTD73" s="371"/>
      <c r="UTE73" s="371"/>
      <c r="UTF73" s="371"/>
      <c r="UTG73" s="371"/>
      <c r="UTH73" s="371"/>
      <c r="UTI73" s="371"/>
      <c r="UTJ73" s="371"/>
      <c r="UTK73" s="371"/>
      <c r="UTL73" s="371"/>
      <c r="UTM73" s="371"/>
      <c r="UTN73" s="371"/>
      <c r="UTO73" s="382"/>
      <c r="UTS73" s="371"/>
      <c r="UTT73" s="371"/>
      <c r="UTU73" s="371"/>
      <c r="UTV73" s="371"/>
      <c r="UTW73" s="371"/>
      <c r="UTX73" s="371"/>
      <c r="UTY73" s="371"/>
      <c r="UTZ73" s="371"/>
      <c r="UUA73" s="371"/>
      <c r="UUB73" s="371"/>
      <c r="UUC73" s="371"/>
      <c r="UUD73" s="371"/>
      <c r="UUE73" s="371"/>
      <c r="UUF73" s="371"/>
      <c r="UUG73" s="371"/>
      <c r="UUH73" s="371"/>
      <c r="UUI73" s="371"/>
      <c r="UUJ73" s="371"/>
      <c r="UUK73" s="371"/>
      <c r="UUL73" s="371"/>
      <c r="UUM73" s="371"/>
      <c r="UUN73" s="371"/>
      <c r="UUO73" s="371"/>
      <c r="UUP73" s="371"/>
      <c r="UUQ73" s="371"/>
      <c r="UUR73" s="371"/>
      <c r="UUS73" s="382"/>
      <c r="UUW73" s="371"/>
      <c r="UUX73" s="371"/>
      <c r="UUY73" s="371"/>
      <c r="UUZ73" s="371"/>
      <c r="UVA73" s="371"/>
      <c r="UVB73" s="371"/>
      <c r="UVC73" s="371"/>
      <c r="UVD73" s="371"/>
      <c r="UVE73" s="371"/>
      <c r="UVF73" s="371"/>
      <c r="UVG73" s="371"/>
      <c r="UVH73" s="371"/>
      <c r="UVI73" s="371"/>
      <c r="UVJ73" s="371"/>
      <c r="UVK73" s="371"/>
      <c r="UVL73" s="371"/>
      <c r="UVM73" s="371"/>
      <c r="UVN73" s="371"/>
      <c r="UVO73" s="371"/>
      <c r="UVP73" s="371"/>
      <c r="UVQ73" s="371"/>
      <c r="UVR73" s="371"/>
      <c r="UVS73" s="371"/>
      <c r="UVT73" s="371"/>
      <c r="UVU73" s="371"/>
      <c r="UVV73" s="371"/>
      <c r="UVW73" s="382"/>
      <c r="UWA73" s="371"/>
      <c r="UWB73" s="371"/>
      <c r="UWC73" s="371"/>
      <c r="UWD73" s="371"/>
      <c r="UWE73" s="371"/>
      <c r="UWF73" s="371"/>
      <c r="UWG73" s="371"/>
      <c r="UWH73" s="371"/>
      <c r="UWI73" s="371"/>
      <c r="UWJ73" s="371"/>
      <c r="UWK73" s="371"/>
      <c r="UWL73" s="371"/>
      <c r="UWM73" s="371"/>
      <c r="UWN73" s="371"/>
      <c r="UWO73" s="371"/>
      <c r="UWP73" s="371"/>
      <c r="UWQ73" s="371"/>
      <c r="UWR73" s="371"/>
      <c r="UWS73" s="371"/>
      <c r="UWT73" s="371"/>
      <c r="UWU73" s="371"/>
      <c r="UWV73" s="371"/>
      <c r="UWW73" s="371"/>
      <c r="UWX73" s="371"/>
      <c r="UWY73" s="371"/>
      <c r="UWZ73" s="371"/>
      <c r="UXA73" s="382"/>
      <c r="UXE73" s="371"/>
      <c r="UXF73" s="371"/>
      <c r="UXG73" s="371"/>
      <c r="UXH73" s="371"/>
      <c r="UXI73" s="371"/>
      <c r="UXJ73" s="371"/>
      <c r="UXK73" s="371"/>
      <c r="UXL73" s="371"/>
      <c r="UXM73" s="371"/>
      <c r="UXN73" s="371"/>
      <c r="UXO73" s="371"/>
      <c r="UXP73" s="371"/>
      <c r="UXQ73" s="371"/>
      <c r="UXR73" s="371"/>
      <c r="UXS73" s="371"/>
      <c r="UXT73" s="371"/>
      <c r="UXU73" s="371"/>
      <c r="UXV73" s="371"/>
      <c r="UXW73" s="371"/>
      <c r="UXX73" s="371"/>
      <c r="UXY73" s="371"/>
      <c r="UXZ73" s="371"/>
      <c r="UYA73" s="371"/>
      <c r="UYB73" s="371"/>
      <c r="UYC73" s="371"/>
      <c r="UYD73" s="371"/>
      <c r="UYE73" s="382"/>
      <c r="UYI73" s="371"/>
      <c r="UYJ73" s="371"/>
      <c r="UYK73" s="371"/>
      <c r="UYL73" s="371"/>
      <c r="UYM73" s="371"/>
      <c r="UYN73" s="371"/>
      <c r="UYO73" s="371"/>
      <c r="UYP73" s="371"/>
      <c r="UYQ73" s="371"/>
      <c r="UYR73" s="371"/>
      <c r="UYS73" s="371"/>
      <c r="UYT73" s="371"/>
      <c r="UYU73" s="371"/>
      <c r="UYV73" s="371"/>
      <c r="UYW73" s="371"/>
      <c r="UYX73" s="371"/>
      <c r="UYY73" s="371"/>
      <c r="UYZ73" s="371"/>
      <c r="UZA73" s="371"/>
      <c r="UZB73" s="371"/>
      <c r="UZC73" s="371"/>
      <c r="UZD73" s="371"/>
      <c r="UZE73" s="371"/>
      <c r="UZF73" s="371"/>
      <c r="UZG73" s="371"/>
      <c r="UZH73" s="371"/>
      <c r="UZI73" s="382"/>
      <c r="UZM73" s="371"/>
      <c r="UZN73" s="371"/>
      <c r="UZO73" s="371"/>
      <c r="UZP73" s="371"/>
      <c r="UZQ73" s="371"/>
      <c r="UZR73" s="371"/>
      <c r="UZS73" s="371"/>
      <c r="UZT73" s="371"/>
      <c r="UZU73" s="371"/>
      <c r="UZV73" s="371"/>
      <c r="UZW73" s="371"/>
      <c r="UZX73" s="371"/>
      <c r="UZY73" s="371"/>
      <c r="UZZ73" s="371"/>
      <c r="VAA73" s="371"/>
      <c r="VAB73" s="371"/>
      <c r="VAC73" s="371"/>
      <c r="VAD73" s="371"/>
      <c r="VAE73" s="371"/>
      <c r="VAF73" s="371"/>
      <c r="VAG73" s="371"/>
      <c r="VAH73" s="371"/>
      <c r="VAI73" s="371"/>
      <c r="VAJ73" s="371"/>
      <c r="VAK73" s="371"/>
      <c r="VAL73" s="371"/>
      <c r="VAM73" s="382"/>
      <c r="VAQ73" s="371"/>
      <c r="VAR73" s="371"/>
      <c r="VAS73" s="371"/>
      <c r="VAT73" s="371"/>
      <c r="VAU73" s="371"/>
      <c r="VAV73" s="371"/>
      <c r="VAW73" s="371"/>
      <c r="VAX73" s="371"/>
      <c r="VAY73" s="371"/>
      <c r="VAZ73" s="371"/>
      <c r="VBA73" s="371"/>
      <c r="VBB73" s="371"/>
      <c r="VBC73" s="371"/>
      <c r="VBD73" s="371"/>
      <c r="VBE73" s="371"/>
      <c r="VBF73" s="371"/>
      <c r="VBG73" s="371"/>
      <c r="VBH73" s="371"/>
      <c r="VBI73" s="371"/>
      <c r="VBJ73" s="371"/>
      <c r="VBK73" s="371"/>
      <c r="VBL73" s="371"/>
      <c r="VBM73" s="371"/>
      <c r="VBN73" s="371"/>
      <c r="VBO73" s="371"/>
      <c r="VBP73" s="371"/>
      <c r="VBQ73" s="382"/>
      <c r="VBU73" s="371"/>
      <c r="VBV73" s="371"/>
      <c r="VBW73" s="371"/>
      <c r="VBX73" s="371"/>
      <c r="VBY73" s="371"/>
      <c r="VBZ73" s="371"/>
      <c r="VCA73" s="371"/>
      <c r="VCB73" s="371"/>
      <c r="VCC73" s="371"/>
      <c r="VCD73" s="371"/>
      <c r="VCE73" s="371"/>
      <c r="VCF73" s="371"/>
      <c r="VCG73" s="371"/>
      <c r="VCH73" s="371"/>
      <c r="VCI73" s="371"/>
      <c r="VCJ73" s="371"/>
      <c r="VCK73" s="371"/>
      <c r="VCL73" s="371"/>
      <c r="VCM73" s="371"/>
      <c r="VCN73" s="371"/>
      <c r="VCO73" s="371"/>
      <c r="VCP73" s="371"/>
      <c r="VCQ73" s="371"/>
      <c r="VCR73" s="371"/>
      <c r="VCS73" s="371"/>
      <c r="VCT73" s="371"/>
      <c r="VCU73" s="382"/>
      <c r="VCY73" s="371"/>
      <c r="VCZ73" s="371"/>
      <c r="VDA73" s="371"/>
      <c r="VDB73" s="371"/>
      <c r="VDC73" s="371"/>
      <c r="VDD73" s="371"/>
      <c r="VDE73" s="371"/>
      <c r="VDF73" s="371"/>
      <c r="VDG73" s="371"/>
      <c r="VDH73" s="371"/>
      <c r="VDI73" s="371"/>
      <c r="VDJ73" s="371"/>
      <c r="VDK73" s="371"/>
      <c r="VDL73" s="371"/>
      <c r="VDM73" s="371"/>
      <c r="VDN73" s="371"/>
      <c r="VDO73" s="371"/>
      <c r="VDP73" s="371"/>
      <c r="VDQ73" s="371"/>
      <c r="VDR73" s="371"/>
      <c r="VDS73" s="371"/>
      <c r="VDT73" s="371"/>
      <c r="VDU73" s="371"/>
      <c r="VDV73" s="371"/>
      <c r="VDW73" s="371"/>
      <c r="VDX73" s="371"/>
      <c r="VDY73" s="382"/>
      <c r="VEC73" s="371"/>
      <c r="VED73" s="371"/>
      <c r="VEE73" s="371"/>
      <c r="VEF73" s="371"/>
      <c r="VEG73" s="371"/>
      <c r="VEH73" s="371"/>
      <c r="VEI73" s="371"/>
      <c r="VEJ73" s="371"/>
      <c r="VEK73" s="371"/>
      <c r="VEL73" s="371"/>
      <c r="VEM73" s="371"/>
      <c r="VEN73" s="371"/>
      <c r="VEO73" s="371"/>
      <c r="VEP73" s="371"/>
      <c r="VEQ73" s="371"/>
      <c r="VER73" s="371"/>
      <c r="VES73" s="371"/>
      <c r="VET73" s="371"/>
      <c r="VEU73" s="371"/>
      <c r="VEV73" s="371"/>
      <c r="VEW73" s="371"/>
      <c r="VEX73" s="371"/>
      <c r="VEY73" s="371"/>
      <c r="VEZ73" s="371"/>
      <c r="VFA73" s="371"/>
      <c r="VFB73" s="371"/>
      <c r="VFC73" s="382"/>
      <c r="VFG73" s="371"/>
      <c r="VFH73" s="371"/>
      <c r="VFI73" s="371"/>
      <c r="VFJ73" s="371"/>
      <c r="VFK73" s="371"/>
      <c r="VFL73" s="371"/>
      <c r="VFM73" s="371"/>
      <c r="VFN73" s="371"/>
      <c r="VFO73" s="371"/>
      <c r="VFP73" s="371"/>
      <c r="VFQ73" s="371"/>
      <c r="VFR73" s="371"/>
      <c r="VFS73" s="371"/>
      <c r="VFT73" s="371"/>
      <c r="VFU73" s="371"/>
      <c r="VFV73" s="371"/>
      <c r="VFW73" s="371"/>
      <c r="VFX73" s="371"/>
      <c r="VFY73" s="371"/>
      <c r="VFZ73" s="371"/>
      <c r="VGA73" s="371"/>
      <c r="VGB73" s="371"/>
      <c r="VGC73" s="371"/>
      <c r="VGD73" s="371"/>
      <c r="VGE73" s="371"/>
      <c r="VGF73" s="371"/>
      <c r="VGG73" s="382"/>
      <c r="VGK73" s="371"/>
      <c r="VGL73" s="371"/>
      <c r="VGM73" s="371"/>
      <c r="VGN73" s="371"/>
      <c r="VGO73" s="371"/>
      <c r="VGP73" s="371"/>
      <c r="VGQ73" s="371"/>
      <c r="VGR73" s="371"/>
      <c r="VGS73" s="371"/>
      <c r="VGT73" s="371"/>
      <c r="VGU73" s="371"/>
      <c r="VGV73" s="371"/>
      <c r="VGW73" s="371"/>
      <c r="VGX73" s="371"/>
      <c r="VGY73" s="371"/>
      <c r="VGZ73" s="371"/>
      <c r="VHA73" s="371"/>
      <c r="VHB73" s="371"/>
      <c r="VHC73" s="371"/>
      <c r="VHD73" s="371"/>
      <c r="VHE73" s="371"/>
      <c r="VHF73" s="371"/>
      <c r="VHG73" s="371"/>
      <c r="VHH73" s="371"/>
      <c r="VHI73" s="371"/>
      <c r="VHJ73" s="371"/>
      <c r="VHK73" s="382"/>
      <c r="VHO73" s="371"/>
      <c r="VHP73" s="371"/>
      <c r="VHQ73" s="371"/>
      <c r="VHR73" s="371"/>
      <c r="VHS73" s="371"/>
      <c r="VHT73" s="371"/>
      <c r="VHU73" s="371"/>
      <c r="VHV73" s="371"/>
      <c r="VHW73" s="371"/>
      <c r="VHX73" s="371"/>
      <c r="VHY73" s="371"/>
      <c r="VHZ73" s="371"/>
      <c r="VIA73" s="371"/>
      <c r="VIB73" s="371"/>
      <c r="VIC73" s="371"/>
      <c r="VID73" s="371"/>
      <c r="VIE73" s="371"/>
      <c r="VIF73" s="371"/>
      <c r="VIG73" s="371"/>
      <c r="VIH73" s="371"/>
      <c r="VII73" s="371"/>
      <c r="VIJ73" s="371"/>
      <c r="VIK73" s="371"/>
      <c r="VIL73" s="371"/>
      <c r="VIM73" s="371"/>
      <c r="VIN73" s="371"/>
      <c r="VIO73" s="382"/>
      <c r="VIS73" s="371"/>
      <c r="VIT73" s="371"/>
      <c r="VIU73" s="371"/>
      <c r="VIV73" s="371"/>
      <c r="VIW73" s="371"/>
      <c r="VIX73" s="371"/>
      <c r="VIY73" s="371"/>
      <c r="VIZ73" s="371"/>
      <c r="VJA73" s="371"/>
      <c r="VJB73" s="371"/>
      <c r="VJC73" s="371"/>
      <c r="VJD73" s="371"/>
      <c r="VJE73" s="371"/>
      <c r="VJF73" s="371"/>
      <c r="VJG73" s="371"/>
      <c r="VJH73" s="371"/>
      <c r="VJI73" s="371"/>
      <c r="VJJ73" s="371"/>
      <c r="VJK73" s="371"/>
      <c r="VJL73" s="371"/>
      <c r="VJM73" s="371"/>
      <c r="VJN73" s="371"/>
      <c r="VJO73" s="371"/>
      <c r="VJP73" s="371"/>
      <c r="VJQ73" s="371"/>
      <c r="VJR73" s="371"/>
      <c r="VJS73" s="382"/>
      <c r="VJW73" s="371"/>
      <c r="VJX73" s="371"/>
      <c r="VJY73" s="371"/>
      <c r="VJZ73" s="371"/>
      <c r="VKA73" s="371"/>
      <c r="VKB73" s="371"/>
      <c r="VKC73" s="371"/>
      <c r="VKD73" s="371"/>
      <c r="VKE73" s="371"/>
      <c r="VKF73" s="371"/>
      <c r="VKG73" s="371"/>
      <c r="VKH73" s="371"/>
      <c r="VKI73" s="371"/>
      <c r="VKJ73" s="371"/>
      <c r="VKK73" s="371"/>
      <c r="VKL73" s="371"/>
      <c r="VKM73" s="371"/>
      <c r="VKN73" s="371"/>
      <c r="VKO73" s="371"/>
      <c r="VKP73" s="371"/>
      <c r="VKQ73" s="371"/>
      <c r="VKR73" s="371"/>
      <c r="VKS73" s="371"/>
      <c r="VKT73" s="371"/>
      <c r="VKU73" s="371"/>
      <c r="VKV73" s="371"/>
      <c r="VKW73" s="382"/>
      <c r="VLA73" s="371"/>
      <c r="VLB73" s="371"/>
      <c r="VLC73" s="371"/>
      <c r="VLD73" s="371"/>
      <c r="VLE73" s="371"/>
      <c r="VLF73" s="371"/>
      <c r="VLG73" s="371"/>
      <c r="VLH73" s="371"/>
      <c r="VLI73" s="371"/>
      <c r="VLJ73" s="371"/>
      <c r="VLK73" s="371"/>
      <c r="VLL73" s="371"/>
      <c r="VLM73" s="371"/>
      <c r="VLN73" s="371"/>
      <c r="VLO73" s="371"/>
      <c r="VLP73" s="371"/>
      <c r="VLQ73" s="371"/>
      <c r="VLR73" s="371"/>
      <c r="VLS73" s="371"/>
      <c r="VLT73" s="371"/>
      <c r="VLU73" s="371"/>
      <c r="VLV73" s="371"/>
      <c r="VLW73" s="371"/>
      <c r="VLX73" s="371"/>
      <c r="VLY73" s="371"/>
      <c r="VLZ73" s="371"/>
      <c r="VMA73" s="382"/>
      <c r="VME73" s="371"/>
      <c r="VMF73" s="371"/>
      <c r="VMG73" s="371"/>
      <c r="VMH73" s="371"/>
      <c r="VMI73" s="371"/>
      <c r="VMJ73" s="371"/>
      <c r="VMK73" s="371"/>
      <c r="VML73" s="371"/>
      <c r="VMM73" s="371"/>
      <c r="VMN73" s="371"/>
      <c r="VMO73" s="371"/>
      <c r="VMP73" s="371"/>
      <c r="VMQ73" s="371"/>
      <c r="VMR73" s="371"/>
      <c r="VMS73" s="371"/>
      <c r="VMT73" s="371"/>
      <c r="VMU73" s="371"/>
      <c r="VMV73" s="371"/>
      <c r="VMW73" s="371"/>
      <c r="VMX73" s="371"/>
      <c r="VMY73" s="371"/>
      <c r="VMZ73" s="371"/>
      <c r="VNA73" s="371"/>
      <c r="VNB73" s="371"/>
      <c r="VNC73" s="371"/>
      <c r="VND73" s="371"/>
      <c r="VNE73" s="382"/>
      <c r="VNI73" s="371"/>
      <c r="VNJ73" s="371"/>
      <c r="VNK73" s="371"/>
      <c r="VNL73" s="371"/>
      <c r="VNM73" s="371"/>
      <c r="VNN73" s="371"/>
      <c r="VNO73" s="371"/>
      <c r="VNP73" s="371"/>
      <c r="VNQ73" s="371"/>
      <c r="VNR73" s="371"/>
      <c r="VNS73" s="371"/>
      <c r="VNT73" s="371"/>
      <c r="VNU73" s="371"/>
      <c r="VNV73" s="371"/>
      <c r="VNW73" s="371"/>
      <c r="VNX73" s="371"/>
      <c r="VNY73" s="371"/>
      <c r="VNZ73" s="371"/>
      <c r="VOA73" s="371"/>
      <c r="VOB73" s="371"/>
      <c r="VOC73" s="371"/>
      <c r="VOD73" s="371"/>
      <c r="VOE73" s="371"/>
      <c r="VOF73" s="371"/>
      <c r="VOG73" s="371"/>
      <c r="VOH73" s="371"/>
      <c r="VOI73" s="382"/>
      <c r="VOM73" s="371"/>
      <c r="VON73" s="371"/>
      <c r="VOO73" s="371"/>
      <c r="VOP73" s="371"/>
      <c r="VOQ73" s="371"/>
      <c r="VOR73" s="371"/>
      <c r="VOS73" s="371"/>
      <c r="VOT73" s="371"/>
      <c r="VOU73" s="371"/>
      <c r="VOV73" s="371"/>
      <c r="VOW73" s="371"/>
      <c r="VOX73" s="371"/>
      <c r="VOY73" s="371"/>
      <c r="VOZ73" s="371"/>
      <c r="VPA73" s="371"/>
      <c r="VPB73" s="371"/>
      <c r="VPC73" s="371"/>
      <c r="VPD73" s="371"/>
      <c r="VPE73" s="371"/>
      <c r="VPF73" s="371"/>
      <c r="VPG73" s="371"/>
      <c r="VPH73" s="371"/>
      <c r="VPI73" s="371"/>
      <c r="VPJ73" s="371"/>
      <c r="VPK73" s="371"/>
      <c r="VPL73" s="371"/>
      <c r="VPM73" s="382"/>
      <c r="VPQ73" s="371"/>
      <c r="VPR73" s="371"/>
      <c r="VPS73" s="371"/>
      <c r="VPT73" s="371"/>
      <c r="VPU73" s="371"/>
      <c r="VPV73" s="371"/>
      <c r="VPW73" s="371"/>
      <c r="VPX73" s="371"/>
      <c r="VPY73" s="371"/>
      <c r="VPZ73" s="371"/>
      <c r="VQA73" s="371"/>
      <c r="VQB73" s="371"/>
      <c r="VQC73" s="371"/>
      <c r="VQD73" s="371"/>
      <c r="VQE73" s="371"/>
      <c r="VQF73" s="371"/>
      <c r="VQG73" s="371"/>
      <c r="VQH73" s="371"/>
      <c r="VQI73" s="371"/>
      <c r="VQJ73" s="371"/>
      <c r="VQK73" s="371"/>
      <c r="VQL73" s="371"/>
      <c r="VQM73" s="371"/>
      <c r="VQN73" s="371"/>
      <c r="VQO73" s="371"/>
      <c r="VQP73" s="371"/>
      <c r="VQQ73" s="382"/>
      <c r="VQU73" s="371"/>
      <c r="VQV73" s="371"/>
      <c r="VQW73" s="371"/>
      <c r="VQX73" s="371"/>
      <c r="VQY73" s="371"/>
      <c r="VQZ73" s="371"/>
      <c r="VRA73" s="371"/>
      <c r="VRB73" s="371"/>
      <c r="VRC73" s="371"/>
      <c r="VRD73" s="371"/>
      <c r="VRE73" s="371"/>
      <c r="VRF73" s="371"/>
      <c r="VRG73" s="371"/>
      <c r="VRH73" s="371"/>
      <c r="VRI73" s="371"/>
      <c r="VRJ73" s="371"/>
      <c r="VRK73" s="371"/>
      <c r="VRL73" s="371"/>
      <c r="VRM73" s="371"/>
      <c r="VRN73" s="371"/>
      <c r="VRO73" s="371"/>
      <c r="VRP73" s="371"/>
      <c r="VRQ73" s="371"/>
      <c r="VRR73" s="371"/>
      <c r="VRS73" s="371"/>
      <c r="VRT73" s="371"/>
      <c r="VRU73" s="382"/>
      <c r="VRY73" s="371"/>
      <c r="VRZ73" s="371"/>
      <c r="VSA73" s="371"/>
      <c r="VSB73" s="371"/>
      <c r="VSC73" s="371"/>
      <c r="VSD73" s="371"/>
      <c r="VSE73" s="371"/>
      <c r="VSF73" s="371"/>
      <c r="VSG73" s="371"/>
      <c r="VSH73" s="371"/>
      <c r="VSI73" s="371"/>
      <c r="VSJ73" s="371"/>
      <c r="VSK73" s="371"/>
      <c r="VSL73" s="371"/>
      <c r="VSM73" s="371"/>
      <c r="VSN73" s="371"/>
      <c r="VSO73" s="371"/>
      <c r="VSP73" s="371"/>
      <c r="VSQ73" s="371"/>
      <c r="VSR73" s="371"/>
      <c r="VSS73" s="371"/>
      <c r="VST73" s="371"/>
      <c r="VSU73" s="371"/>
      <c r="VSV73" s="371"/>
      <c r="VSW73" s="371"/>
      <c r="VSX73" s="371"/>
      <c r="VSY73" s="382"/>
      <c r="VTC73" s="371"/>
      <c r="VTD73" s="371"/>
      <c r="VTE73" s="371"/>
      <c r="VTF73" s="371"/>
      <c r="VTG73" s="371"/>
      <c r="VTH73" s="371"/>
      <c r="VTI73" s="371"/>
      <c r="VTJ73" s="371"/>
      <c r="VTK73" s="371"/>
      <c r="VTL73" s="371"/>
      <c r="VTM73" s="371"/>
      <c r="VTN73" s="371"/>
      <c r="VTO73" s="371"/>
      <c r="VTP73" s="371"/>
      <c r="VTQ73" s="371"/>
      <c r="VTR73" s="371"/>
      <c r="VTS73" s="371"/>
      <c r="VTT73" s="371"/>
      <c r="VTU73" s="371"/>
      <c r="VTV73" s="371"/>
      <c r="VTW73" s="371"/>
      <c r="VTX73" s="371"/>
      <c r="VTY73" s="371"/>
      <c r="VTZ73" s="371"/>
      <c r="VUA73" s="371"/>
      <c r="VUB73" s="371"/>
      <c r="VUC73" s="382"/>
      <c r="VUG73" s="371"/>
      <c r="VUH73" s="371"/>
      <c r="VUI73" s="371"/>
      <c r="VUJ73" s="371"/>
      <c r="VUK73" s="371"/>
      <c r="VUL73" s="371"/>
      <c r="VUM73" s="371"/>
      <c r="VUN73" s="371"/>
      <c r="VUO73" s="371"/>
      <c r="VUP73" s="371"/>
      <c r="VUQ73" s="371"/>
      <c r="VUR73" s="371"/>
      <c r="VUS73" s="371"/>
      <c r="VUT73" s="371"/>
      <c r="VUU73" s="371"/>
      <c r="VUV73" s="371"/>
      <c r="VUW73" s="371"/>
      <c r="VUX73" s="371"/>
      <c r="VUY73" s="371"/>
      <c r="VUZ73" s="371"/>
      <c r="VVA73" s="371"/>
      <c r="VVB73" s="371"/>
      <c r="VVC73" s="371"/>
      <c r="VVD73" s="371"/>
      <c r="VVE73" s="371"/>
      <c r="VVF73" s="371"/>
      <c r="VVG73" s="382"/>
      <c r="VVK73" s="371"/>
      <c r="VVL73" s="371"/>
      <c r="VVM73" s="371"/>
      <c r="VVN73" s="371"/>
      <c r="VVO73" s="371"/>
      <c r="VVP73" s="371"/>
      <c r="VVQ73" s="371"/>
      <c r="VVR73" s="371"/>
      <c r="VVS73" s="371"/>
      <c r="VVT73" s="371"/>
      <c r="VVU73" s="371"/>
      <c r="VVV73" s="371"/>
      <c r="VVW73" s="371"/>
      <c r="VVX73" s="371"/>
      <c r="VVY73" s="371"/>
      <c r="VVZ73" s="371"/>
      <c r="VWA73" s="371"/>
      <c r="VWB73" s="371"/>
      <c r="VWC73" s="371"/>
      <c r="VWD73" s="371"/>
      <c r="VWE73" s="371"/>
      <c r="VWF73" s="371"/>
      <c r="VWG73" s="371"/>
      <c r="VWH73" s="371"/>
      <c r="VWI73" s="371"/>
      <c r="VWJ73" s="371"/>
      <c r="VWK73" s="382"/>
      <c r="VWO73" s="371"/>
      <c r="VWP73" s="371"/>
      <c r="VWQ73" s="371"/>
      <c r="VWR73" s="371"/>
      <c r="VWS73" s="371"/>
      <c r="VWT73" s="371"/>
      <c r="VWU73" s="371"/>
      <c r="VWV73" s="371"/>
      <c r="VWW73" s="371"/>
      <c r="VWX73" s="371"/>
      <c r="VWY73" s="371"/>
      <c r="VWZ73" s="371"/>
      <c r="VXA73" s="371"/>
      <c r="VXB73" s="371"/>
      <c r="VXC73" s="371"/>
      <c r="VXD73" s="371"/>
      <c r="VXE73" s="371"/>
      <c r="VXF73" s="371"/>
      <c r="VXG73" s="371"/>
      <c r="VXH73" s="371"/>
      <c r="VXI73" s="371"/>
      <c r="VXJ73" s="371"/>
      <c r="VXK73" s="371"/>
      <c r="VXL73" s="371"/>
      <c r="VXM73" s="371"/>
      <c r="VXN73" s="371"/>
      <c r="VXO73" s="382"/>
      <c r="VXS73" s="371"/>
      <c r="VXT73" s="371"/>
      <c r="VXU73" s="371"/>
      <c r="VXV73" s="371"/>
      <c r="VXW73" s="371"/>
      <c r="VXX73" s="371"/>
      <c r="VXY73" s="371"/>
      <c r="VXZ73" s="371"/>
      <c r="VYA73" s="371"/>
      <c r="VYB73" s="371"/>
      <c r="VYC73" s="371"/>
      <c r="VYD73" s="371"/>
      <c r="VYE73" s="371"/>
      <c r="VYF73" s="371"/>
      <c r="VYG73" s="371"/>
      <c r="VYH73" s="371"/>
      <c r="VYI73" s="371"/>
      <c r="VYJ73" s="371"/>
      <c r="VYK73" s="371"/>
      <c r="VYL73" s="371"/>
      <c r="VYM73" s="371"/>
      <c r="VYN73" s="371"/>
      <c r="VYO73" s="371"/>
      <c r="VYP73" s="371"/>
      <c r="VYQ73" s="371"/>
      <c r="VYR73" s="371"/>
      <c r="VYS73" s="382"/>
      <c r="VYW73" s="371"/>
      <c r="VYX73" s="371"/>
      <c r="VYY73" s="371"/>
      <c r="VYZ73" s="371"/>
      <c r="VZA73" s="371"/>
      <c r="VZB73" s="371"/>
      <c r="VZC73" s="371"/>
      <c r="VZD73" s="371"/>
      <c r="VZE73" s="371"/>
      <c r="VZF73" s="371"/>
      <c r="VZG73" s="371"/>
      <c r="VZH73" s="371"/>
      <c r="VZI73" s="371"/>
      <c r="VZJ73" s="371"/>
      <c r="VZK73" s="371"/>
      <c r="VZL73" s="371"/>
      <c r="VZM73" s="371"/>
      <c r="VZN73" s="371"/>
      <c r="VZO73" s="371"/>
      <c r="VZP73" s="371"/>
      <c r="VZQ73" s="371"/>
      <c r="VZR73" s="371"/>
      <c r="VZS73" s="371"/>
      <c r="VZT73" s="371"/>
      <c r="VZU73" s="371"/>
      <c r="VZV73" s="371"/>
      <c r="VZW73" s="382"/>
      <c r="WAA73" s="371"/>
      <c r="WAB73" s="371"/>
      <c r="WAC73" s="371"/>
      <c r="WAD73" s="371"/>
      <c r="WAE73" s="371"/>
      <c r="WAF73" s="371"/>
      <c r="WAG73" s="371"/>
      <c r="WAH73" s="371"/>
      <c r="WAI73" s="371"/>
      <c r="WAJ73" s="371"/>
      <c r="WAK73" s="371"/>
      <c r="WAL73" s="371"/>
      <c r="WAM73" s="371"/>
      <c r="WAN73" s="371"/>
      <c r="WAO73" s="371"/>
      <c r="WAP73" s="371"/>
      <c r="WAQ73" s="371"/>
      <c r="WAR73" s="371"/>
      <c r="WAS73" s="371"/>
      <c r="WAT73" s="371"/>
      <c r="WAU73" s="371"/>
      <c r="WAV73" s="371"/>
      <c r="WAW73" s="371"/>
      <c r="WAX73" s="371"/>
      <c r="WAY73" s="371"/>
      <c r="WAZ73" s="371"/>
      <c r="WBA73" s="382"/>
      <c r="WBE73" s="371"/>
      <c r="WBF73" s="371"/>
      <c r="WBG73" s="371"/>
      <c r="WBH73" s="371"/>
      <c r="WBI73" s="371"/>
      <c r="WBJ73" s="371"/>
      <c r="WBK73" s="371"/>
      <c r="WBL73" s="371"/>
      <c r="WBM73" s="371"/>
      <c r="WBN73" s="371"/>
      <c r="WBO73" s="371"/>
      <c r="WBP73" s="371"/>
      <c r="WBQ73" s="371"/>
      <c r="WBR73" s="371"/>
      <c r="WBS73" s="371"/>
      <c r="WBT73" s="371"/>
      <c r="WBU73" s="371"/>
      <c r="WBV73" s="371"/>
      <c r="WBW73" s="371"/>
      <c r="WBX73" s="371"/>
      <c r="WBY73" s="371"/>
      <c r="WBZ73" s="371"/>
      <c r="WCA73" s="371"/>
      <c r="WCB73" s="371"/>
      <c r="WCC73" s="371"/>
      <c r="WCD73" s="371"/>
      <c r="WCE73" s="382"/>
      <c r="WCI73" s="371"/>
      <c r="WCJ73" s="371"/>
      <c r="WCK73" s="371"/>
      <c r="WCL73" s="371"/>
      <c r="WCM73" s="371"/>
      <c r="WCN73" s="371"/>
      <c r="WCO73" s="371"/>
      <c r="WCP73" s="371"/>
      <c r="WCQ73" s="371"/>
      <c r="WCR73" s="371"/>
      <c r="WCS73" s="371"/>
      <c r="WCT73" s="371"/>
      <c r="WCU73" s="371"/>
      <c r="WCV73" s="371"/>
      <c r="WCW73" s="371"/>
      <c r="WCX73" s="371"/>
      <c r="WCY73" s="371"/>
      <c r="WCZ73" s="371"/>
      <c r="WDA73" s="371"/>
      <c r="WDB73" s="371"/>
      <c r="WDC73" s="371"/>
      <c r="WDD73" s="371"/>
      <c r="WDE73" s="371"/>
      <c r="WDF73" s="371"/>
      <c r="WDG73" s="371"/>
      <c r="WDH73" s="371"/>
      <c r="WDI73" s="382"/>
      <c r="WDM73" s="371"/>
      <c r="WDN73" s="371"/>
      <c r="WDO73" s="371"/>
      <c r="WDP73" s="371"/>
      <c r="WDQ73" s="371"/>
      <c r="WDR73" s="371"/>
      <c r="WDS73" s="371"/>
      <c r="WDT73" s="371"/>
      <c r="WDU73" s="371"/>
      <c r="WDV73" s="371"/>
      <c r="WDW73" s="371"/>
      <c r="WDX73" s="371"/>
      <c r="WDY73" s="371"/>
      <c r="WDZ73" s="371"/>
      <c r="WEA73" s="371"/>
      <c r="WEB73" s="371"/>
      <c r="WEC73" s="371"/>
      <c r="WED73" s="371"/>
      <c r="WEE73" s="371"/>
      <c r="WEF73" s="371"/>
      <c r="WEG73" s="371"/>
      <c r="WEH73" s="371"/>
      <c r="WEI73" s="371"/>
      <c r="WEJ73" s="371"/>
      <c r="WEK73" s="371"/>
      <c r="WEL73" s="371"/>
      <c r="WEM73" s="382"/>
      <c r="WEQ73" s="371"/>
      <c r="WER73" s="371"/>
      <c r="WES73" s="371"/>
      <c r="WET73" s="371"/>
      <c r="WEU73" s="371"/>
      <c r="WEV73" s="371"/>
      <c r="WEW73" s="371"/>
      <c r="WEX73" s="371"/>
      <c r="WEY73" s="371"/>
      <c r="WEZ73" s="371"/>
      <c r="WFA73" s="371"/>
      <c r="WFB73" s="371"/>
      <c r="WFC73" s="371"/>
      <c r="WFD73" s="371"/>
      <c r="WFE73" s="371"/>
      <c r="WFF73" s="371"/>
      <c r="WFG73" s="371"/>
      <c r="WFH73" s="371"/>
      <c r="WFI73" s="371"/>
      <c r="WFJ73" s="371"/>
      <c r="WFK73" s="371"/>
      <c r="WFL73" s="371"/>
      <c r="WFM73" s="371"/>
      <c r="WFN73" s="371"/>
      <c r="WFO73" s="371"/>
      <c r="WFP73" s="371"/>
      <c r="WFQ73" s="382"/>
      <c r="WFU73" s="371"/>
      <c r="WFV73" s="371"/>
      <c r="WFW73" s="371"/>
      <c r="WFX73" s="371"/>
      <c r="WFY73" s="371"/>
      <c r="WFZ73" s="371"/>
      <c r="WGA73" s="371"/>
      <c r="WGB73" s="371"/>
      <c r="WGC73" s="371"/>
      <c r="WGD73" s="371"/>
      <c r="WGE73" s="371"/>
      <c r="WGF73" s="371"/>
      <c r="WGG73" s="371"/>
      <c r="WGH73" s="371"/>
      <c r="WGI73" s="371"/>
      <c r="WGJ73" s="371"/>
      <c r="WGK73" s="371"/>
      <c r="WGL73" s="371"/>
      <c r="WGM73" s="371"/>
      <c r="WGN73" s="371"/>
      <c r="WGO73" s="371"/>
      <c r="WGP73" s="371"/>
      <c r="WGQ73" s="371"/>
      <c r="WGR73" s="371"/>
      <c r="WGS73" s="371"/>
      <c r="WGT73" s="371"/>
      <c r="WGU73" s="382"/>
      <c r="WGY73" s="371"/>
      <c r="WGZ73" s="371"/>
      <c r="WHA73" s="371"/>
      <c r="WHB73" s="371"/>
      <c r="WHC73" s="371"/>
      <c r="WHD73" s="371"/>
      <c r="WHE73" s="371"/>
      <c r="WHF73" s="371"/>
      <c r="WHG73" s="371"/>
      <c r="WHH73" s="371"/>
      <c r="WHI73" s="371"/>
      <c r="WHJ73" s="371"/>
      <c r="WHK73" s="371"/>
      <c r="WHL73" s="371"/>
      <c r="WHM73" s="371"/>
      <c r="WHN73" s="371"/>
      <c r="WHO73" s="371"/>
      <c r="WHP73" s="371"/>
      <c r="WHQ73" s="371"/>
      <c r="WHR73" s="371"/>
      <c r="WHS73" s="371"/>
      <c r="WHT73" s="371"/>
      <c r="WHU73" s="371"/>
      <c r="WHV73" s="371"/>
      <c r="WHW73" s="371"/>
      <c r="WHX73" s="371"/>
      <c r="WHY73" s="382"/>
      <c r="WIC73" s="371"/>
      <c r="WID73" s="371"/>
      <c r="WIE73" s="371"/>
      <c r="WIF73" s="371"/>
      <c r="WIG73" s="371"/>
      <c r="WIH73" s="371"/>
      <c r="WII73" s="371"/>
      <c r="WIJ73" s="371"/>
      <c r="WIK73" s="371"/>
      <c r="WIL73" s="371"/>
      <c r="WIM73" s="371"/>
      <c r="WIN73" s="371"/>
      <c r="WIO73" s="371"/>
      <c r="WIP73" s="371"/>
      <c r="WIQ73" s="371"/>
      <c r="WIR73" s="371"/>
      <c r="WIS73" s="371"/>
      <c r="WIT73" s="371"/>
      <c r="WIU73" s="371"/>
      <c r="WIV73" s="371"/>
      <c r="WIW73" s="371"/>
      <c r="WIX73" s="371"/>
      <c r="WIY73" s="371"/>
      <c r="WIZ73" s="371"/>
      <c r="WJA73" s="371"/>
      <c r="WJB73" s="371"/>
      <c r="WJC73" s="382"/>
      <c r="WJG73" s="371"/>
      <c r="WJH73" s="371"/>
      <c r="WJI73" s="371"/>
      <c r="WJJ73" s="371"/>
      <c r="WJK73" s="371"/>
      <c r="WJL73" s="371"/>
      <c r="WJM73" s="371"/>
      <c r="WJN73" s="371"/>
      <c r="WJO73" s="371"/>
      <c r="WJP73" s="371"/>
      <c r="WJQ73" s="371"/>
      <c r="WJR73" s="371"/>
      <c r="WJS73" s="371"/>
      <c r="WJT73" s="371"/>
      <c r="WJU73" s="371"/>
      <c r="WJV73" s="371"/>
      <c r="WJW73" s="371"/>
      <c r="WJX73" s="371"/>
      <c r="WJY73" s="371"/>
      <c r="WJZ73" s="371"/>
      <c r="WKA73" s="371"/>
      <c r="WKB73" s="371"/>
      <c r="WKC73" s="371"/>
      <c r="WKD73" s="371"/>
      <c r="WKE73" s="371"/>
      <c r="WKF73" s="371"/>
      <c r="WKG73" s="382"/>
      <c r="WKK73" s="371"/>
      <c r="WKL73" s="371"/>
      <c r="WKM73" s="371"/>
      <c r="WKN73" s="371"/>
      <c r="WKO73" s="371"/>
      <c r="WKP73" s="371"/>
      <c r="WKQ73" s="371"/>
      <c r="WKR73" s="371"/>
      <c r="WKS73" s="371"/>
      <c r="WKT73" s="371"/>
      <c r="WKU73" s="371"/>
      <c r="WKV73" s="371"/>
      <c r="WKW73" s="371"/>
      <c r="WKX73" s="371"/>
      <c r="WKY73" s="371"/>
      <c r="WKZ73" s="371"/>
      <c r="WLA73" s="371"/>
      <c r="WLB73" s="371"/>
      <c r="WLC73" s="371"/>
      <c r="WLD73" s="371"/>
      <c r="WLE73" s="371"/>
      <c r="WLF73" s="371"/>
      <c r="WLG73" s="371"/>
      <c r="WLH73" s="371"/>
      <c r="WLI73" s="371"/>
      <c r="WLJ73" s="371"/>
      <c r="WLK73" s="382"/>
      <c r="WLO73" s="371"/>
      <c r="WLP73" s="371"/>
      <c r="WLQ73" s="371"/>
      <c r="WLR73" s="371"/>
      <c r="WLS73" s="371"/>
      <c r="WLT73" s="371"/>
      <c r="WLU73" s="371"/>
      <c r="WLV73" s="371"/>
      <c r="WLW73" s="371"/>
      <c r="WLX73" s="371"/>
      <c r="WLY73" s="371"/>
      <c r="WLZ73" s="371"/>
      <c r="WMA73" s="371"/>
      <c r="WMB73" s="371"/>
      <c r="WMC73" s="371"/>
      <c r="WMD73" s="371"/>
      <c r="WME73" s="371"/>
      <c r="WMF73" s="371"/>
      <c r="WMG73" s="371"/>
      <c r="WMH73" s="371"/>
      <c r="WMI73" s="371"/>
      <c r="WMJ73" s="371"/>
      <c r="WMK73" s="371"/>
      <c r="WML73" s="371"/>
      <c r="WMM73" s="371"/>
      <c r="WMN73" s="371"/>
      <c r="WMO73" s="382"/>
      <c r="WMS73" s="371"/>
      <c r="WMT73" s="371"/>
      <c r="WMU73" s="371"/>
      <c r="WMV73" s="371"/>
      <c r="WMW73" s="371"/>
      <c r="WMX73" s="371"/>
      <c r="WMY73" s="371"/>
      <c r="WMZ73" s="371"/>
      <c r="WNA73" s="371"/>
      <c r="WNB73" s="371"/>
      <c r="WNC73" s="371"/>
      <c r="WND73" s="371"/>
      <c r="WNE73" s="371"/>
      <c r="WNF73" s="371"/>
      <c r="WNG73" s="371"/>
      <c r="WNH73" s="371"/>
      <c r="WNI73" s="371"/>
      <c r="WNJ73" s="371"/>
      <c r="WNK73" s="371"/>
      <c r="WNL73" s="371"/>
      <c r="WNM73" s="371"/>
      <c r="WNN73" s="371"/>
      <c r="WNO73" s="371"/>
      <c r="WNP73" s="371"/>
      <c r="WNQ73" s="371"/>
      <c r="WNR73" s="371"/>
      <c r="WNS73" s="382"/>
      <c r="WNW73" s="371"/>
      <c r="WNX73" s="371"/>
      <c r="WNY73" s="371"/>
      <c r="WNZ73" s="371"/>
      <c r="WOA73" s="371"/>
      <c r="WOB73" s="371"/>
      <c r="WOC73" s="371"/>
      <c r="WOD73" s="371"/>
      <c r="WOE73" s="371"/>
      <c r="WOF73" s="371"/>
      <c r="WOG73" s="371"/>
      <c r="WOH73" s="371"/>
      <c r="WOI73" s="371"/>
      <c r="WOJ73" s="371"/>
      <c r="WOK73" s="371"/>
      <c r="WOL73" s="371"/>
      <c r="WOM73" s="371"/>
      <c r="WON73" s="371"/>
      <c r="WOO73" s="371"/>
      <c r="WOP73" s="371"/>
      <c r="WOQ73" s="371"/>
      <c r="WOR73" s="371"/>
      <c r="WOS73" s="371"/>
      <c r="WOT73" s="371"/>
      <c r="WOU73" s="371"/>
      <c r="WOV73" s="371"/>
      <c r="WOW73" s="382"/>
      <c r="WPA73" s="371"/>
      <c r="WPB73" s="371"/>
      <c r="WPC73" s="371"/>
      <c r="WPD73" s="371"/>
      <c r="WPE73" s="371"/>
      <c r="WPF73" s="371"/>
      <c r="WPG73" s="371"/>
      <c r="WPH73" s="371"/>
      <c r="WPI73" s="371"/>
      <c r="WPJ73" s="371"/>
      <c r="WPK73" s="371"/>
      <c r="WPL73" s="371"/>
      <c r="WPM73" s="371"/>
      <c r="WPN73" s="371"/>
      <c r="WPO73" s="371"/>
      <c r="WPP73" s="371"/>
      <c r="WPQ73" s="371"/>
      <c r="WPR73" s="371"/>
      <c r="WPS73" s="371"/>
      <c r="WPT73" s="371"/>
      <c r="WPU73" s="371"/>
      <c r="WPV73" s="371"/>
      <c r="WPW73" s="371"/>
      <c r="WPX73" s="371"/>
      <c r="WPY73" s="371"/>
      <c r="WPZ73" s="371"/>
      <c r="WQA73" s="382"/>
      <c r="WQE73" s="371"/>
      <c r="WQF73" s="371"/>
      <c r="WQG73" s="371"/>
      <c r="WQH73" s="371"/>
      <c r="WQI73" s="371"/>
      <c r="WQJ73" s="371"/>
      <c r="WQK73" s="371"/>
      <c r="WQL73" s="371"/>
      <c r="WQM73" s="371"/>
      <c r="WQN73" s="371"/>
      <c r="WQO73" s="371"/>
      <c r="WQP73" s="371"/>
      <c r="WQQ73" s="371"/>
      <c r="WQR73" s="371"/>
      <c r="WQS73" s="371"/>
      <c r="WQT73" s="371"/>
      <c r="WQU73" s="371"/>
      <c r="WQV73" s="371"/>
      <c r="WQW73" s="371"/>
      <c r="WQX73" s="371"/>
      <c r="WQY73" s="371"/>
      <c r="WQZ73" s="371"/>
      <c r="WRA73" s="371"/>
      <c r="WRB73" s="371"/>
      <c r="WRC73" s="371"/>
      <c r="WRD73" s="371"/>
      <c r="WRE73" s="382"/>
      <c r="WRI73" s="371"/>
      <c r="WRJ73" s="371"/>
      <c r="WRK73" s="371"/>
      <c r="WRL73" s="371"/>
      <c r="WRM73" s="371"/>
      <c r="WRN73" s="371"/>
      <c r="WRO73" s="371"/>
      <c r="WRP73" s="371"/>
      <c r="WRQ73" s="371"/>
      <c r="WRR73" s="371"/>
      <c r="WRS73" s="371"/>
      <c r="WRT73" s="371"/>
      <c r="WRU73" s="371"/>
      <c r="WRV73" s="371"/>
      <c r="WRW73" s="371"/>
      <c r="WRX73" s="371"/>
      <c r="WRY73" s="371"/>
      <c r="WRZ73" s="371"/>
      <c r="WSA73" s="371"/>
      <c r="WSB73" s="371"/>
      <c r="WSC73" s="371"/>
      <c r="WSD73" s="371"/>
      <c r="WSE73" s="371"/>
      <c r="WSF73" s="371"/>
      <c r="WSG73" s="371"/>
      <c r="WSH73" s="371"/>
      <c r="WSI73" s="382"/>
      <c r="WSM73" s="371"/>
      <c r="WSN73" s="371"/>
      <c r="WSO73" s="371"/>
      <c r="WSP73" s="371"/>
      <c r="WSQ73" s="371"/>
      <c r="WSR73" s="371"/>
      <c r="WSS73" s="371"/>
      <c r="WST73" s="371"/>
      <c r="WSU73" s="371"/>
      <c r="WSV73" s="371"/>
      <c r="WSW73" s="371"/>
      <c r="WSX73" s="371"/>
      <c r="WSY73" s="371"/>
      <c r="WSZ73" s="371"/>
      <c r="WTA73" s="371"/>
      <c r="WTB73" s="371"/>
      <c r="WTC73" s="371"/>
      <c r="WTD73" s="371"/>
      <c r="WTE73" s="371"/>
      <c r="WTF73" s="371"/>
      <c r="WTG73" s="371"/>
      <c r="WTH73" s="371"/>
      <c r="WTI73" s="371"/>
      <c r="WTJ73" s="371"/>
      <c r="WTK73" s="371"/>
      <c r="WTL73" s="371"/>
      <c r="WTM73" s="382"/>
      <c r="WTQ73" s="371"/>
      <c r="WTR73" s="371"/>
      <c r="WTS73" s="371"/>
      <c r="WTT73" s="371"/>
      <c r="WTU73" s="371"/>
      <c r="WTV73" s="371"/>
      <c r="WTW73" s="371"/>
      <c r="WTX73" s="371"/>
      <c r="WTY73" s="371"/>
      <c r="WTZ73" s="371"/>
      <c r="WUA73" s="371"/>
      <c r="WUB73" s="371"/>
      <c r="WUC73" s="371"/>
      <c r="WUD73" s="371"/>
      <c r="WUE73" s="371"/>
      <c r="WUF73" s="371"/>
      <c r="WUG73" s="371"/>
      <c r="WUH73" s="371"/>
      <c r="WUI73" s="371"/>
      <c r="WUJ73" s="371"/>
      <c r="WUK73" s="371"/>
      <c r="WUL73" s="371"/>
      <c r="WUM73" s="371"/>
      <c r="WUN73" s="371"/>
      <c r="WUO73" s="371"/>
      <c r="WUP73" s="371"/>
      <c r="WUQ73" s="382"/>
      <c r="WUU73" s="371"/>
      <c r="WUV73" s="371"/>
      <c r="WUW73" s="371"/>
      <c r="WUX73" s="371"/>
      <c r="WUY73" s="371"/>
      <c r="WUZ73" s="371"/>
      <c r="WVA73" s="371"/>
      <c r="WVB73" s="371"/>
      <c r="WVC73" s="371"/>
      <c r="WVD73" s="371"/>
      <c r="WVE73" s="371"/>
      <c r="WVF73" s="371"/>
      <c r="WVG73" s="371"/>
      <c r="WVH73" s="371"/>
      <c r="WVI73" s="371"/>
      <c r="WVJ73" s="371"/>
      <c r="WVK73" s="371"/>
      <c r="WVL73" s="371"/>
      <c r="WVM73" s="371"/>
      <c r="WVN73" s="371"/>
      <c r="WVO73" s="371"/>
      <c r="WVP73" s="371"/>
      <c r="WVQ73" s="371"/>
      <c r="WVR73" s="371"/>
      <c r="WVS73" s="371"/>
      <c r="WVT73" s="371"/>
      <c r="WVU73" s="382"/>
      <c r="WVY73" s="371"/>
      <c r="WVZ73" s="371"/>
      <c r="WWA73" s="371"/>
      <c r="WWB73" s="371"/>
      <c r="WWC73" s="371"/>
      <c r="WWD73" s="371"/>
      <c r="WWE73" s="371"/>
      <c r="WWF73" s="371"/>
      <c r="WWG73" s="371"/>
      <c r="WWH73" s="371"/>
      <c r="WWI73" s="371"/>
      <c r="WWJ73" s="371"/>
      <c r="WWK73" s="371"/>
      <c r="WWL73" s="371"/>
      <c r="WWM73" s="371"/>
      <c r="WWN73" s="371"/>
      <c r="WWO73" s="371"/>
      <c r="WWP73" s="371"/>
      <c r="WWQ73" s="371"/>
      <c r="WWR73" s="371"/>
      <c r="WWS73" s="371"/>
      <c r="WWT73" s="371"/>
      <c r="WWU73" s="371"/>
      <c r="WWV73" s="371"/>
      <c r="WWW73" s="371"/>
      <c r="WWX73" s="371"/>
      <c r="WWY73" s="382"/>
      <c r="WXC73" s="371"/>
      <c r="WXD73" s="371"/>
      <c r="WXE73" s="371"/>
      <c r="WXF73" s="371"/>
      <c r="WXG73" s="371"/>
      <c r="WXH73" s="371"/>
      <c r="WXI73" s="371"/>
      <c r="WXJ73" s="371"/>
      <c r="WXK73" s="371"/>
      <c r="WXL73" s="371"/>
      <c r="WXM73" s="371"/>
      <c r="WXN73" s="371"/>
      <c r="WXO73" s="371"/>
      <c r="WXP73" s="371"/>
      <c r="WXQ73" s="371"/>
      <c r="WXR73" s="371"/>
      <c r="WXS73" s="371"/>
      <c r="WXT73" s="371"/>
      <c r="WXU73" s="371"/>
      <c r="WXV73" s="371"/>
      <c r="WXW73" s="371"/>
      <c r="WXX73" s="371"/>
      <c r="WXY73" s="371"/>
      <c r="WXZ73" s="371"/>
      <c r="WYA73" s="371"/>
      <c r="WYB73" s="371"/>
      <c r="WYC73" s="382"/>
      <c r="WYG73" s="371"/>
      <c r="WYH73" s="371"/>
      <c r="WYI73" s="371"/>
      <c r="WYJ73" s="371"/>
      <c r="WYK73" s="371"/>
      <c r="WYL73" s="371"/>
      <c r="WYM73" s="371"/>
      <c r="WYN73" s="371"/>
      <c r="WYO73" s="371"/>
      <c r="WYP73" s="371"/>
      <c r="WYQ73" s="371"/>
      <c r="WYR73" s="371"/>
      <c r="WYS73" s="371"/>
      <c r="WYT73" s="371"/>
      <c r="WYU73" s="371"/>
      <c r="WYV73" s="371"/>
      <c r="WYW73" s="371"/>
      <c r="WYX73" s="371"/>
      <c r="WYY73" s="371"/>
      <c r="WYZ73" s="371"/>
      <c r="WZA73" s="371"/>
      <c r="WZB73" s="371"/>
      <c r="WZC73" s="371"/>
      <c r="WZD73" s="371"/>
      <c r="WZE73" s="371"/>
      <c r="WZF73" s="371"/>
      <c r="WZG73" s="382"/>
      <c r="WZK73" s="371"/>
      <c r="WZL73" s="371"/>
      <c r="WZM73" s="371"/>
      <c r="WZN73" s="371"/>
      <c r="WZO73" s="371"/>
      <c r="WZP73" s="371"/>
      <c r="WZQ73" s="371"/>
      <c r="WZR73" s="371"/>
      <c r="WZS73" s="371"/>
      <c r="WZT73" s="371"/>
      <c r="WZU73" s="371"/>
      <c r="WZV73" s="371"/>
      <c r="WZW73" s="371"/>
      <c r="WZX73" s="371"/>
      <c r="WZY73" s="371"/>
      <c r="WZZ73" s="371"/>
      <c r="XAA73" s="371"/>
      <c r="XAB73" s="371"/>
      <c r="XAC73" s="371"/>
      <c r="XAD73" s="371"/>
      <c r="XAE73" s="371"/>
      <c r="XAF73" s="371"/>
      <c r="XAG73" s="371"/>
      <c r="XAH73" s="371"/>
      <c r="XAI73" s="371"/>
      <c r="XAJ73" s="371"/>
      <c r="XAK73" s="382"/>
      <c r="XAO73" s="371"/>
      <c r="XAP73" s="371"/>
      <c r="XAQ73" s="371"/>
      <c r="XAR73" s="371"/>
      <c r="XAS73" s="371"/>
      <c r="XAT73" s="371"/>
      <c r="XAU73" s="371"/>
      <c r="XAV73" s="371"/>
      <c r="XAW73" s="371"/>
      <c r="XAX73" s="371"/>
      <c r="XAY73" s="371"/>
      <c r="XAZ73" s="371"/>
      <c r="XBA73" s="371"/>
      <c r="XBB73" s="371"/>
      <c r="XBC73" s="371"/>
      <c r="XBD73" s="371"/>
      <c r="XBE73" s="371"/>
      <c r="XBF73" s="371"/>
      <c r="XBG73" s="371"/>
      <c r="XBH73" s="371"/>
      <c r="XBI73" s="371"/>
      <c r="XBJ73" s="371"/>
      <c r="XBK73" s="371"/>
      <c r="XBL73" s="371"/>
      <c r="XBM73" s="371"/>
      <c r="XBN73" s="371"/>
      <c r="XBO73" s="382"/>
      <c r="XBS73" s="371"/>
      <c r="XBT73" s="371"/>
      <c r="XBU73" s="371"/>
      <c r="XBV73" s="371"/>
      <c r="XBW73" s="371"/>
      <c r="XBX73" s="371"/>
      <c r="XBY73" s="371"/>
      <c r="XBZ73" s="371"/>
      <c r="XCA73" s="371"/>
      <c r="XCB73" s="371"/>
      <c r="XCC73" s="371"/>
      <c r="XCD73" s="371"/>
      <c r="XCE73" s="371"/>
      <c r="XCF73" s="371"/>
      <c r="XCG73" s="371"/>
      <c r="XCH73" s="371"/>
      <c r="XCI73" s="371"/>
      <c r="XCJ73" s="371"/>
      <c r="XCK73" s="371"/>
      <c r="XCL73" s="371"/>
      <c r="XCM73" s="371"/>
      <c r="XCN73" s="371"/>
      <c r="XCO73" s="371"/>
      <c r="XCP73" s="371"/>
      <c r="XCQ73" s="371"/>
      <c r="XCR73" s="371"/>
      <c r="XCS73" s="382"/>
      <c r="XCW73" s="371"/>
      <c r="XCX73" s="371"/>
      <c r="XCY73" s="371"/>
      <c r="XCZ73" s="371"/>
      <c r="XDA73" s="371"/>
      <c r="XDB73" s="371"/>
      <c r="XDC73" s="371"/>
      <c r="XDD73" s="371"/>
      <c r="XDE73" s="371"/>
      <c r="XDF73" s="371"/>
      <c r="XDG73" s="371"/>
      <c r="XDH73" s="371"/>
      <c r="XDI73" s="371"/>
      <c r="XDJ73" s="371"/>
      <c r="XDK73" s="371"/>
      <c r="XDL73" s="371"/>
      <c r="XDM73" s="371"/>
      <c r="XDN73" s="371"/>
      <c r="XDO73" s="371"/>
      <c r="XDP73" s="371"/>
      <c r="XDQ73" s="371"/>
      <c r="XDR73" s="371"/>
      <c r="XDS73" s="371"/>
      <c r="XDT73" s="371"/>
      <c r="XDU73" s="371"/>
      <c r="XDV73" s="371"/>
      <c r="XDW73" s="382"/>
      <c r="XEA73" s="371"/>
      <c r="XEB73" s="371"/>
      <c r="XEC73" s="371"/>
      <c r="XED73" s="371"/>
      <c r="XEE73" s="371"/>
      <c r="XEF73" s="371"/>
      <c r="XEG73" s="371"/>
      <c r="XEH73" s="371"/>
      <c r="XEI73" s="371"/>
      <c r="XEJ73" s="371"/>
      <c r="XEK73" s="371"/>
      <c r="XEL73" s="371"/>
      <c r="XEM73" s="371"/>
      <c r="XEN73" s="371"/>
      <c r="XEO73" s="371"/>
      <c r="XEP73" s="371"/>
      <c r="XEQ73" s="371"/>
      <c r="XER73" s="371"/>
      <c r="XES73" s="371"/>
      <c r="XET73" s="371"/>
      <c r="XEU73" s="371"/>
      <c r="XEV73" s="371"/>
      <c r="XEW73" s="371"/>
      <c r="XEX73" s="371"/>
      <c r="XEY73" s="371"/>
      <c r="XEZ73" s="371"/>
      <c r="XFA73" s="382"/>
    </row>
    <row r="74" spans="1:16384" customFormat="1" x14ac:dyDescent="0.35">
      <c r="A74" s="384"/>
      <c r="B74" s="1" t="s">
        <v>668</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spans="1:16384" customFormat="1" x14ac:dyDescent="0.35">
      <c r="A75" s="2"/>
      <c r="B75" t="s">
        <v>670</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spans="1:16384" customFormat="1" x14ac:dyDescent="0.35">
      <c r="A76" s="384"/>
      <c r="B76" t="s">
        <v>671</v>
      </c>
    </row>
    <row r="77" spans="1:16384" customFormat="1" x14ac:dyDescent="0.35">
      <c r="A77" s="384"/>
      <c r="B77" t="s">
        <v>669</v>
      </c>
    </row>
    <row r="78" spans="1:16384" customFormat="1" x14ac:dyDescent="0.35">
      <c r="A78" s="384"/>
      <c r="B78" s="33" t="s">
        <v>672</v>
      </c>
    </row>
    <row r="79" spans="1:16384" customFormat="1" x14ac:dyDescent="0.35">
      <c r="A79" s="2"/>
      <c r="B79" s="1"/>
      <c r="D79" s="1"/>
      <c r="E79" s="1"/>
      <c r="G79" s="1"/>
      <c r="H79" s="1"/>
      <c r="I79" s="62"/>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spans="1:16384" customFormat="1" x14ac:dyDescent="0.35">
      <c r="A80" s="2"/>
      <c r="B80" s="1" t="s">
        <v>755</v>
      </c>
      <c r="C80" s="1"/>
      <c r="D80" s="1"/>
      <c r="E80" s="1"/>
      <c r="G80" s="1"/>
      <c r="H80" s="1"/>
      <c r="I80" s="62"/>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spans="2:9" x14ac:dyDescent="0.35">
      <c r="H81" s="397" t="s">
        <v>715</v>
      </c>
      <c r="I81" s="374" t="s">
        <v>691</v>
      </c>
    </row>
    <row r="82" spans="2:9" x14ac:dyDescent="0.35">
      <c r="H82" s="397" t="s">
        <v>706</v>
      </c>
      <c r="I82" s="374" t="s">
        <v>691</v>
      </c>
    </row>
    <row r="83" spans="2:9" x14ac:dyDescent="0.35">
      <c r="B83" t="s">
        <v>756</v>
      </c>
    </row>
    <row r="84" spans="2:9" x14ac:dyDescent="0.35">
      <c r="B84" t="s">
        <v>757</v>
      </c>
    </row>
  </sheetData>
  <mergeCells count="3">
    <mergeCell ref="D10:G10"/>
    <mergeCell ref="I10:K10"/>
    <mergeCell ref="M10:Q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4BB2F-7958-4562-854B-DFCD866C483C}">
  <dimension ref="A1"/>
  <sheetViews>
    <sheetView workbookViewId="0">
      <selection sqref="A1:L25"/>
    </sheetView>
  </sheetViews>
  <sheetFormatPr defaultRowHeight="14.5" x14ac:dyDescent="0.3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813E-53AE-4159-B6D6-1146B744B584}">
  <sheetPr codeName="Sheet4"/>
  <dimension ref="A1:E10"/>
  <sheetViews>
    <sheetView workbookViewId="0"/>
  </sheetViews>
  <sheetFormatPr defaultRowHeight="14.5" x14ac:dyDescent="0.35"/>
  <cols>
    <col min="1" max="1" width="6.81640625" bestFit="1" customWidth="1"/>
    <col min="2" max="2" width="2.1796875" bestFit="1" customWidth="1"/>
    <col min="3" max="3" width="2.81640625" bestFit="1" customWidth="1"/>
    <col min="4" max="4" width="24.81640625" bestFit="1" customWidth="1"/>
  </cols>
  <sheetData>
    <row r="1" spans="1:5" x14ac:dyDescent="0.35">
      <c r="A1" t="s">
        <v>31</v>
      </c>
      <c r="B1" t="s">
        <v>51</v>
      </c>
      <c r="C1">
        <v>4</v>
      </c>
      <c r="D1" t="s">
        <v>32</v>
      </c>
    </row>
    <row r="2" spans="1:5" x14ac:dyDescent="0.35">
      <c r="A2" t="s">
        <v>33</v>
      </c>
      <c r="B2" t="s">
        <v>51</v>
      </c>
      <c r="C2">
        <v>12</v>
      </c>
      <c r="D2" t="s">
        <v>34</v>
      </c>
    </row>
    <row r="3" spans="1:5" x14ac:dyDescent="0.35">
      <c r="A3" t="s">
        <v>35</v>
      </c>
      <c r="B3" t="s">
        <v>51</v>
      </c>
      <c r="C3">
        <v>4</v>
      </c>
      <c r="D3" t="s">
        <v>36</v>
      </c>
    </row>
    <row r="4" spans="1:5" x14ac:dyDescent="0.35">
      <c r="A4" t="s">
        <v>37</v>
      </c>
      <c r="B4" t="s">
        <v>51</v>
      </c>
      <c r="C4">
        <v>3</v>
      </c>
      <c r="D4" t="s">
        <v>38</v>
      </c>
    </row>
    <row r="5" spans="1:5" x14ac:dyDescent="0.35">
      <c r="A5" t="s">
        <v>39</v>
      </c>
      <c r="B5" t="s">
        <v>51</v>
      </c>
      <c r="C5">
        <v>10</v>
      </c>
      <c r="D5" t="s">
        <v>40</v>
      </c>
    </row>
    <row r="6" spans="1:5" x14ac:dyDescent="0.35">
      <c r="A6" t="s">
        <v>41</v>
      </c>
      <c r="B6" t="s">
        <v>51</v>
      </c>
      <c r="C6">
        <v>10</v>
      </c>
      <c r="D6" t="s">
        <v>42</v>
      </c>
    </row>
    <row r="7" spans="1:5" x14ac:dyDescent="0.35">
      <c r="A7" t="s">
        <v>43</v>
      </c>
      <c r="B7" t="s">
        <v>51</v>
      </c>
      <c r="C7">
        <v>10</v>
      </c>
      <c r="D7" t="s">
        <v>44</v>
      </c>
    </row>
    <row r="8" spans="1:5" x14ac:dyDescent="0.35">
      <c r="A8" t="s">
        <v>45</v>
      </c>
      <c r="B8" t="s">
        <v>51</v>
      </c>
      <c r="C8">
        <v>31</v>
      </c>
      <c r="D8" t="s">
        <v>46</v>
      </c>
    </row>
    <row r="9" spans="1:5" x14ac:dyDescent="0.35">
      <c r="A9" s="34" t="s">
        <v>47</v>
      </c>
      <c r="B9" s="34" t="s">
        <v>51</v>
      </c>
      <c r="C9" s="34">
        <v>3</v>
      </c>
      <c r="D9" s="34" t="s">
        <v>48</v>
      </c>
      <c r="E9" s="34" t="s">
        <v>59</v>
      </c>
    </row>
    <row r="10" spans="1:5" x14ac:dyDescent="0.35">
      <c r="A10" t="s">
        <v>49</v>
      </c>
      <c r="B10" t="s">
        <v>51</v>
      </c>
      <c r="C10">
        <v>10</v>
      </c>
      <c r="D10" t="s">
        <v>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6F89-DC87-4D67-AF59-135AD0C8A97B}">
  <sheetPr codeName="Sheet5"/>
  <dimension ref="A1:I5"/>
  <sheetViews>
    <sheetView workbookViewId="0"/>
  </sheetViews>
  <sheetFormatPr defaultRowHeight="14.5" x14ac:dyDescent="0.35"/>
  <cols>
    <col min="1" max="1" width="13.1796875" bestFit="1" customWidth="1"/>
    <col min="2" max="2" width="16.54296875" bestFit="1" customWidth="1"/>
    <col min="3" max="3" width="15.1796875" bestFit="1" customWidth="1"/>
    <col min="4" max="5" width="24.1796875" bestFit="1" customWidth="1"/>
    <col min="6" max="6" width="24.81640625" bestFit="1" customWidth="1"/>
    <col min="7" max="7" width="14.54296875" bestFit="1" customWidth="1"/>
    <col min="8" max="8" width="13.1796875" bestFit="1" customWidth="1"/>
    <col min="9" max="9" width="22.81640625" bestFit="1" customWidth="1"/>
  </cols>
  <sheetData>
    <row r="1" spans="1:9" s="1" customFormat="1" ht="31" customHeight="1" x14ac:dyDescent="0.35">
      <c r="A1" s="32" t="s">
        <v>32</v>
      </c>
      <c r="B1" s="32" t="s">
        <v>34</v>
      </c>
      <c r="C1" s="32" t="s">
        <v>36</v>
      </c>
      <c r="D1" s="32" t="s">
        <v>38</v>
      </c>
      <c r="E1" s="32" t="s">
        <v>40</v>
      </c>
      <c r="F1" s="32" t="s">
        <v>42</v>
      </c>
      <c r="G1" s="32" t="s">
        <v>44</v>
      </c>
      <c r="H1" s="32" t="s">
        <v>46</v>
      </c>
      <c r="I1" s="32" t="s">
        <v>50</v>
      </c>
    </row>
    <row r="2" spans="1:9" x14ac:dyDescent="0.35">
      <c r="A2">
        <v>1830</v>
      </c>
      <c r="B2">
        <v>10000000000</v>
      </c>
      <c r="C2" s="33" t="s">
        <v>52</v>
      </c>
      <c r="D2">
        <v>100</v>
      </c>
      <c r="E2" t="s">
        <v>53</v>
      </c>
      <c r="F2" t="s">
        <v>53</v>
      </c>
      <c r="G2" t="s">
        <v>53</v>
      </c>
      <c r="H2">
        <v>500</v>
      </c>
      <c r="I2">
        <v>9000000004</v>
      </c>
    </row>
    <row r="3" spans="1:9" x14ac:dyDescent="0.35">
      <c r="A3">
        <v>1830</v>
      </c>
      <c r="B3">
        <v>10000000000</v>
      </c>
      <c r="C3" s="33" t="s">
        <v>52</v>
      </c>
      <c r="D3">
        <v>105</v>
      </c>
      <c r="E3" t="s">
        <v>54</v>
      </c>
      <c r="F3" t="s">
        <v>54</v>
      </c>
      <c r="G3" t="s">
        <v>54</v>
      </c>
      <c r="H3">
        <v>150</v>
      </c>
      <c r="I3">
        <v>9000000004</v>
      </c>
    </row>
    <row r="4" spans="1:9" x14ac:dyDescent="0.35">
      <c r="A4">
        <v>1830</v>
      </c>
      <c r="B4">
        <v>10000000001</v>
      </c>
      <c r="C4" s="33" t="s">
        <v>52</v>
      </c>
      <c r="D4">
        <v>100</v>
      </c>
      <c r="E4" t="s">
        <v>55</v>
      </c>
      <c r="F4" t="s">
        <v>55</v>
      </c>
      <c r="G4" t="s">
        <v>55</v>
      </c>
      <c r="H4">
        <v>700</v>
      </c>
      <c r="I4">
        <v>9000000004</v>
      </c>
    </row>
    <row r="5" spans="1:9" x14ac:dyDescent="0.35">
      <c r="A5">
        <v>1830</v>
      </c>
      <c r="B5">
        <v>10000000001</v>
      </c>
      <c r="C5" s="33" t="s">
        <v>52</v>
      </c>
      <c r="D5">
        <v>105</v>
      </c>
      <c r="E5" t="s">
        <v>56</v>
      </c>
      <c r="F5" t="s">
        <v>56</v>
      </c>
      <c r="G5" t="s">
        <v>56</v>
      </c>
      <c r="H5">
        <v>100</v>
      </c>
      <c r="I5">
        <v>9000000004</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Mig Acts</vt:lpstr>
      <vt:lpstr>Mig Acts Overview</vt:lpstr>
      <vt:lpstr>Asset Example manual GL posting</vt:lpstr>
      <vt:lpstr>User_Flow</vt:lpstr>
      <vt:lpstr>GL Temp Simplified</vt:lpstr>
      <vt:lpstr>Temp Demo</vt:lpstr>
      <vt:lpstr>Temp Sample</vt:lpstr>
      <vt:lpstr>Recap</vt:lpstr>
      <vt:lpstr>Reversal Scenarios</vt:lpstr>
      <vt:lpstr>WBS Accounting Entry</vt:lpstr>
      <vt:lpstr>Opt3 (Final)</vt:lpstr>
      <vt:lpstr>Opt3</vt:lpstr>
      <vt:lpstr>Strategy Options</vt:lpstr>
      <vt:lpstr>Project RA</vt:lpstr>
      <vt:lpstr>Sheet1</vt:lpstr>
      <vt:lpstr>LSMW Table</vt:lpstr>
      <vt:lpstr>LSMW 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Quoc Dat Kenway</dc:creator>
  <cp:lastModifiedBy>Hoàng Quốc Đạt</cp:lastModifiedBy>
  <dcterms:created xsi:type="dcterms:W3CDTF">2026-04-01T05:01:32Z</dcterms:created>
  <dcterms:modified xsi:type="dcterms:W3CDTF">2026-09-30T04:38:11Z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43ec3a-92eb-434b-bfcd-dd5fcd578c71_Enabled">
    <vt:lpwstr>true</vt:lpwstr>
  </property>
  <property fmtid="{D5CDD505-2E9C-101B-9397-08002B2CF9AE}" pid="3" name="MSIP_Label_a043ec3a-92eb-434b-bfcd-dd5fcd578c71_SetDate">
    <vt:lpwstr>2026-04-01T05:06:44Z</vt:lpwstr>
  </property>
  <property fmtid="{D5CDD505-2E9C-101B-9397-08002B2CF9AE}" pid="4" name="MSIP_Label_a043ec3a-92eb-434b-bfcd-dd5fcd578c71_Method">
    <vt:lpwstr>Privileged</vt:lpwstr>
  </property>
  <property fmtid="{D5CDD505-2E9C-101B-9397-08002B2CF9AE}" pid="5" name="MSIP_Label_a043ec3a-92eb-434b-bfcd-dd5fcd578c71_Name">
    <vt:lpwstr>Group_Unrestricted</vt:lpwstr>
  </property>
  <property fmtid="{D5CDD505-2E9C-101B-9397-08002B2CF9AE}" pid="6" name="MSIP_Label_a043ec3a-92eb-434b-bfcd-dd5fcd578c71_SiteId">
    <vt:lpwstr>82fac8d8-49c2-492d-9f67-7d9e5b66144e</vt:lpwstr>
  </property>
  <property fmtid="{D5CDD505-2E9C-101B-9397-08002B2CF9AE}" pid="7" name="MSIP_Label_a043ec3a-92eb-434b-bfcd-dd5fcd578c71_ActionId">
    <vt:lpwstr>c17412d9-5485-4dde-90f0-fb551786505e</vt:lpwstr>
  </property>
  <property fmtid="{D5CDD505-2E9C-101B-9397-08002B2CF9AE}" pid="8" name="MSIP_Label_a043ec3a-92eb-434b-bfcd-dd5fcd578c71_ContentBits">
    <vt:lpwstr>0</vt:lpwstr>
  </property>
  <property fmtid="{D5CDD505-2E9C-101B-9397-08002B2CF9AE}" pid="9" name="MSIP_Label_a043ec3a-92eb-434b-bfcd-dd5fcd578c71_Tag">
    <vt:lpwstr>10, 0, 1, 1</vt:lpwstr>
  </property>
</Properties>
</file>