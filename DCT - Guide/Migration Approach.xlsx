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70023796\Desktop\"/>
    </mc:Choice>
  </mc:AlternateContent>
  <xr:revisionPtr revIDLastSave="0" documentId="13_ncr:1_{E3ED8B0E-94F2-402D-9C78-20C741D4DA86}" xr6:coauthVersionLast="47" xr6:coauthVersionMax="47" xr10:uidLastSave="{00000000-0000-0000-0000-000000000000}"/>
  <bookViews>
    <workbookView xWindow="-110" yWindow="-110" windowWidth="25820" windowHeight="13900" xr2:uid="{7CAA1510-BEF0-44FB-B9DF-6BA498C876D6}"/>
  </bookViews>
  <sheets>
    <sheet name="Recap" sheetId="6" r:id="rId1"/>
    <sheet name="Opt3 (Final)" sheetId="5" r:id="rId2"/>
    <sheet name="Opt3" sheetId="4" r:id="rId3"/>
    <sheet name="Strategy Options" sheetId="1" r:id="rId4"/>
    <sheet name="LSMW Table" sheetId="2" r:id="rId5"/>
    <sheet name="LSMW Temp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7" i="6" l="1"/>
  <c r="AI28" i="6"/>
  <c r="AI29" i="6"/>
  <c r="AI30" i="6"/>
  <c r="AI31" i="6"/>
  <c r="AI26" i="6"/>
  <c r="AI19" i="6"/>
  <c r="AI20" i="6"/>
  <c r="AI21" i="6"/>
  <c r="AI22" i="6"/>
  <c r="AI23" i="6"/>
  <c r="AI24" i="6"/>
  <c r="AI25" i="6"/>
  <c r="AI18" i="6"/>
  <c r="AI13" i="6"/>
  <c r="AI12" i="6"/>
  <c r="AI11" i="6"/>
  <c r="AI10" i="6"/>
  <c r="AI5" i="6"/>
  <c r="AI6" i="6"/>
  <c r="AI7" i="6"/>
  <c r="AI8" i="6"/>
  <c r="AI9" i="6"/>
  <c r="AI4" i="6"/>
  <c r="AF5" i="6"/>
  <c r="AF6" i="6"/>
  <c r="AF7" i="6"/>
  <c r="AF8" i="6"/>
  <c r="AF9" i="6"/>
  <c r="AF10" i="6"/>
  <c r="AF11" i="6"/>
  <c r="AF12" i="6"/>
  <c r="AF13" i="6"/>
  <c r="AF14" i="6"/>
  <c r="AF15" i="6"/>
  <c r="AF16" i="6"/>
  <c r="AF17" i="6"/>
  <c r="AF18" i="6"/>
  <c r="AF19" i="6"/>
  <c r="AF20" i="6"/>
  <c r="AF21" i="6"/>
  <c r="AF22" i="6"/>
  <c r="AF23" i="6"/>
  <c r="AF24" i="6"/>
  <c r="AF25" i="6"/>
  <c r="AF26" i="6"/>
  <c r="AF27" i="6"/>
  <c r="AF28" i="6"/>
  <c r="AF29" i="6"/>
  <c r="AF30" i="6"/>
  <c r="AF31" i="6"/>
  <c r="AF4" i="6"/>
  <c r="AI17" i="6"/>
  <c r="AI16" i="6"/>
  <c r="AI15" i="6"/>
  <c r="AI14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Z15" i="6"/>
  <c r="Z16" i="6"/>
  <c r="Z17" i="6"/>
  <c r="Z18" i="6"/>
  <c r="Z19" i="6"/>
  <c r="Z20" i="6"/>
  <c r="Z21" i="6"/>
  <c r="Z22" i="6"/>
  <c r="Z23" i="6"/>
  <c r="Z24" i="6"/>
  <c r="Z25" i="6"/>
  <c r="Z14" i="6"/>
  <c r="AC11" i="6"/>
  <c r="AC12" i="6"/>
  <c r="AC13" i="6"/>
  <c r="AC10" i="6"/>
  <c r="Z11" i="6"/>
  <c r="Z12" i="6"/>
  <c r="Z13" i="6"/>
  <c r="Z10" i="6"/>
  <c r="Z5" i="6"/>
  <c r="Z6" i="6"/>
  <c r="Z7" i="6"/>
  <c r="Z4" i="6"/>
  <c r="AC5" i="6"/>
  <c r="AC6" i="6"/>
  <c r="AC7" i="6"/>
  <c r="AC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tc={FA784C6A-A253-4B1B-A59C-363C6A3F003D}</author>
  </authors>
  <commentList>
    <comment ref="C17" authorId="0" shapeId="0" xr:uid="{FA784C6A-A253-4B1B-A59C-363C6A3F003D}">
      <text>
        <t>[Threaded comment]
Your version of Excel allows you to read this threaded comment; however, any edits to it will get removed if the file is opened in a newer version of Excel. Learn more: https://go.microsoft.com/fwlink/?linkid=870924
Comment:
    1 Migration Open BS
1 Migration Normal AR
1 Migration Downpayment AR
1 Migration Normal AP
1 Migration Downpayment AP
1 Migration Inventory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tc={31A57323-7DF0-4B2F-9222-8FFF99F19E88}</author>
  </authors>
  <commentList>
    <comment ref="C31" authorId="0" shapeId="0" xr:uid="{31A57323-7DF0-4B2F-9222-8FFF99F19E88}">
      <text>
        <t>[Threaded comment]
Your version of Excel allows you to read this threaded comment; however, any edits to it will get removed if the file is opened in a newer version of Excel. Learn more: https://go.microsoft.com/fwlink/?linkid=870924
Comment:
    If needed then in 3 Migration Templates or 1 Migration Template with Sum, we will have to fill in Open items per month-end (6 months in total)</t>
      </text>
    </comment>
  </commentList>
</comments>
</file>

<file path=xl/sharedStrings.xml><?xml version="1.0" encoding="utf-8"?>
<sst xmlns="http://schemas.openxmlformats.org/spreadsheetml/2006/main" count="666" uniqueCount="285">
  <si>
    <t>Asset Cumulative values (Acquisition + Accum. Depreciation)</t>
  </si>
  <si>
    <t>Asset Posted Depreciation in current FY</t>
  </si>
  <si>
    <t>Open Items BS GLACs</t>
  </si>
  <si>
    <t>Open AR</t>
  </si>
  <si>
    <t>Open AP</t>
  </si>
  <si>
    <t>Transaction Balances</t>
  </si>
  <si>
    <t>Transaction Details</t>
  </si>
  <si>
    <t>2025 Ending Balances</t>
  </si>
  <si>
    <t>Migration Objects</t>
  </si>
  <si>
    <t>Ending Balances Only</t>
  </si>
  <si>
    <t>1/2/3</t>
  </si>
  <si>
    <t>1</t>
  </si>
  <si>
    <t>2</t>
  </si>
  <si>
    <t>2/3</t>
  </si>
  <si>
    <t>3</t>
  </si>
  <si>
    <t>No Need</t>
  </si>
  <si>
    <t>In Option 3</t>
  </si>
  <si>
    <t>_For Open BS/AR/AP, we post the Ending Balance on 31-Dec-2025 then reverse on 30-June-2026</t>
  </si>
  <si>
    <t>_For Asset Posted Depreciation</t>
  </si>
  <si>
    <t>_For Asset Cumulative values</t>
  </si>
  <si>
    <t>1. Set Transfer Date 31.12.2025 (FAA_CMP_LDT)</t>
  </si>
  <si>
    <t>2. Manually run depreciation via AFAB for 6 months of 2026 (aka Posted Depreciation is 0 initially in template)</t>
  </si>
  <si>
    <t>Choice 1</t>
  </si>
  <si>
    <t>Choice 2</t>
  </si>
  <si>
    <t>1. Set Transfer Date 30.06.2026 + Closed FY 2025 + Highest Open FY 2026 (FAA_CMP_LDT)</t>
  </si>
  <si>
    <t>1. Set Transfer Date 31.12.2025 + Closed FY 2025 + Highest Open FY 2026 (FAA_CMP_LDT) already carried forward (FAGLGVTR)</t>
  </si>
  <si>
    <t>1. Set Transfer Date 30.06.2026 + Closed FY 2025 + Highest Open FY 2026 (FAA_CMP_LDT) already carried forward (FAGLGVTR)</t>
  </si>
  <si>
    <t>2. Upload template to migrate all Assets on 31-Dec-2025 then carryforward to 2026</t>
  </si>
  <si>
    <t>_For Asset transaction in current FY</t>
  </si>
  <si>
    <t>OK</t>
  </si>
  <si>
    <t>1. Manually post via AB01L that syncs with Asset Posted Depreciation</t>
  </si>
  <si>
    <t>BUKRS</t>
  </si>
  <si>
    <t>Company Code</t>
  </si>
  <si>
    <t>ANLN1</t>
  </si>
  <si>
    <t>Main Asset Number</t>
  </si>
  <si>
    <t>ANLN2</t>
  </si>
  <si>
    <t>Asset Subnumber</t>
  </si>
  <si>
    <t>BWASL</t>
  </si>
  <si>
    <t>Trans. Type (HQ Manual Add)</t>
  </si>
  <si>
    <t>BLDAT</t>
  </si>
  <si>
    <t>Document Date in Document</t>
  </si>
  <si>
    <t>BUDAT</t>
  </si>
  <si>
    <t>Posting Date in the Document</t>
  </si>
  <si>
    <t>BZDAT</t>
  </si>
  <si>
    <t>Asset Value Date</t>
  </si>
  <si>
    <t>ANBTR</t>
  </si>
  <si>
    <t>Amount Posted</t>
  </si>
  <si>
    <t>MEINS</t>
  </si>
  <si>
    <t>Base Unit of Measure</t>
  </si>
  <si>
    <t>GKONT</t>
  </si>
  <si>
    <t>Offsetting Account Number</t>
  </si>
  <si>
    <t>C</t>
  </si>
  <si>
    <t>0000</t>
  </si>
  <si>
    <t>03.03.2026</t>
  </si>
  <si>
    <t>04.03.2026</t>
  </si>
  <si>
    <t>05.03.2026</t>
  </si>
  <si>
    <t>06.03.2026</t>
  </si>
  <si>
    <t>Need LSMW or Z-program (Achieve correct posting dates)</t>
  </si>
  <si>
    <t>Incorrect posting dates, can use Choice 1 option instead</t>
  </si>
  <si>
    <t>(Remove, later assign Constant blank)</t>
  </si>
  <si>
    <t>OK in case depreciation calculation is consistent</t>
  </si>
  <si>
    <t>Option 2: Ending Balances 2025 + Transaction Balances Jun-26</t>
  </si>
  <si>
    <t>Option 3: Ending Balances 2025 + Transaction Details Jun-26</t>
  </si>
  <si>
    <t>In Option 2</t>
  </si>
  <si>
    <t>Option 1: Ending Balances on Jun-26 only</t>
  </si>
  <si>
    <r>
      <t>Non-Open Items BS GLACs</t>
    </r>
    <r>
      <rPr>
        <i/>
        <sz val="10"/>
        <color theme="1"/>
        <rFont val="Aptos Narrow"/>
        <family val="2"/>
        <scheme val="minor"/>
      </rPr>
      <t xml:space="preserve">
_Exclude Asset Acquisition + Accumulated Depreciation GLACs (Option 2 + Option 3 Choice 1)</t>
    </r>
  </si>
  <si>
    <r>
      <t>P&amp;L GLACs</t>
    </r>
    <r>
      <rPr>
        <i/>
        <sz val="10"/>
        <color theme="1"/>
        <rFont val="Aptos Narrow"/>
        <family val="2"/>
        <scheme val="minor"/>
      </rPr>
      <t xml:space="preserve">
_Exclude Asset Depreciation Cost GLAC (Option 3 Choice 1)
_Exclude WBS input cost as it has custom template (Option 3)
_WBS revenue recorded in COPA with a dummy WBS per company (Option 3)</t>
    </r>
  </si>
  <si>
    <t>2*</t>
  </si>
  <si>
    <t>3* (or AFAB)</t>
  </si>
  <si>
    <t>Asset Transactions in current FY</t>
  </si>
  <si>
    <r>
      <t xml:space="preserve">=&gt; </t>
    </r>
    <r>
      <rPr>
        <b/>
        <sz val="11"/>
        <color theme="1"/>
        <rFont val="Aptos Narrow"/>
        <family val="2"/>
        <scheme val="minor"/>
      </rPr>
      <t>FAST</t>
    </r>
    <r>
      <rPr>
        <sz val="11"/>
        <color theme="1"/>
        <rFont val="Aptos Narrow"/>
        <family val="2"/>
        <scheme val="minor"/>
      </rPr>
      <t xml:space="preserve"> but Missing/Incorrect 2025 reports + monthly reports from Jan -&gt; Jun-26</t>
    </r>
  </si>
  <si>
    <r>
      <t xml:space="preserve">=&gt; </t>
    </r>
    <r>
      <rPr>
        <b/>
        <sz val="11"/>
        <color theme="1"/>
        <rFont val="Aptos Narrow"/>
        <family val="2"/>
        <scheme val="minor"/>
      </rPr>
      <t>POSTINGS ARE SIMPLIFIED</t>
    </r>
    <r>
      <rPr>
        <sz val="11"/>
        <color theme="1"/>
        <rFont val="Aptos Narrow"/>
        <family val="2"/>
        <scheme val="minor"/>
      </rPr>
      <t xml:space="preserve"> but Difficult to cross-check with legacy systems + Heavy workload at aggregation process per profit segment for Revenue/COS transactions</t>
    </r>
  </si>
  <si>
    <r>
      <t xml:space="preserve">=&gt; </t>
    </r>
    <r>
      <rPr>
        <b/>
        <sz val="11"/>
        <color theme="1"/>
        <rFont val="Aptos Narrow"/>
        <family val="2"/>
        <scheme val="minor"/>
      </rPr>
      <t>POSTINGS ARE MOST DETAILED</t>
    </r>
    <r>
      <rPr>
        <sz val="11"/>
        <color theme="1"/>
        <rFont val="Aptos Narrow"/>
        <family val="2"/>
        <scheme val="minor"/>
      </rPr>
      <t xml:space="preserve"> but Increase workload</t>
    </r>
  </si>
  <si>
    <t>2/3 or 3*</t>
  </si>
  <si>
    <t>_WBS revenue recorded in COPA with a dummy WBS per company</t>
  </si>
  <si>
    <t>_Exclude WBS input cost as it has custom template</t>
  </si>
  <si>
    <t>_Exclude Asset Depreciation Cost GLAC (Choice 1)</t>
  </si>
  <si>
    <t>P&amp;L GLACs</t>
  </si>
  <si>
    <t>_Exclude Asset Acquisition + Accumulated Depreciation GLACs (Choice 1)</t>
  </si>
  <si>
    <t>Scope: Ending Balances 2025 + Transaction Details from Jan-26 to Jun-26</t>
  </si>
  <si>
    <t>Jan-26 -&gt; June-26 Transaction Details</t>
  </si>
  <si>
    <t>Template</t>
  </si>
  <si>
    <t>Direct Post*</t>
  </si>
  <si>
    <t>LSMW / Z Program</t>
  </si>
  <si>
    <t>Template / LSMW / Z Program</t>
  </si>
  <si>
    <t>Manual AFAB</t>
  </si>
  <si>
    <t>Asset</t>
  </si>
  <si>
    <t>Open</t>
  </si>
  <si>
    <t>Non-Open</t>
  </si>
  <si>
    <t>Cumulative values (Acquisition + Accum. Depreciation)</t>
  </si>
  <si>
    <t>Posted Depreciation in current FY</t>
  </si>
  <si>
    <t>Transactions in current FY</t>
  </si>
  <si>
    <t>BS GLACs</t>
  </si>
  <si>
    <t>AR</t>
  </si>
  <si>
    <t>AP</t>
  </si>
  <si>
    <t>Flow:</t>
  </si>
  <si>
    <t>1 LSMW / Z Program Template</t>
  </si>
  <si>
    <t>1 Migration Template</t>
  </si>
  <si>
    <t>3 Migration Templates</t>
  </si>
  <si>
    <t>3 Migration Templates or 1 Migration Template with Sum</t>
  </si>
  <si>
    <t>_Extract details Open BS/AR/AP or Sum in 3 Temporary Migration GLACs</t>
  </si>
  <si>
    <t>_Extract ending Acquisition + Accum.Depreciation per Asset</t>
  </si>
  <si>
    <t>_Extract Asset Transactions</t>
  </si>
  <si>
    <t>1 Migration Template (Use Non-Open BS Template)</t>
  </si>
  <si>
    <t>1 LSMW / Z Program Template or 1 Migration Template (Risk in incorrect posting dates)</t>
  </si>
  <si>
    <t>General</t>
  </si>
  <si>
    <t>_Extract Asset Posted Depreciation</t>
  </si>
  <si>
    <t>1 Migration Template (Use P&amp;L Template)</t>
  </si>
  <si>
    <t>N/A</t>
  </si>
  <si>
    <t>_Extract ending Acquisition + Accum.Depreciation + Posted Depreciation per Asset</t>
  </si>
  <si>
    <t>_Extract details Open BS + Non-Open BS + P&amp;L/AR/AP on 30-Jun</t>
  </si>
  <si>
    <r>
      <t>_Extract details Open BS/AR/AP or Sum in 3 Temporary Migration GLACs</t>
    </r>
    <r>
      <rPr>
        <sz val="11"/>
        <color rgb="FFFF0000"/>
        <rFont val="Aptos Narrow"/>
        <family val="2"/>
        <scheme val="minor"/>
      </rPr>
      <t xml:space="preserve"> per month</t>
    </r>
  </si>
  <si>
    <r>
      <t xml:space="preserve">_For Open BS/AR/AP, we post the Ending Balance on 31-Dec-2025 then reverse on 30-June-2026 </t>
    </r>
    <r>
      <rPr>
        <i/>
        <u/>
        <sz val="10"/>
        <color rgb="FFC00000"/>
        <rFont val="Aptos Narrow"/>
        <family val="2"/>
        <scheme val="minor"/>
      </rPr>
      <t>(If monthly report needed then reverse the posting at the beginning of next month)</t>
    </r>
  </si>
  <si>
    <t>_Extract ending balances for Non-Open BS GLACs (Profit Center-wise)</t>
  </si>
  <si>
    <t>Choice 1 (Transfer Date: 31.12.2025)</t>
  </si>
  <si>
    <t>Choice 2 (Transfer Date: 30.06.2026)</t>
  </si>
  <si>
    <t>_Extract ending Acquisition + Accum.Depreciation per GL</t>
  </si>
  <si>
    <t>Jan-26 -&gt; June-26
Transaction Details</t>
  </si>
  <si>
    <t>BS/P&amp;L Template</t>
  </si>
  <si>
    <t>BS/P&amp;L Template
Open AR Template
Open AP Template</t>
  </si>
  <si>
    <t>Asset Template</t>
  </si>
  <si>
    <t>2025
Ending Balances</t>
  </si>
  <si>
    <t>Direct GL Post*</t>
  </si>
  <si>
    <t>* Use delink to post direct to Asset GLACs then reverse on 30-Jun-2026</t>
  </si>
  <si>
    <r>
      <t xml:space="preserve">_Extract ending balances of Acquisition + Accum.Dep + Posted Dep + Transactions </t>
    </r>
    <r>
      <rPr>
        <sz val="11"/>
        <color rgb="FFFF0000"/>
        <rFont val="Aptos Narrow"/>
        <family val="2"/>
        <scheme val="minor"/>
      </rPr>
      <t>per Asset</t>
    </r>
  </si>
  <si>
    <t>_Extract ending balances of Non-Open BS GLACs (Profit Center-wise)</t>
  </si>
  <si>
    <r>
      <t xml:space="preserve">_Extract ending balances of Acquisition + Accum.Dep </t>
    </r>
    <r>
      <rPr>
        <sz val="11"/>
        <color rgb="FFFF0000"/>
        <rFont val="Aptos Narrow"/>
        <family val="2"/>
        <scheme val="minor"/>
      </rPr>
      <t>per GL</t>
    </r>
    <r>
      <rPr>
        <sz val="11"/>
        <color theme="1"/>
        <rFont val="Aptos Narrow"/>
        <family val="2"/>
        <scheme val="minor"/>
      </rPr>
      <t xml:space="preserve"> (Profit Center-wise)</t>
    </r>
  </si>
  <si>
    <t>Summation*</t>
  </si>
  <si>
    <t>* Post directly to GLACs then reverse on 30-Jun-2026</t>
  </si>
  <si>
    <t>Posting Dates will always be 30-June-2026, can switch to LSMW / Z-Program if needed</t>
  </si>
  <si>
    <t>1. Upload template to migrate all asset transactions on 30-Jun-2026 regardless of Asset Value Date (aka Reference Date in Template)</t>
  </si>
  <si>
    <t>2. Delink Asset GLACs (Acquisition + Accumulated Depreciation) to post monthly accumulated depreciation + post monthly depreciation cost via P&amp;L Template, then reverse on 30-Jun 2026 (Without Asset No.)</t>
  </si>
  <si>
    <t>2. Delink Asset GLACs (Acquisition + Accumulated Depreciation) to post ending balance on 31-Dec-2025 first, then reverse on 30-Jun-2026 (Without Asset No.)</t>
  </si>
  <si>
    <t>3. Relink Asset GLACs (Acquisition + Accumulated Depreciation) to upload template to migrate all Assets on 30-Jun-2026</t>
  </si>
  <si>
    <t>3. Relink Asset GLACs (Acquisition + Accumulated Depreciation) to upload template to migrate all Posted Depreciation on 30-Jun-2026</t>
  </si>
  <si>
    <t>_Extract Open BS/AR/AP + Inventory into Summation in 6 Temporary Migration GLACs (Profit Center-wise)</t>
  </si>
  <si>
    <t>2. Delink Asset GLACs (Acquisition + Accumulated Depreciation) to post monthly accumulated depreciation + post monthly depreciation cost via P&amp;L Template, then reverse on 30-Jun-2026 (Without Asset No.)</t>
  </si>
  <si>
    <t>Templates</t>
  </si>
  <si>
    <t>Mock 0</t>
  </si>
  <si>
    <t>(Ending Balance 2025)</t>
  </si>
  <si>
    <t>Mock 1</t>
  </si>
  <si>
    <t>(Ending Balance 2025 + Jan 2026)</t>
  </si>
  <si>
    <t>APC + Accum.Dep on 31st-Dec-2025</t>
  </si>
  <si>
    <t>Asset Legacy No.</t>
  </si>
  <si>
    <t>APC + Accum. Dep on 31st-Dec-2025</t>
  </si>
  <si>
    <t>Migration GLAC</t>
  </si>
  <si>
    <t>STEP 1</t>
  </si>
  <si>
    <t>(For Balance Sheet/Trial Balance Report)</t>
  </si>
  <si>
    <t>Open GL BS</t>
  </si>
  <si>
    <t>Detail Open on 31st-Dec-2025</t>
  </si>
  <si>
    <t>GL Level</t>
  </si>
  <si>
    <t>Ending Balance on 31st-Dec-2025</t>
  </si>
  <si>
    <t>Customer Legacy No.</t>
  </si>
  <si>
    <t>Vendor Legacy No.</t>
  </si>
  <si>
    <t>Non-Open GL BS</t>
  </si>
  <si>
    <t>P&amp;L</t>
  </si>
  <si>
    <t>Reverse STEP 1 postings on 31st-Jan-2026</t>
  </si>
  <si>
    <t>STEP 2</t>
  </si>
  <si>
    <t>APC + Accum.Dep + Posted Dep + Asset Trans CY on 31st-Jan-2026</t>
  </si>
  <si>
    <t>STEP 3</t>
  </si>
  <si>
    <t>Detail Open on 31st-Jan-2026</t>
  </si>
  <si>
    <t>Ending Balance/Detail from Jan-&gt;June 2026</t>
  </si>
  <si>
    <t>(Exclude WBS BS)</t>
  </si>
  <si>
    <t>(Exclude WBS P&amp;L)</t>
  </si>
  <si>
    <t>Project/WBS</t>
  </si>
  <si>
    <t>*Different Template &amp; Custom Program for project migration</t>
  </si>
  <si>
    <t>2025 (Splitting per Profit Center)</t>
  </si>
  <si>
    <t>2026 (Splitting per Profit Center if decide to post sum values only)</t>
  </si>
  <si>
    <r>
      <t xml:space="preserve">GL P&amp;L </t>
    </r>
    <r>
      <rPr>
        <sz val="11"/>
        <color rgb="FFFF0000"/>
        <rFont val="Aptos Narrow"/>
        <family val="2"/>
        <scheme val="minor"/>
      </rPr>
      <t>not needed</t>
    </r>
  </si>
  <si>
    <t>Inventory 2025 Migration GLAC</t>
  </si>
  <si>
    <t>GL Migration</t>
  </si>
  <si>
    <t>AP Migration</t>
  </si>
  <si>
    <t>Summation of all Open AP items</t>
  </si>
  <si>
    <t>Summation of all Open Downpayment AP items</t>
  </si>
  <si>
    <t>AR Migration</t>
  </si>
  <si>
    <t>Summation of all Open AR items</t>
  </si>
  <si>
    <t>Summation of all Open Downpayment AR items</t>
  </si>
  <si>
    <t>Per P&amp;L GLs</t>
  </si>
  <si>
    <r>
      <t xml:space="preserve">Inventory </t>
    </r>
    <r>
      <rPr>
        <sz val="11"/>
        <color rgb="FFFF0000"/>
        <rFont val="Aptos Narrow"/>
        <family val="2"/>
        <scheme val="minor"/>
      </rPr>
      <t>not needed</t>
    </r>
    <r>
      <rPr>
        <sz val="11"/>
        <color theme="1"/>
        <rFont val="Aptos Narrow"/>
        <family val="2"/>
        <scheme val="minor"/>
      </rPr>
      <t xml:space="preserve"> as it's automatically filled from other workstreams</t>
    </r>
  </si>
  <si>
    <t>Per Open BS GLs</t>
  </si>
  <si>
    <t>Per Customer Open items</t>
  </si>
  <si>
    <t>Per Vendor Open items</t>
  </si>
  <si>
    <t>Per Inventory Code</t>
  </si>
  <si>
    <t>Per Asset</t>
  </si>
  <si>
    <t>Per Non-Open BS GLs including Acquisition/Accum.Dep GLs</t>
  </si>
  <si>
    <t>Per Non-Open BS GLs without Acquistion/Accum.Dep GLs</t>
  </si>
  <si>
    <t>No WBS related Info</t>
  </si>
  <si>
    <t>Open AP with Vendor Code</t>
  </si>
  <si>
    <t>Open AR with Customer Code</t>
  </si>
  <si>
    <t>Acquisition/Accum.Dep/Dep Cost with Asset Code</t>
  </si>
  <si>
    <t>Asset Migration</t>
  </si>
  <si>
    <t>GL P&amp;L</t>
  </si>
  <si>
    <t>For 2026, you get to pick whether you want to input the sum values or details in point 6 &amp; 7</t>
  </si>
  <si>
    <t>Summation of all transactions per Open BS GLAC</t>
  </si>
  <si>
    <t>Summation of all transactions per Inventory GLAC</t>
  </si>
  <si>
    <t>Open BS GLACs</t>
  </si>
  <si>
    <t>Non-Open BS GLACs</t>
  </si>
  <si>
    <t>AP Downpayment Migration</t>
  </si>
  <si>
    <t>AR Downpayment Migration</t>
  </si>
  <si>
    <t>COAv11</t>
  </si>
  <si>
    <t>Type</t>
  </si>
  <si>
    <t>BS</t>
  </si>
  <si>
    <t>PL</t>
  </si>
  <si>
    <t>Revenue</t>
  </si>
  <si>
    <t>100FL01A00</t>
  </si>
  <si>
    <t>PPE Accum Depn-Freehold Land &amp; Building</t>
  </si>
  <si>
    <t>Subledger</t>
  </si>
  <si>
    <t>Customer</t>
  </si>
  <si>
    <t>Vendor</t>
  </si>
  <si>
    <t>Open GL</t>
  </si>
  <si>
    <t>Non-Open GL</t>
  </si>
  <si>
    <t>Cost</t>
  </si>
  <si>
    <t>100PM01A00</t>
  </si>
  <si>
    <t>PPE Accum Depn-Plant and Machinery</t>
  </si>
  <si>
    <t>Description</t>
  </si>
  <si>
    <t>MM Migration</t>
  </si>
  <si>
    <t>Fixed Assets Migration</t>
  </si>
  <si>
    <t>Migration</t>
  </si>
  <si>
    <t>AP Downpayment Migration</t>
  </si>
  <si>
    <t>AR Downpayment Migration</t>
  </si>
  <si>
    <t>158NT05000</t>
  </si>
  <si>
    <t>Related Parties-Interest Rec'b-Non-Trade-ST</t>
  </si>
  <si>
    <t>206OT54000</t>
  </si>
  <si>
    <t>Vendor Retention</t>
  </si>
  <si>
    <t>156TD00000</t>
  </si>
  <si>
    <t>Trade-Debtors</t>
  </si>
  <si>
    <t>153AC01000</t>
  </si>
  <si>
    <t>Adv Paym't Rec'd from Cust (CttA)</t>
  </si>
  <si>
    <t>206AP00000</t>
  </si>
  <si>
    <t>Trade-Creditors</t>
  </si>
  <si>
    <t>159AP00000</t>
  </si>
  <si>
    <t>Advance Payments to Suppliers-(No Reval-Non Monetary)</t>
  </si>
  <si>
    <t>Group</t>
  </si>
  <si>
    <t>Non-Open BS</t>
  </si>
  <si>
    <t>Open BS</t>
  </si>
  <si>
    <t>100CP02C00</t>
  </si>
  <si>
    <t>PPE-Server  Software</t>
  </si>
  <si>
    <t>100CP03C00</t>
  </si>
  <si>
    <t>PPE-Computers</t>
  </si>
  <si>
    <t>711PP11000</t>
  </si>
  <si>
    <t>PPE-Motor Vehicles</t>
  </si>
  <si>
    <t>711PP12000</t>
  </si>
  <si>
    <t>PPE-Helicopters and aircraft</t>
  </si>
  <si>
    <t>Asset BS</t>
  </si>
  <si>
    <t>Asset P&amp;L</t>
  </si>
  <si>
    <t>188CC01M00</t>
  </si>
  <si>
    <t>CCE-ST Engg-SGD (Main)</t>
  </si>
  <si>
    <t>300SC01000</t>
  </si>
  <si>
    <t>Share Capital</t>
  </si>
  <si>
    <t>705AW01000</t>
  </si>
  <si>
    <t>Allowances-Allowances (Direct)</t>
  </si>
  <si>
    <t>610SC02000</t>
  </si>
  <si>
    <t>Cost Component-Subcontracting</t>
  </si>
  <si>
    <t>610OH01000</t>
  </si>
  <si>
    <t>Cost Component-Factory Overheads</t>
  </si>
  <si>
    <t>810DQ00000</t>
  </si>
  <si>
    <t>Operating-Income Dividend Income-Quoted External</t>
  </si>
  <si>
    <t>500SD01000</t>
  </si>
  <si>
    <t>Revenue-Sales Order-Main</t>
  </si>
  <si>
    <t>735EX06000</t>
  </si>
  <si>
    <t>ERP External-IT Cloud Services</t>
  </si>
  <si>
    <t>152RM00000</t>
  </si>
  <si>
    <t>Raw Materials</t>
  </si>
  <si>
    <t>152TG00000</t>
  </si>
  <si>
    <t>Trading Goods</t>
  </si>
  <si>
    <t>152SP00000</t>
  </si>
  <si>
    <t>Spare Parts</t>
  </si>
  <si>
    <t>152PG00000</t>
  </si>
  <si>
    <t>Packaging Goods</t>
  </si>
  <si>
    <t>152OS00000</t>
  </si>
  <si>
    <t>Operating Supplies</t>
  </si>
  <si>
    <t>152SF00000</t>
  </si>
  <si>
    <t>Semi-Finished Goods</t>
  </si>
  <si>
    <t>152FG00000</t>
  </si>
  <si>
    <t>Finished Goods</t>
  </si>
  <si>
    <t>Inventory</t>
  </si>
  <si>
    <t>Dr</t>
  </si>
  <si>
    <t>Cr</t>
  </si>
  <si>
    <t>Offset</t>
  </si>
  <si>
    <t>Sum (Profit Center wise)</t>
  </si>
  <si>
    <t>BLANK</t>
  </si>
  <si>
    <t>Detail per Subledger</t>
  </si>
  <si>
    <t>Material</t>
  </si>
  <si>
    <t>Post on 31-Dec-2025 then reverse on 30-June-2026</t>
  </si>
  <si>
    <t>Auto Post based on config for RED GLACs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</si>
</sst>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i/>
      <sz val="10"/>
      <color rgb="FFC0000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030A0"/>
      <name val="Aptos Narrow"/>
      <family val="2"/>
      <scheme val="minor"/>
    </font>
    <font>
      <i/>
      <u/>
      <sz val="10"/>
      <color rgb="FFC0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i/>
      <sz val="11"/>
      <color theme="5" tint="-0.249977111117893"/>
      <name val="Aptos Narrow"/>
      <family val="2"/>
      <scheme val="minor"/>
    </font>
    <font>
      <b/>
      <sz val="11"/>
      <color theme="5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vertical="center"/>
    </xf>
    <xf numFmtId="14" fontId="0" fillId="2" borderId="1" xfId="0" quotePrefix="1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quotePrefix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quotePrefix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4" borderId="11" xfId="0" applyFont="1" applyFill="1" applyBorder="1" applyAlignment="1">
      <alignment horizontal="left" vertical="center"/>
    </xf>
    <xf numFmtId="0" fontId="0" fillId="4" borderId="1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11" xfId="0" applyFill="1" applyBorder="1" applyAlignment="1">
      <alignment vertical="center"/>
    </xf>
    <xf numFmtId="0" fontId="0" fillId="4" borderId="12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9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0" borderId="0" xfId="0" quotePrefix="1"/>
    <xf numFmtId="0" fontId="6" fillId="0" borderId="0" xfId="0" applyFont="1"/>
    <xf numFmtId="0" fontId="4" fillId="4" borderId="0" xfId="0" applyFont="1" applyFill="1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0" fillId="4" borderId="9" xfId="0" applyFill="1" applyBorder="1" applyAlignment="1">
      <alignment vertical="center"/>
    </xf>
    <xf numFmtId="0" fontId="7" fillId="0" borderId="0" xfId="0" applyFont="1" applyAlignment="1">
      <alignment vertical="center"/>
    </xf>
    <xf numFmtId="0" fontId="0" fillId="0" borderId="1" xfId="0" applyBorder="1" applyAlignment="1">
      <alignment vertical="center"/>
    </xf>
    <xf numFmtId="14" fontId="0" fillId="0" borderId="1" xfId="0" quotePrefix="1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5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3" fillId="0" borderId="14" xfId="0" applyFont="1" applyBorder="1" applyAlignment="1">
      <alignment vertical="center" wrapText="1"/>
    </xf>
    <xf numFmtId="0" fontId="0" fillId="0" borderId="13" xfId="0" applyBorder="1" applyAlignment="1">
      <alignment vertical="center"/>
    </xf>
    <xf numFmtId="0" fontId="3" fillId="0" borderId="15" xfId="0" applyFont="1" applyBorder="1" applyAlignment="1">
      <alignment vertical="center"/>
    </xf>
    <xf numFmtId="0" fontId="0" fillId="0" borderId="23" xfId="0" applyBorder="1" applyAlignment="1">
      <alignment vertical="center" wrapText="1"/>
    </xf>
    <xf numFmtId="0" fontId="3" fillId="0" borderId="29" xfId="0" applyFont="1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35" xfId="0" applyBorder="1" applyAlignment="1">
      <alignment vertical="center"/>
    </xf>
    <xf numFmtId="0" fontId="1" fillId="7" borderId="13" xfId="0" applyFont="1" applyFill="1" applyBorder="1" applyAlignment="1">
      <alignment horizontal="center" vertical="center"/>
    </xf>
    <xf numFmtId="0" fontId="1" fillId="8" borderId="13" xfId="0" applyFont="1" applyFill="1" applyBorder="1" applyAlignment="1">
      <alignment horizontal="center" vertical="center"/>
    </xf>
    <xf numFmtId="14" fontId="0" fillId="0" borderId="32" xfId="0" quotePrefix="1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3" xfId="0" quotePrefix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5" borderId="35" xfId="0" applyFill="1" applyBorder="1" applyAlignment="1">
      <alignment horizontal="center" vertical="center"/>
    </xf>
    <xf numFmtId="0" fontId="0" fillId="0" borderId="32" xfId="0" quotePrefix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5" borderId="32" xfId="0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24" xfId="0" applyBorder="1" applyAlignment="1">
      <alignment vertical="center" wrapText="1"/>
    </xf>
    <xf numFmtId="0" fontId="10" fillId="0" borderId="0" xfId="0" applyFont="1" applyAlignment="1">
      <alignment vertical="center"/>
    </xf>
    <xf numFmtId="14" fontId="11" fillId="6" borderId="32" xfId="0" quotePrefix="1" applyNumberFormat="1" applyFont="1" applyFill="1" applyBorder="1" applyAlignment="1">
      <alignment horizontal="center" vertical="center"/>
    </xf>
    <xf numFmtId="0" fontId="1" fillId="0" borderId="0" xfId="0" applyFont="1"/>
    <xf numFmtId="0" fontId="0" fillId="0" borderId="5" xfId="0" applyBorder="1"/>
    <xf numFmtId="0" fontId="0" fillId="0" borderId="6" xfId="0" applyBorder="1"/>
    <xf numFmtId="0" fontId="6" fillId="0" borderId="7" xfId="0" applyFont="1" applyBorder="1"/>
    <xf numFmtId="0" fontId="0" fillId="0" borderId="8" xfId="0" applyBorder="1"/>
    <xf numFmtId="0" fontId="6" fillId="0" borderId="9" xfId="0" applyFon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52" xfId="0" applyBorder="1"/>
    <xf numFmtId="0" fontId="0" fillId="0" borderId="53" xfId="0" applyBorder="1"/>
    <xf numFmtId="0" fontId="0" fillId="0" borderId="54" xfId="0" applyBorder="1"/>
    <xf numFmtId="0" fontId="6" fillId="0" borderId="6" xfId="0" applyFont="1" applyBorder="1"/>
    <xf numFmtId="0" fontId="0" fillId="0" borderId="7" xfId="0" applyBorder="1"/>
    <xf numFmtId="0" fontId="0" fillId="0" borderId="9" xfId="0" applyBorder="1"/>
    <xf numFmtId="0" fontId="6" fillId="0" borderId="11" xfId="0" applyFont="1" applyBorder="1"/>
    <xf numFmtId="0" fontId="0" fillId="4" borderId="0" xfId="0" applyFill="1" applyAlignment="1">
      <alignment horizontal="center"/>
    </xf>
    <xf numFmtId="0" fontId="0" fillId="4" borderId="0" xfId="0" applyFill="1"/>
    <xf numFmtId="0" fontId="0" fillId="0" borderId="20" xfId="0" applyBorder="1" applyAlignment="1">
      <alignment horizontal="center" vertical="center"/>
    </xf>
    <xf numFmtId="0" fontId="1" fillId="0" borderId="16" xfId="0" applyFont="1" applyBorder="1"/>
    <xf numFmtId="0" fontId="0" fillId="0" borderId="55" xfId="0" applyBorder="1"/>
    <xf numFmtId="0" fontId="0" fillId="0" borderId="17" xfId="0" applyBorder="1"/>
    <xf numFmtId="0" fontId="0" fillId="0" borderId="20" xfId="0" applyBorder="1" applyAlignment="1">
      <alignment horizontal="center"/>
    </xf>
    <xf numFmtId="0" fontId="0" fillId="0" borderId="21" xfId="0" applyBorder="1"/>
    <xf numFmtId="0" fontId="0" fillId="0" borderId="18" xfId="0" applyBorder="1"/>
    <xf numFmtId="0" fontId="0" fillId="0" borderId="19" xfId="0" applyBorder="1"/>
    <xf numFmtId="0" fontId="0" fillId="0" borderId="56" xfId="0" applyBorder="1"/>
    <xf numFmtId="0" fontId="0" fillId="0" borderId="20" xfId="0" applyBorder="1"/>
    <xf numFmtId="0" fontId="1" fillId="0" borderId="18" xfId="0" applyFont="1" applyBorder="1"/>
    <xf numFmtId="0" fontId="0" fillId="9" borderId="0" xfId="0" applyFill="1"/>
    <xf numFmtId="0" fontId="0" fillId="9" borderId="21" xfId="0" applyFill="1" applyBorder="1"/>
    <xf numFmtId="0" fontId="0" fillId="7" borderId="0" xfId="0" applyFill="1"/>
    <xf numFmtId="0" fontId="0" fillId="7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13" fillId="6" borderId="0" xfId="0" applyFont="1" applyFill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 wrapText="1"/>
    </xf>
    <xf numFmtId="0" fontId="1" fillId="3" borderId="29" xfId="0" applyFont="1" applyFill="1" applyBorder="1" applyAlignment="1">
      <alignment horizontal="center" vertical="center"/>
    </xf>
    <xf numFmtId="17" fontId="1" fillId="3" borderId="47" xfId="0" applyNumberFormat="1" applyFont="1" applyFill="1" applyBorder="1" applyAlignment="1">
      <alignment horizontal="center" vertical="center" wrapText="1"/>
    </xf>
    <xf numFmtId="17" fontId="1" fillId="3" borderId="48" xfId="0" applyNumberFormat="1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35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14" fontId="0" fillId="0" borderId="47" xfId="0" quotePrefix="1" applyNumberFormat="1" applyBorder="1" applyAlignment="1">
      <alignment horizontal="center" vertical="center"/>
    </xf>
    <xf numFmtId="14" fontId="0" fillId="0" borderId="49" xfId="0" quotePrefix="1" applyNumberFormat="1" applyBorder="1" applyAlignment="1">
      <alignment horizontal="center" vertical="center"/>
    </xf>
    <xf numFmtId="14" fontId="0" fillId="0" borderId="48" xfId="0" quotePrefix="1" applyNumberFormat="1" applyBorder="1" applyAlignment="1">
      <alignment horizontal="center" vertical="center"/>
    </xf>
    <xf numFmtId="14" fontId="11" fillId="6" borderId="23" xfId="0" quotePrefix="1" applyNumberFormat="1" applyFont="1" applyFill="1" applyBorder="1" applyAlignment="1">
      <alignment horizontal="center" vertical="center"/>
    </xf>
    <xf numFmtId="14" fontId="11" fillId="6" borderId="15" xfId="0" quotePrefix="1" applyNumberFormat="1" applyFont="1" applyFill="1" applyBorder="1" applyAlignment="1">
      <alignment horizontal="center" vertical="center"/>
    </xf>
    <xf numFmtId="14" fontId="11" fillId="6" borderId="29" xfId="0" quotePrefix="1" applyNumberFormat="1" applyFont="1" applyFill="1" applyBorder="1" applyAlignment="1">
      <alignment horizontal="center" vertical="center"/>
    </xf>
    <xf numFmtId="0" fontId="0" fillId="0" borderId="47" xfId="0" quotePrefix="1" applyBorder="1" applyAlignment="1">
      <alignment horizontal="center" vertical="center"/>
    </xf>
    <xf numFmtId="0" fontId="0" fillId="0" borderId="49" xfId="0" quotePrefix="1" applyBorder="1" applyAlignment="1">
      <alignment horizontal="center" vertical="center"/>
    </xf>
    <xf numFmtId="0" fontId="0" fillId="0" borderId="48" xfId="0" quotePrefix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24" xfId="0" quotePrefix="1" applyBorder="1" applyAlignment="1">
      <alignment horizontal="center" vertical="center"/>
    </xf>
    <xf numFmtId="0" fontId="0" fillId="0" borderId="6" xfId="0" quotePrefix="1" applyBorder="1" applyAlignment="1">
      <alignment horizontal="center" vertical="center"/>
    </xf>
    <xf numFmtId="0" fontId="0" fillId="0" borderId="7" xfId="0" quotePrefix="1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0" borderId="26" xfId="0" quotePrefix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17" fontId="1" fillId="3" borderId="2" xfId="0" applyNumberFormat="1" applyFont="1" applyFill="1" applyBorder="1" applyAlignment="1">
      <alignment horizontal="center" vertical="center"/>
    </xf>
    <xf numFmtId="17" fontId="1" fillId="3" borderId="4" xfId="0" applyNumberFormat="1" applyFont="1" applyFill="1" applyBorder="1" applyAlignment="1">
      <alignment horizontal="center" vertical="center"/>
    </xf>
    <xf numFmtId="14" fontId="0" fillId="0" borderId="18" xfId="0" quotePrefix="1" applyNumberFormat="1" applyBorder="1" applyAlignment="1">
      <alignment horizontal="center" vertical="center"/>
    </xf>
    <xf numFmtId="14" fontId="0" fillId="0" borderId="19" xfId="0" quotePrefix="1" applyNumberFormat="1" applyBorder="1" applyAlignment="1">
      <alignment horizontal="center" vertical="center"/>
    </xf>
    <xf numFmtId="14" fontId="0" fillId="0" borderId="26" xfId="0" quotePrefix="1" applyNumberFormat="1" applyBorder="1" applyAlignment="1">
      <alignment horizontal="center" vertical="center"/>
    </xf>
    <xf numFmtId="14" fontId="0" fillId="0" borderId="2" xfId="0" quotePrefix="1" applyNumberFormat="1" applyBorder="1" applyAlignment="1">
      <alignment horizontal="center" vertical="center"/>
    </xf>
    <xf numFmtId="14" fontId="0" fillId="0" borderId="3" xfId="0" quotePrefix="1" applyNumberFormat="1" applyBorder="1" applyAlignment="1">
      <alignment horizontal="center" vertical="center"/>
    </xf>
    <xf numFmtId="14" fontId="0" fillId="0" borderId="34" xfId="0" quotePrefix="1" applyNumberFormat="1" applyBorder="1" applyAlignment="1">
      <alignment horizontal="center" vertical="center"/>
    </xf>
    <xf numFmtId="14" fontId="0" fillId="0" borderId="36" xfId="0" quotePrefix="1" applyNumberFormat="1" applyBorder="1" applyAlignment="1">
      <alignment horizontal="center" vertical="center"/>
    </xf>
    <xf numFmtId="14" fontId="0" fillId="0" borderId="37" xfId="0" quotePrefix="1" applyNumberFormat="1" applyBorder="1" applyAlignment="1">
      <alignment horizontal="center" vertical="center"/>
    </xf>
    <xf numFmtId="14" fontId="0" fillId="0" borderId="38" xfId="0" quotePrefix="1" applyNumberFormat="1" applyBorder="1" applyAlignment="1">
      <alignment horizontal="center" vertical="center"/>
    </xf>
    <xf numFmtId="17" fontId="1" fillId="3" borderId="3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/>
    <xf numFmtId="0" fontId="0" fillId="2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1" fillId="2" borderId="1" xfId="0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10" borderId="13" xfId="0" applyFont="1" applyFill="1" applyBorder="1" applyAlignment="1">
      <alignment horizontal="center" vertical="center"/>
    </xf>
    <xf numFmtId="0" fontId="1" fillId="10" borderId="15" xfId="0" applyFont="1" applyFill="1" applyBorder="1" applyAlignment="1">
      <alignment horizontal="center" vertical="center"/>
    </xf>
    <xf numFmtId="0" fontId="1" fillId="10" borderId="14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2" borderId="20" xfId="0" applyFill="1" applyBorder="1"/>
    <xf numFmtId="0" fontId="1" fillId="0" borderId="0" xfId="0" applyFont="1" applyFill="1" applyBorder="1"/>
    <xf numFmtId="0" fontId="0" fillId="5" borderId="0" xfId="0" applyFill="1"/>
    <xf numFmtId="0" fontId="0" fillId="2" borderId="0" xfId="0" applyFill="1" applyBorder="1"/>
    <xf numFmtId="0" fontId="0" fillId="0" borderId="0" xfId="0" applyFill="1" applyAlignment="1"/>
    <xf numFmtId="0" fontId="13" fillId="0" borderId="0" xfId="0" applyFont="1" applyFill="1" applyAlignment="1">
      <alignment horizontal="center"/>
    </xf>
    <xf numFmtId="0" fontId="0" fillId="7" borderId="0" xfId="0" applyFill="1" applyBorder="1"/>
    <xf numFmtId="0" fontId="0" fillId="2" borderId="16" xfId="0" applyFill="1" applyBorder="1"/>
    <xf numFmtId="0" fontId="0" fillId="2" borderId="55" xfId="0" applyFill="1" applyBorder="1"/>
    <xf numFmtId="0" fontId="1" fillId="2" borderId="17" xfId="0" applyFont="1" applyFill="1" applyBorder="1"/>
    <xf numFmtId="0" fontId="1" fillId="2" borderId="21" xfId="0" applyFont="1" applyFill="1" applyBorder="1"/>
    <xf numFmtId="0" fontId="0" fillId="5" borderId="20" xfId="0" applyFill="1" applyBorder="1"/>
    <xf numFmtId="0" fontId="0" fillId="5" borderId="0" xfId="0" applyFill="1" applyBorder="1"/>
    <xf numFmtId="0" fontId="1" fillId="5" borderId="21" xfId="0" applyFont="1" applyFill="1" applyBorder="1"/>
    <xf numFmtId="0" fontId="0" fillId="5" borderId="18" xfId="0" applyFill="1" applyBorder="1"/>
    <xf numFmtId="0" fontId="0" fillId="5" borderId="19" xfId="0" applyFill="1" applyBorder="1"/>
    <xf numFmtId="0" fontId="1" fillId="5" borderId="56" xfId="0" applyFont="1" applyFill="1" applyBorder="1"/>
    <xf numFmtId="0" fontId="0" fillId="2" borderId="18" xfId="0" applyFill="1" applyBorder="1"/>
    <xf numFmtId="0" fontId="0" fillId="2" borderId="19" xfId="0" applyFill="1" applyBorder="1"/>
    <xf numFmtId="0" fontId="1" fillId="2" borderId="56" xfId="0" applyFont="1" applyFill="1" applyBorder="1"/>
    <xf numFmtId="0" fontId="0" fillId="7" borderId="20" xfId="0" applyFill="1" applyBorder="1"/>
    <xf numFmtId="0" fontId="1" fillId="7" borderId="21" xfId="0" applyFont="1" applyFill="1" applyBorder="1"/>
    <xf numFmtId="0" fontId="0" fillId="7" borderId="18" xfId="0" applyFill="1" applyBorder="1"/>
    <xf numFmtId="0" fontId="0" fillId="7" borderId="19" xfId="0" applyFill="1" applyBorder="1"/>
    <xf numFmtId="0" fontId="1" fillId="7" borderId="56" xfId="0" applyFont="1" applyFill="1" applyBorder="1"/>
    <xf numFmtId="0" fontId="0" fillId="7" borderId="16" xfId="0" applyFill="1" applyBorder="1"/>
    <xf numFmtId="0" fontId="0" fillId="7" borderId="55" xfId="0" applyFill="1" applyBorder="1"/>
    <xf numFmtId="0" fontId="1" fillId="7" borderId="17" xfId="0" applyFont="1" applyFill="1" applyBorder="1"/>
    <xf numFmtId="0" fontId="0" fillId="6" borderId="1" xfId="0" applyFill="1" applyBorder="1" applyAlignment="1">
      <alignment horizontal="center"/>
    </xf>
    <xf numFmtId="0" fontId="0" fillId="6" borderId="1" xfId="0" applyFill="1" applyBorder="1"/>
    <xf numFmtId="0" fontId="0" fillId="6" borderId="20" xfId="0" applyFill="1" applyBorder="1"/>
    <xf numFmtId="0" fontId="0" fillId="6" borderId="0" xfId="0" applyFill="1" applyBorder="1"/>
    <xf numFmtId="0" fontId="1" fillId="6" borderId="21" xfId="0" applyFont="1" applyFill="1" applyBorder="1"/>
    <xf numFmtId="0" fontId="0" fillId="6" borderId="18" xfId="0" applyFill="1" applyBorder="1"/>
    <xf numFmtId="0" fontId="0" fillId="6" borderId="19" xfId="0" applyFill="1" applyBorder="1"/>
    <xf numFmtId="0" fontId="1" fillId="6" borderId="56" xfId="0" applyFont="1" applyFill="1" applyBorder="1"/>
    <xf numFmtId="0" fontId="0" fillId="6" borderId="16" xfId="0" applyFill="1" applyBorder="1"/>
    <xf numFmtId="0" fontId="0" fillId="6" borderId="55" xfId="0" applyFill="1" applyBorder="1"/>
    <xf numFmtId="0" fontId="1" fillId="6" borderId="17" xfId="0" applyFont="1" applyFill="1" applyBorder="1"/>
    <xf numFmtId="0" fontId="14" fillId="0" borderId="0" xfId="0" applyFont="1" applyFill="1" applyAlignment="1"/>
    <xf numFmtId="0" fontId="6" fillId="2" borderId="55" xfId="0" applyFont="1" applyFill="1" applyBorder="1"/>
    <xf numFmtId="0" fontId="6" fillId="2" borderId="0" xfId="0" applyFont="1" applyFill="1" applyBorder="1"/>
    <xf numFmtId="0" fontId="6" fillId="7" borderId="0" xfId="0" applyFont="1" applyFill="1" applyBorder="1"/>
    <xf numFmtId="0" fontId="6" fillId="7" borderId="19" xfId="0" applyFont="1" applyFill="1" applyBorder="1"/>
    <xf numFmtId="0" fontId="14" fillId="0" borderId="0" xfId="0" applyFont="1"/>
    <xf numFmtId="0" fontId="6" fillId="2" borderId="19" xfId="0" applyFont="1" applyFill="1" applyBorder="1"/>
    <xf numFmtId="0" fontId="6" fillId="6" borderId="55" xfId="0" applyFont="1" applyFill="1" applyBorder="1"/>
    <xf numFmtId="0" fontId="6" fillId="6" borderId="0" xfId="0" applyFont="1" applyFill="1" applyBorder="1"/>
    <xf numFmtId="0" fontId="6" fillId="6" borderId="19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6803</xdr:colOff>
      <xdr:row>2</xdr:row>
      <xdr:rowOff>43542</xdr:rowOff>
    </xdr:from>
    <xdr:to>
      <xdr:col>15</xdr:col>
      <xdr:colOff>6802</xdr:colOff>
      <xdr:row>15</xdr:row>
      <xdr:rowOff>48986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12B57D4-F283-4392-BEC2-8721069C5A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9946" y="413656"/>
          <a:ext cx="11908970" cy="2411187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oang Quoc Dat Kenway" id="{2920EFAE-7A21-43FB-8C0D-D5DAB7101B10}" userId="S::quocdat.hoang@stengg.com::a802ecaa-97f9-4122-bc68-f1bb3347832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7" dT="2026-04-07T00:59:03.13" personId="{2920EFAE-7A21-43FB-8C0D-D5DAB7101B10}" id="{FA784C6A-A253-4B1B-A59C-363C6A3F003D}">
    <text>1 Migration Open BS
1 Migration Normal AR
1 Migration Downpayment AR
1 Migration Normal AP
1 Migration Downpayment AP
1 Migration Inventory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1" dT="2026-04-03T03:22:09.60" personId="{2920EFAE-7A21-43FB-8C0D-D5DAB7101B10}" id="{31A57323-7DF0-4B2F-9222-8FFF99F19E88}">
    <text>If needed then in 3 Migration Templates or 1 Migration Template with Sum, we will have to fill in Open items per month-end (6 months in total)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B6A5D-6923-4A79-B973-0CEE24D7FE03}">
  <sheetPr codeName="Sheet6"/>
  <dimension ref="A2:AI55"/>
  <sheetViews>
    <sheetView tabSelected="1" topLeftCell="N1" zoomScale="80" zoomScaleNormal="80" workbookViewId="0">
      <selection activeCell="S1" sqref="S1"/>
    </sheetView>
  </sheetViews>
  <sheetFormatPr defaultRowHeight="14.5" x14ac:dyDescent="0.35"/>
  <cols>
    <col min="2" max="2" width="14.26953125" bestFit="1" customWidth="1"/>
    <col min="4" max="4" width="21.54296875" customWidth="1"/>
    <col min="5" max="5" width="16.54296875" customWidth="1"/>
    <col min="6" max="6" width="18.54296875" customWidth="1"/>
    <col min="10" max="10" width="12.453125" customWidth="1"/>
    <col min="11" max="11" width="18.7265625" customWidth="1"/>
    <col min="12" max="12" width="17.453125" customWidth="1"/>
    <col min="13" max="13" width="18.81640625" customWidth="1"/>
    <col min="14" max="14" width="13.36328125" bestFit="1" customWidth="1"/>
    <col min="17" max="17" width="13.26953125" customWidth="1"/>
    <col min="19" max="19" width="13.08984375" style="2" customWidth="1"/>
    <col min="20" max="20" width="12.08984375" style="186" bestFit="1" customWidth="1"/>
    <col min="21" max="21" width="47.453125" bestFit="1" customWidth="1"/>
    <col min="22" max="22" width="4.7265625" bestFit="1" customWidth="1"/>
    <col min="23" max="23" width="12.36328125" customWidth="1"/>
    <col min="25" max="25" width="5.08984375" bestFit="1" customWidth="1"/>
    <col min="26" max="26" width="21.81640625" bestFit="1" customWidth="1"/>
    <col min="27" max="27" width="9.6328125" bestFit="1" customWidth="1"/>
    <col min="28" max="28" width="2.90625" bestFit="1" customWidth="1"/>
    <col min="29" max="29" width="11.26953125" bestFit="1" customWidth="1"/>
    <col min="31" max="31" width="5.08984375" bestFit="1" customWidth="1"/>
    <col min="32" max="32" width="18.54296875" bestFit="1" customWidth="1"/>
    <col min="33" max="33" width="9.6328125" bestFit="1" customWidth="1"/>
    <col min="34" max="34" width="2.90625" bestFit="1" customWidth="1"/>
    <col min="35" max="35" width="11.26953125" bestFit="1" customWidth="1"/>
  </cols>
  <sheetData>
    <row r="2" spans="19:35" x14ac:dyDescent="0.35">
      <c r="Y2" s="211">
        <v>2025</v>
      </c>
      <c r="Z2" s="245" t="s">
        <v>283</v>
      </c>
      <c r="AA2" s="210"/>
      <c r="AB2" s="210"/>
      <c r="AC2" s="210"/>
      <c r="AE2" s="211">
        <v>2026</v>
      </c>
      <c r="AF2" s="250" t="s">
        <v>284</v>
      </c>
    </row>
    <row r="3" spans="19:35" x14ac:dyDescent="0.35">
      <c r="S3" s="187" t="s">
        <v>232</v>
      </c>
      <c r="T3" s="202" t="s">
        <v>199</v>
      </c>
      <c r="U3" s="188" t="s">
        <v>214</v>
      </c>
      <c r="V3" s="188" t="s">
        <v>200</v>
      </c>
      <c r="W3" s="188" t="s">
        <v>206</v>
      </c>
      <c r="Z3" s="207" t="s">
        <v>279</v>
      </c>
      <c r="AA3" s="76" t="s">
        <v>206</v>
      </c>
      <c r="AC3" s="76" t="s">
        <v>278</v>
      </c>
      <c r="AF3" s="207" t="s">
        <v>281</v>
      </c>
      <c r="AG3" s="76" t="s">
        <v>206</v>
      </c>
      <c r="AI3" s="76" t="s">
        <v>278</v>
      </c>
    </row>
    <row r="4" spans="19:35" x14ac:dyDescent="0.35">
      <c r="S4" s="199" t="s">
        <v>243</v>
      </c>
      <c r="T4" s="203" t="s">
        <v>235</v>
      </c>
      <c r="U4" s="189" t="s">
        <v>236</v>
      </c>
      <c r="V4" s="189" t="s">
        <v>201</v>
      </c>
      <c r="W4" s="189" t="s">
        <v>86</v>
      </c>
      <c r="Y4" s="213" t="s">
        <v>276</v>
      </c>
      <c r="Z4" s="214" t="str">
        <f>T4</f>
        <v>100CP02C00</v>
      </c>
      <c r="AA4" s="214" t="s">
        <v>280</v>
      </c>
      <c r="AB4" s="214" t="s">
        <v>277</v>
      </c>
      <c r="AC4" s="215">
        <f>$T$34</f>
        <v>9000000000</v>
      </c>
      <c r="AE4" s="213" t="s">
        <v>276</v>
      </c>
      <c r="AF4" s="246" t="str">
        <f>T4</f>
        <v>100CP02C00</v>
      </c>
      <c r="AG4" s="214" t="s">
        <v>86</v>
      </c>
      <c r="AH4" s="214" t="s">
        <v>277</v>
      </c>
      <c r="AI4" s="215">
        <f>$T$38</f>
        <v>9000000004</v>
      </c>
    </row>
    <row r="5" spans="19:35" x14ac:dyDescent="0.35">
      <c r="S5" s="200"/>
      <c r="T5" s="203" t="s">
        <v>237</v>
      </c>
      <c r="U5" s="189" t="s">
        <v>238</v>
      </c>
      <c r="V5" s="189" t="s">
        <v>201</v>
      </c>
      <c r="W5" s="189" t="s">
        <v>86</v>
      </c>
      <c r="Y5" s="206" t="s">
        <v>276</v>
      </c>
      <c r="Z5" s="209" t="str">
        <f t="shared" ref="Z5:Z7" si="0">T5</f>
        <v>100CP03C00</v>
      </c>
      <c r="AA5" s="209" t="s">
        <v>280</v>
      </c>
      <c r="AB5" s="209" t="s">
        <v>277</v>
      </c>
      <c r="AC5" s="216">
        <f>$T$34</f>
        <v>9000000000</v>
      </c>
      <c r="AE5" s="206" t="s">
        <v>276</v>
      </c>
      <c r="AF5" s="247" t="str">
        <f t="shared" ref="AF5:AF31" si="1">T5</f>
        <v>100CP03C00</v>
      </c>
      <c r="AG5" s="209" t="s">
        <v>86</v>
      </c>
      <c r="AH5" s="209" t="s">
        <v>277</v>
      </c>
      <c r="AI5" s="216">
        <f t="shared" ref="AI5:AI9" si="2">$T$38</f>
        <v>9000000004</v>
      </c>
    </row>
    <row r="6" spans="19:35" x14ac:dyDescent="0.35">
      <c r="S6" s="200"/>
      <c r="T6" s="203" t="s">
        <v>204</v>
      </c>
      <c r="U6" s="189" t="s">
        <v>205</v>
      </c>
      <c r="V6" s="189" t="s">
        <v>201</v>
      </c>
      <c r="W6" s="189" t="s">
        <v>86</v>
      </c>
      <c r="Y6" s="206" t="s">
        <v>277</v>
      </c>
      <c r="Z6" s="209" t="str">
        <f t="shared" si="0"/>
        <v>100FL01A00</v>
      </c>
      <c r="AA6" s="209" t="s">
        <v>280</v>
      </c>
      <c r="AB6" s="209" t="s">
        <v>276</v>
      </c>
      <c r="AC6" s="216">
        <f>$T$34</f>
        <v>9000000000</v>
      </c>
      <c r="AE6" s="206" t="s">
        <v>277</v>
      </c>
      <c r="AF6" s="247" t="str">
        <f t="shared" si="1"/>
        <v>100FL01A00</v>
      </c>
      <c r="AG6" s="209" t="s">
        <v>86</v>
      </c>
      <c r="AH6" s="209" t="s">
        <v>276</v>
      </c>
      <c r="AI6" s="216">
        <f t="shared" si="2"/>
        <v>9000000004</v>
      </c>
    </row>
    <row r="7" spans="19:35" x14ac:dyDescent="0.35">
      <c r="S7" s="201"/>
      <c r="T7" s="203" t="s">
        <v>212</v>
      </c>
      <c r="U7" s="189" t="s">
        <v>213</v>
      </c>
      <c r="V7" s="189" t="s">
        <v>201</v>
      </c>
      <c r="W7" s="189" t="s">
        <v>86</v>
      </c>
      <c r="Y7" s="206" t="s">
        <v>277</v>
      </c>
      <c r="Z7" s="209" t="str">
        <f t="shared" si="0"/>
        <v>100PM01A00</v>
      </c>
      <c r="AA7" s="209" t="s">
        <v>280</v>
      </c>
      <c r="AB7" s="209" t="s">
        <v>276</v>
      </c>
      <c r="AC7" s="216">
        <f>$T$34</f>
        <v>9000000000</v>
      </c>
      <c r="AE7" s="206" t="s">
        <v>277</v>
      </c>
      <c r="AF7" s="247" t="str">
        <f t="shared" si="1"/>
        <v>100PM01A00</v>
      </c>
      <c r="AG7" s="209" t="s">
        <v>86</v>
      </c>
      <c r="AH7" s="209" t="s">
        <v>276</v>
      </c>
      <c r="AI7" s="216">
        <f t="shared" si="2"/>
        <v>9000000004</v>
      </c>
    </row>
    <row r="8" spans="19:35" x14ac:dyDescent="0.35">
      <c r="S8" s="193" t="s">
        <v>244</v>
      </c>
      <c r="T8" s="204" t="s">
        <v>239</v>
      </c>
      <c r="U8" s="190" t="s">
        <v>240</v>
      </c>
      <c r="V8" s="190" t="s">
        <v>202</v>
      </c>
      <c r="W8" s="190" t="s">
        <v>86</v>
      </c>
      <c r="Y8" s="217"/>
      <c r="Z8" s="218"/>
      <c r="AA8" s="218"/>
      <c r="AB8" s="218"/>
      <c r="AC8" s="219"/>
      <c r="AE8" s="226" t="s">
        <v>276</v>
      </c>
      <c r="AF8" s="248" t="str">
        <f t="shared" si="1"/>
        <v>711PP11000</v>
      </c>
      <c r="AG8" s="212" t="s">
        <v>86</v>
      </c>
      <c r="AH8" s="212" t="s">
        <v>276</v>
      </c>
      <c r="AI8" s="227">
        <f t="shared" si="2"/>
        <v>9000000004</v>
      </c>
    </row>
    <row r="9" spans="19:35" x14ac:dyDescent="0.35">
      <c r="S9" s="195"/>
      <c r="T9" s="204" t="s">
        <v>241</v>
      </c>
      <c r="U9" s="190" t="s">
        <v>242</v>
      </c>
      <c r="V9" s="190" t="s">
        <v>202</v>
      </c>
      <c r="W9" s="190" t="s">
        <v>86</v>
      </c>
      <c r="Y9" s="220"/>
      <c r="Z9" s="221"/>
      <c r="AA9" s="221"/>
      <c r="AB9" s="221"/>
      <c r="AC9" s="222"/>
      <c r="AE9" s="228" t="s">
        <v>276</v>
      </c>
      <c r="AF9" s="249" t="str">
        <f t="shared" si="1"/>
        <v>711PP12000</v>
      </c>
      <c r="AG9" s="229" t="s">
        <v>86</v>
      </c>
      <c r="AH9" s="229" t="s">
        <v>276</v>
      </c>
      <c r="AI9" s="230">
        <f t="shared" si="2"/>
        <v>9000000004</v>
      </c>
    </row>
    <row r="10" spans="19:35" x14ac:dyDescent="0.35">
      <c r="S10" s="192" t="s">
        <v>93</v>
      </c>
      <c r="T10" s="203" t="s">
        <v>224</v>
      </c>
      <c r="U10" s="189" t="s">
        <v>225</v>
      </c>
      <c r="V10" s="189" t="s">
        <v>201</v>
      </c>
      <c r="W10" s="189" t="s">
        <v>207</v>
      </c>
      <c r="Y10" s="213" t="s">
        <v>276</v>
      </c>
      <c r="Z10" s="214" t="str">
        <f>T10</f>
        <v>156TD00000</v>
      </c>
      <c r="AA10" s="214" t="s">
        <v>280</v>
      </c>
      <c r="AB10" s="214" t="s">
        <v>277</v>
      </c>
      <c r="AC10" s="215">
        <f>$T$34</f>
        <v>9000000000</v>
      </c>
      <c r="AE10" s="213" t="s">
        <v>276</v>
      </c>
      <c r="AF10" s="246" t="str">
        <f t="shared" si="1"/>
        <v>156TD00000</v>
      </c>
      <c r="AG10" s="214" t="s">
        <v>207</v>
      </c>
      <c r="AH10" s="214" t="s">
        <v>277</v>
      </c>
      <c r="AI10" s="215">
        <f>T36</f>
        <v>9000000002</v>
      </c>
    </row>
    <row r="11" spans="19:35" x14ac:dyDescent="0.35">
      <c r="S11" s="192"/>
      <c r="T11" s="203" t="s">
        <v>226</v>
      </c>
      <c r="U11" s="189" t="s">
        <v>227</v>
      </c>
      <c r="V11" s="189" t="s">
        <v>201</v>
      </c>
      <c r="W11" s="189" t="s">
        <v>207</v>
      </c>
      <c r="Y11" s="223" t="s">
        <v>277</v>
      </c>
      <c r="Z11" s="224" t="str">
        <f t="shared" ref="Z11:Z13" si="3">T11</f>
        <v>153AC01000</v>
      </c>
      <c r="AA11" s="224" t="s">
        <v>280</v>
      </c>
      <c r="AB11" s="224" t="s">
        <v>276</v>
      </c>
      <c r="AC11" s="225">
        <f t="shared" ref="AC11:AC25" si="4">$T$34</f>
        <v>9000000000</v>
      </c>
      <c r="AE11" s="223" t="s">
        <v>277</v>
      </c>
      <c r="AF11" s="251" t="str">
        <f t="shared" si="1"/>
        <v>153AC01000</v>
      </c>
      <c r="AG11" s="224" t="s">
        <v>207</v>
      </c>
      <c r="AH11" s="224" t="s">
        <v>276</v>
      </c>
      <c r="AI11" s="225">
        <f>T40</f>
        <v>9000000006</v>
      </c>
    </row>
    <row r="12" spans="19:35" x14ac:dyDescent="0.35">
      <c r="S12" s="192" t="s">
        <v>94</v>
      </c>
      <c r="T12" s="203" t="s">
        <v>228</v>
      </c>
      <c r="U12" s="189" t="s">
        <v>229</v>
      </c>
      <c r="V12" s="189" t="s">
        <v>201</v>
      </c>
      <c r="W12" s="189" t="s">
        <v>208</v>
      </c>
      <c r="Y12" s="213" t="s">
        <v>277</v>
      </c>
      <c r="Z12" s="214" t="str">
        <f t="shared" si="3"/>
        <v>206AP00000</v>
      </c>
      <c r="AA12" s="214" t="s">
        <v>280</v>
      </c>
      <c r="AB12" s="214" t="s">
        <v>276</v>
      </c>
      <c r="AC12" s="215">
        <f t="shared" si="4"/>
        <v>9000000000</v>
      </c>
      <c r="AE12" s="213" t="s">
        <v>277</v>
      </c>
      <c r="AF12" s="246" t="str">
        <f t="shared" si="1"/>
        <v>206AP00000</v>
      </c>
      <c r="AG12" s="214" t="s">
        <v>208</v>
      </c>
      <c r="AH12" s="214" t="s">
        <v>276</v>
      </c>
      <c r="AI12" s="215">
        <f>T35</f>
        <v>9000000001</v>
      </c>
    </row>
    <row r="13" spans="19:35" x14ac:dyDescent="0.35">
      <c r="S13" s="192"/>
      <c r="T13" s="203" t="s">
        <v>230</v>
      </c>
      <c r="U13" s="189" t="s">
        <v>231</v>
      </c>
      <c r="V13" s="189" t="s">
        <v>201</v>
      </c>
      <c r="W13" s="189" t="s">
        <v>208</v>
      </c>
      <c r="Y13" s="223" t="s">
        <v>276</v>
      </c>
      <c r="Z13" s="224" t="str">
        <f t="shared" si="3"/>
        <v>159AP00000</v>
      </c>
      <c r="AA13" s="224" t="s">
        <v>280</v>
      </c>
      <c r="AB13" s="224" t="s">
        <v>277</v>
      </c>
      <c r="AC13" s="225">
        <f t="shared" si="4"/>
        <v>9000000000</v>
      </c>
      <c r="AE13" s="223" t="s">
        <v>276</v>
      </c>
      <c r="AF13" s="251" t="str">
        <f t="shared" si="1"/>
        <v>159AP00000</v>
      </c>
      <c r="AG13" s="224" t="s">
        <v>208</v>
      </c>
      <c r="AH13" s="224" t="s">
        <v>277</v>
      </c>
      <c r="AI13" s="225">
        <f>T39</f>
        <v>9000000005</v>
      </c>
    </row>
    <row r="14" spans="19:35" x14ac:dyDescent="0.35">
      <c r="S14" s="192" t="s">
        <v>234</v>
      </c>
      <c r="T14" s="203" t="s">
        <v>220</v>
      </c>
      <c r="U14" s="189" t="s">
        <v>221</v>
      </c>
      <c r="V14" s="189" t="s">
        <v>201</v>
      </c>
      <c r="W14" s="189" t="s">
        <v>209</v>
      </c>
      <c r="Y14" s="213" t="s">
        <v>276</v>
      </c>
      <c r="Z14" s="214" t="str">
        <f>T14</f>
        <v>158NT05000</v>
      </c>
      <c r="AA14" s="214" t="s">
        <v>280</v>
      </c>
      <c r="AB14" s="214" t="s">
        <v>277</v>
      </c>
      <c r="AC14" s="215">
        <f t="shared" si="4"/>
        <v>9000000000</v>
      </c>
      <c r="AE14" s="213" t="s">
        <v>276</v>
      </c>
      <c r="AF14" s="214" t="str">
        <f t="shared" si="1"/>
        <v>158NT05000</v>
      </c>
      <c r="AG14" s="214" t="s">
        <v>280</v>
      </c>
      <c r="AH14" s="214" t="s">
        <v>277</v>
      </c>
      <c r="AI14" s="215">
        <f t="shared" ref="AI11:AI25" si="5">$T$34</f>
        <v>9000000000</v>
      </c>
    </row>
    <row r="15" spans="19:35" x14ac:dyDescent="0.35">
      <c r="S15" s="192"/>
      <c r="T15" s="203" t="s">
        <v>222</v>
      </c>
      <c r="U15" s="189" t="s">
        <v>223</v>
      </c>
      <c r="V15" s="189" t="s">
        <v>201</v>
      </c>
      <c r="W15" s="189" t="s">
        <v>209</v>
      </c>
      <c r="Y15" s="223" t="s">
        <v>277</v>
      </c>
      <c r="Z15" s="224" t="str">
        <f t="shared" ref="Z15:Z25" si="6">T15</f>
        <v>206OT54000</v>
      </c>
      <c r="AA15" s="224" t="s">
        <v>280</v>
      </c>
      <c r="AB15" s="224" t="s">
        <v>276</v>
      </c>
      <c r="AC15" s="225">
        <f t="shared" si="4"/>
        <v>9000000000</v>
      </c>
      <c r="AE15" s="223" t="s">
        <v>277</v>
      </c>
      <c r="AF15" s="224" t="str">
        <f t="shared" si="1"/>
        <v>206OT54000</v>
      </c>
      <c r="AG15" s="224" t="s">
        <v>280</v>
      </c>
      <c r="AH15" s="224" t="s">
        <v>276</v>
      </c>
      <c r="AI15" s="225">
        <f t="shared" si="5"/>
        <v>9000000000</v>
      </c>
    </row>
    <row r="16" spans="19:35" x14ac:dyDescent="0.35">
      <c r="S16" s="192" t="s">
        <v>233</v>
      </c>
      <c r="T16" s="203" t="s">
        <v>245</v>
      </c>
      <c r="U16" s="189" t="s">
        <v>246</v>
      </c>
      <c r="V16" s="189" t="s">
        <v>201</v>
      </c>
      <c r="W16" s="189" t="s">
        <v>210</v>
      </c>
      <c r="Y16" s="213" t="s">
        <v>276</v>
      </c>
      <c r="Z16" s="214" t="str">
        <f t="shared" si="6"/>
        <v>188CC01M00</v>
      </c>
      <c r="AA16" s="214" t="s">
        <v>280</v>
      </c>
      <c r="AB16" s="214" t="s">
        <v>277</v>
      </c>
      <c r="AC16" s="215">
        <f t="shared" si="4"/>
        <v>9000000000</v>
      </c>
      <c r="AE16" s="213" t="s">
        <v>276</v>
      </c>
      <c r="AF16" s="214" t="str">
        <f t="shared" si="1"/>
        <v>188CC01M00</v>
      </c>
      <c r="AG16" s="214" t="s">
        <v>280</v>
      </c>
      <c r="AH16" s="214" t="s">
        <v>277</v>
      </c>
      <c r="AI16" s="215">
        <f t="shared" si="5"/>
        <v>9000000000</v>
      </c>
    </row>
    <row r="17" spans="1:35" ht="15" thickBot="1" x14ac:dyDescent="0.4">
      <c r="B17" s="76" t="s">
        <v>137</v>
      </c>
      <c r="D17" s="76" t="s">
        <v>138</v>
      </c>
      <c r="E17" s="76" t="s">
        <v>139</v>
      </c>
      <c r="H17" s="76" t="s">
        <v>140</v>
      </c>
      <c r="I17" s="76" t="s">
        <v>141</v>
      </c>
      <c r="S17" s="192"/>
      <c r="T17" s="203" t="s">
        <v>247</v>
      </c>
      <c r="U17" s="189" t="s">
        <v>248</v>
      </c>
      <c r="V17" s="189" t="s">
        <v>201</v>
      </c>
      <c r="W17" s="189" t="s">
        <v>210</v>
      </c>
      <c r="Y17" s="206" t="s">
        <v>277</v>
      </c>
      <c r="Z17" s="209" t="str">
        <f t="shared" si="6"/>
        <v>300SC01000</v>
      </c>
      <c r="AA17" s="209" t="s">
        <v>280</v>
      </c>
      <c r="AB17" s="209" t="s">
        <v>276</v>
      </c>
      <c r="AC17" s="216">
        <f t="shared" si="4"/>
        <v>9000000000</v>
      </c>
      <c r="AE17" s="206" t="s">
        <v>277</v>
      </c>
      <c r="AF17" s="209" t="str">
        <f t="shared" si="1"/>
        <v>300SC01000</v>
      </c>
      <c r="AG17" s="209" t="s">
        <v>280</v>
      </c>
      <c r="AH17" s="209" t="s">
        <v>276</v>
      </c>
      <c r="AI17" s="216">
        <f t="shared" si="5"/>
        <v>9000000000</v>
      </c>
    </row>
    <row r="18" spans="1:35" x14ac:dyDescent="0.35">
      <c r="A18" s="2">
        <v>1</v>
      </c>
      <c r="B18" t="s">
        <v>120</v>
      </c>
      <c r="D18" s="77" t="s">
        <v>142</v>
      </c>
      <c r="E18" s="78"/>
      <c r="F18" s="79" t="s">
        <v>143</v>
      </c>
      <c r="H18" s="77" t="s">
        <v>144</v>
      </c>
      <c r="I18" s="78"/>
      <c r="J18" s="78"/>
      <c r="K18" s="78"/>
      <c r="L18" s="78"/>
      <c r="M18" s="88" t="s">
        <v>145</v>
      </c>
      <c r="N18" s="79"/>
      <c r="P18" t="s">
        <v>146</v>
      </c>
      <c r="Q18" s="109" t="s">
        <v>147</v>
      </c>
      <c r="S18" s="192"/>
      <c r="T18" s="234" t="s">
        <v>261</v>
      </c>
      <c r="U18" s="235" t="s">
        <v>262</v>
      </c>
      <c r="V18" s="235" t="s">
        <v>201</v>
      </c>
      <c r="W18" s="235" t="s">
        <v>275</v>
      </c>
      <c r="Y18" s="236" t="s">
        <v>276</v>
      </c>
      <c r="Z18" s="237" t="str">
        <f t="shared" si="6"/>
        <v>152RM00000</v>
      </c>
      <c r="AA18" s="237" t="s">
        <v>280</v>
      </c>
      <c r="AB18" s="237" t="s">
        <v>277</v>
      </c>
      <c r="AC18" s="238">
        <f t="shared" si="4"/>
        <v>9000000000</v>
      </c>
      <c r="AE18" s="242" t="s">
        <v>276</v>
      </c>
      <c r="AF18" s="252" t="str">
        <f t="shared" si="1"/>
        <v>152RM00000</v>
      </c>
      <c r="AG18" s="243" t="s">
        <v>282</v>
      </c>
      <c r="AH18" s="243" t="s">
        <v>277</v>
      </c>
      <c r="AI18" s="244">
        <f>$T$37</f>
        <v>9000000003</v>
      </c>
    </row>
    <row r="19" spans="1:35" x14ac:dyDescent="0.35">
      <c r="A19" s="2">
        <v>2</v>
      </c>
      <c r="B19" t="s">
        <v>148</v>
      </c>
      <c r="D19" s="80" t="s">
        <v>149</v>
      </c>
      <c r="F19" s="81" t="s">
        <v>150</v>
      </c>
      <c r="H19" s="80" t="s">
        <v>151</v>
      </c>
      <c r="M19" s="34" t="s">
        <v>145</v>
      </c>
      <c r="N19" s="81"/>
      <c r="Q19" s="110"/>
      <c r="S19" s="192"/>
      <c r="T19" s="234" t="s">
        <v>263</v>
      </c>
      <c r="U19" s="235" t="s">
        <v>264</v>
      </c>
      <c r="V19" s="235" t="s">
        <v>201</v>
      </c>
      <c r="W19" s="235" t="s">
        <v>275</v>
      </c>
      <c r="Y19" s="236" t="s">
        <v>276</v>
      </c>
      <c r="Z19" s="237" t="str">
        <f t="shared" si="6"/>
        <v>152TG00000</v>
      </c>
      <c r="AA19" s="237" t="s">
        <v>280</v>
      </c>
      <c r="AB19" s="237" t="s">
        <v>277</v>
      </c>
      <c r="AC19" s="238">
        <f t="shared" si="4"/>
        <v>9000000000</v>
      </c>
      <c r="AE19" s="236" t="s">
        <v>276</v>
      </c>
      <c r="AF19" s="253" t="str">
        <f t="shared" si="1"/>
        <v>152TG00000</v>
      </c>
      <c r="AG19" s="237" t="s">
        <v>282</v>
      </c>
      <c r="AH19" s="237" t="s">
        <v>277</v>
      </c>
      <c r="AI19" s="238">
        <f t="shared" ref="AI19:AI25" si="7">$T$37</f>
        <v>9000000003</v>
      </c>
    </row>
    <row r="20" spans="1:35" x14ac:dyDescent="0.35">
      <c r="A20" s="2">
        <v>3</v>
      </c>
      <c r="B20" t="s">
        <v>3</v>
      </c>
      <c r="D20" s="80" t="s">
        <v>149</v>
      </c>
      <c r="F20" s="81" t="s">
        <v>152</v>
      </c>
      <c r="H20" s="80" t="s">
        <v>151</v>
      </c>
      <c r="M20" s="34" t="s">
        <v>145</v>
      </c>
      <c r="N20" s="81"/>
      <c r="Q20" s="110"/>
      <c r="S20" s="192"/>
      <c r="T20" s="234" t="s">
        <v>265</v>
      </c>
      <c r="U20" s="235" t="s">
        <v>266</v>
      </c>
      <c r="V20" s="235" t="s">
        <v>201</v>
      </c>
      <c r="W20" s="235" t="s">
        <v>275</v>
      </c>
      <c r="Y20" s="236" t="s">
        <v>276</v>
      </c>
      <c r="Z20" s="237" t="str">
        <f t="shared" si="6"/>
        <v>152SP00000</v>
      </c>
      <c r="AA20" s="237" t="s">
        <v>280</v>
      </c>
      <c r="AB20" s="237" t="s">
        <v>277</v>
      </c>
      <c r="AC20" s="238">
        <f t="shared" si="4"/>
        <v>9000000000</v>
      </c>
      <c r="AE20" s="236" t="s">
        <v>276</v>
      </c>
      <c r="AF20" s="253" t="str">
        <f t="shared" si="1"/>
        <v>152SP00000</v>
      </c>
      <c r="AG20" s="237" t="s">
        <v>282</v>
      </c>
      <c r="AH20" s="237" t="s">
        <v>277</v>
      </c>
      <c r="AI20" s="238">
        <f t="shared" si="7"/>
        <v>9000000003</v>
      </c>
    </row>
    <row r="21" spans="1:35" x14ac:dyDescent="0.35">
      <c r="A21" s="2">
        <v>4</v>
      </c>
      <c r="B21" t="s">
        <v>4</v>
      </c>
      <c r="D21" s="80" t="s">
        <v>149</v>
      </c>
      <c r="F21" s="81" t="s">
        <v>153</v>
      </c>
      <c r="H21" s="80" t="s">
        <v>151</v>
      </c>
      <c r="M21" s="34" t="s">
        <v>145</v>
      </c>
      <c r="N21" s="81"/>
      <c r="Q21" s="110"/>
      <c r="S21" s="192"/>
      <c r="T21" s="234" t="s">
        <v>267</v>
      </c>
      <c r="U21" s="235" t="s">
        <v>268</v>
      </c>
      <c r="V21" s="235" t="s">
        <v>201</v>
      </c>
      <c r="W21" s="235" t="s">
        <v>275</v>
      </c>
      <c r="Y21" s="236" t="s">
        <v>276</v>
      </c>
      <c r="Z21" s="237" t="str">
        <f t="shared" si="6"/>
        <v>152PG00000</v>
      </c>
      <c r="AA21" s="237" t="s">
        <v>280</v>
      </c>
      <c r="AB21" s="237" t="s">
        <v>277</v>
      </c>
      <c r="AC21" s="238">
        <f t="shared" si="4"/>
        <v>9000000000</v>
      </c>
      <c r="AE21" s="236" t="s">
        <v>276</v>
      </c>
      <c r="AF21" s="253" t="str">
        <f t="shared" si="1"/>
        <v>152PG00000</v>
      </c>
      <c r="AG21" s="237" t="s">
        <v>282</v>
      </c>
      <c r="AH21" s="237" t="s">
        <v>277</v>
      </c>
      <c r="AI21" s="238">
        <f t="shared" si="7"/>
        <v>9000000003</v>
      </c>
    </row>
    <row r="22" spans="1:35" x14ac:dyDescent="0.35">
      <c r="A22" s="2">
        <v>5</v>
      </c>
      <c r="B22" t="s">
        <v>154</v>
      </c>
      <c r="D22" s="80" t="s">
        <v>151</v>
      </c>
      <c r="F22" s="81" t="s">
        <v>150</v>
      </c>
      <c r="H22" s="80" t="s">
        <v>151</v>
      </c>
      <c r="M22" s="34" t="s">
        <v>150</v>
      </c>
      <c r="N22" s="81"/>
      <c r="Q22" s="110"/>
      <c r="S22" s="192"/>
      <c r="T22" s="234" t="s">
        <v>265</v>
      </c>
      <c r="U22" s="235" t="s">
        <v>266</v>
      </c>
      <c r="V22" s="235" t="s">
        <v>201</v>
      </c>
      <c r="W22" s="235" t="s">
        <v>275</v>
      </c>
      <c r="Y22" s="236" t="s">
        <v>276</v>
      </c>
      <c r="Z22" s="237" t="str">
        <f t="shared" si="6"/>
        <v>152SP00000</v>
      </c>
      <c r="AA22" s="237" t="s">
        <v>280</v>
      </c>
      <c r="AB22" s="237" t="s">
        <v>277</v>
      </c>
      <c r="AC22" s="238">
        <f t="shared" si="4"/>
        <v>9000000000</v>
      </c>
      <c r="AE22" s="236" t="s">
        <v>276</v>
      </c>
      <c r="AF22" s="253" t="str">
        <f t="shared" si="1"/>
        <v>152SP00000</v>
      </c>
      <c r="AG22" s="237" t="s">
        <v>282</v>
      </c>
      <c r="AH22" s="237" t="s">
        <v>277</v>
      </c>
      <c r="AI22" s="238">
        <f t="shared" si="7"/>
        <v>9000000003</v>
      </c>
    </row>
    <row r="23" spans="1:35" ht="15" thickBot="1" x14ac:dyDescent="0.4">
      <c r="A23" s="2">
        <v>6</v>
      </c>
      <c r="B23" t="s">
        <v>155</v>
      </c>
      <c r="D23" s="82" t="s">
        <v>108</v>
      </c>
      <c r="E23" s="83"/>
      <c r="F23" s="84"/>
      <c r="H23" s="82" t="s">
        <v>108</v>
      </c>
      <c r="I23" s="83"/>
      <c r="J23" s="83"/>
      <c r="K23" s="83"/>
      <c r="L23" s="83"/>
      <c r="M23" s="83"/>
      <c r="N23" s="84"/>
      <c r="Q23" s="110"/>
      <c r="S23" s="192"/>
      <c r="T23" s="234" t="s">
        <v>269</v>
      </c>
      <c r="U23" s="235" t="s">
        <v>270</v>
      </c>
      <c r="V23" s="235" t="s">
        <v>201</v>
      </c>
      <c r="W23" s="235" t="s">
        <v>275</v>
      </c>
      <c r="Y23" s="236" t="s">
        <v>276</v>
      </c>
      <c r="Z23" s="237" t="str">
        <f t="shared" si="6"/>
        <v>152OS00000</v>
      </c>
      <c r="AA23" s="237" t="s">
        <v>280</v>
      </c>
      <c r="AB23" s="237" t="s">
        <v>277</v>
      </c>
      <c r="AC23" s="238">
        <f t="shared" si="4"/>
        <v>9000000000</v>
      </c>
      <c r="AE23" s="236" t="s">
        <v>276</v>
      </c>
      <c r="AF23" s="253" t="str">
        <f t="shared" si="1"/>
        <v>152OS00000</v>
      </c>
      <c r="AG23" s="237" t="s">
        <v>282</v>
      </c>
      <c r="AH23" s="237" t="s">
        <v>277</v>
      </c>
      <c r="AI23" s="238">
        <f t="shared" si="7"/>
        <v>9000000003</v>
      </c>
    </row>
    <row r="24" spans="1:35" ht="15" thickBot="1" x14ac:dyDescent="0.4">
      <c r="Q24" s="110"/>
      <c r="S24" s="192"/>
      <c r="T24" s="234" t="s">
        <v>271</v>
      </c>
      <c r="U24" s="235" t="s">
        <v>272</v>
      </c>
      <c r="V24" s="235" t="s">
        <v>201</v>
      </c>
      <c r="W24" s="235" t="s">
        <v>275</v>
      </c>
      <c r="Y24" s="236" t="s">
        <v>276</v>
      </c>
      <c r="Z24" s="237" t="str">
        <f t="shared" si="6"/>
        <v>152SF00000</v>
      </c>
      <c r="AA24" s="237" t="s">
        <v>280</v>
      </c>
      <c r="AB24" s="237" t="s">
        <v>277</v>
      </c>
      <c r="AC24" s="238">
        <f t="shared" si="4"/>
        <v>9000000000</v>
      </c>
      <c r="AE24" s="236" t="s">
        <v>276</v>
      </c>
      <c r="AF24" s="253" t="str">
        <f t="shared" si="1"/>
        <v>152SF00000</v>
      </c>
      <c r="AG24" s="237" t="s">
        <v>282</v>
      </c>
      <c r="AH24" s="237" t="s">
        <v>277</v>
      </c>
      <c r="AI24" s="238">
        <f t="shared" si="7"/>
        <v>9000000003</v>
      </c>
    </row>
    <row r="25" spans="1:35" ht="15" thickBot="1" x14ac:dyDescent="0.4">
      <c r="H25" s="85" t="s">
        <v>156</v>
      </c>
      <c r="I25" s="86"/>
      <c r="J25" s="86"/>
      <c r="K25" s="86"/>
      <c r="L25" s="86"/>
      <c r="M25" s="86"/>
      <c r="N25" s="87"/>
      <c r="P25" t="s">
        <v>157</v>
      </c>
      <c r="Q25" s="111"/>
      <c r="S25" s="192"/>
      <c r="T25" s="234" t="s">
        <v>273</v>
      </c>
      <c r="U25" s="235" t="s">
        <v>274</v>
      </c>
      <c r="V25" s="235" t="s">
        <v>201</v>
      </c>
      <c r="W25" s="235" t="s">
        <v>275</v>
      </c>
      <c r="Y25" s="239" t="s">
        <v>276</v>
      </c>
      <c r="Z25" s="240" t="str">
        <f t="shared" si="6"/>
        <v>152FG00000</v>
      </c>
      <c r="AA25" s="240" t="s">
        <v>280</v>
      </c>
      <c r="AB25" s="240" t="s">
        <v>277</v>
      </c>
      <c r="AC25" s="241">
        <f t="shared" si="4"/>
        <v>9000000000</v>
      </c>
      <c r="AE25" s="239" t="s">
        <v>276</v>
      </c>
      <c r="AF25" s="254" t="str">
        <f t="shared" si="1"/>
        <v>152FG00000</v>
      </c>
      <c r="AG25" s="240" t="s">
        <v>282</v>
      </c>
      <c r="AH25" s="240" t="s">
        <v>277</v>
      </c>
      <c r="AI25" s="241">
        <f t="shared" si="7"/>
        <v>9000000003</v>
      </c>
    </row>
    <row r="26" spans="1:35" ht="15" thickBot="1" x14ac:dyDescent="0.4">
      <c r="S26" s="193" t="s">
        <v>155</v>
      </c>
      <c r="T26" s="204" t="s">
        <v>249</v>
      </c>
      <c r="U26" s="190" t="s">
        <v>250</v>
      </c>
      <c r="V26" s="190" t="s">
        <v>202</v>
      </c>
      <c r="W26" s="190" t="s">
        <v>211</v>
      </c>
      <c r="Y26" s="208"/>
      <c r="Z26" s="208"/>
      <c r="AA26" s="208"/>
      <c r="AB26" s="208"/>
      <c r="AC26" s="208"/>
      <c r="AE26" s="231" t="s">
        <v>276</v>
      </c>
      <c r="AF26" s="232" t="str">
        <f t="shared" si="1"/>
        <v>705AW01000</v>
      </c>
      <c r="AG26" s="232" t="s">
        <v>280</v>
      </c>
      <c r="AH26" s="232" t="s">
        <v>277</v>
      </c>
      <c r="AI26" s="233">
        <f>$T$34</f>
        <v>9000000000</v>
      </c>
    </row>
    <row r="27" spans="1:35" x14ac:dyDescent="0.35">
      <c r="H27" s="77" t="s">
        <v>158</v>
      </c>
      <c r="I27" s="78"/>
      <c r="J27" s="78"/>
      <c r="K27" s="78"/>
      <c r="L27" s="78"/>
      <c r="M27" s="88" t="s">
        <v>143</v>
      </c>
      <c r="N27" s="89"/>
      <c r="P27" t="s">
        <v>159</v>
      </c>
      <c r="S27" s="194"/>
      <c r="T27" s="204" t="s">
        <v>259</v>
      </c>
      <c r="U27" s="190" t="s">
        <v>260</v>
      </c>
      <c r="V27" s="190" t="s">
        <v>202</v>
      </c>
      <c r="W27" s="190" t="s">
        <v>211</v>
      </c>
      <c r="Y27" s="208"/>
      <c r="Z27" s="208"/>
      <c r="AA27" s="208"/>
      <c r="AB27" s="208"/>
      <c r="AC27" s="208"/>
      <c r="AE27" s="226" t="s">
        <v>276</v>
      </c>
      <c r="AF27" s="212" t="str">
        <f t="shared" si="1"/>
        <v>735EX06000</v>
      </c>
      <c r="AG27" s="212" t="s">
        <v>280</v>
      </c>
      <c r="AH27" s="212" t="s">
        <v>277</v>
      </c>
      <c r="AI27" s="227">
        <f t="shared" ref="AI27:AI31" si="8">$T$34</f>
        <v>9000000000</v>
      </c>
    </row>
    <row r="28" spans="1:35" x14ac:dyDescent="0.35">
      <c r="H28" s="80" t="s">
        <v>160</v>
      </c>
      <c r="M28" s="34" t="s">
        <v>150</v>
      </c>
      <c r="N28" s="90"/>
      <c r="S28" s="194"/>
      <c r="T28" s="204" t="s">
        <v>251</v>
      </c>
      <c r="U28" s="190" t="s">
        <v>252</v>
      </c>
      <c r="V28" s="190" t="s">
        <v>202</v>
      </c>
      <c r="W28" s="190" t="s">
        <v>211</v>
      </c>
      <c r="Y28" s="208"/>
      <c r="Z28" s="208"/>
      <c r="AA28" s="208"/>
      <c r="AB28" s="208"/>
      <c r="AC28" s="208"/>
      <c r="AE28" s="226" t="s">
        <v>276</v>
      </c>
      <c r="AF28" s="212" t="str">
        <f t="shared" si="1"/>
        <v>610SC02000</v>
      </c>
      <c r="AG28" s="212" t="s">
        <v>280</v>
      </c>
      <c r="AH28" s="212" t="s">
        <v>277</v>
      </c>
      <c r="AI28" s="227">
        <f t="shared" si="8"/>
        <v>9000000000</v>
      </c>
    </row>
    <row r="29" spans="1:35" x14ac:dyDescent="0.35">
      <c r="H29" s="80" t="s">
        <v>160</v>
      </c>
      <c r="M29" s="34" t="s">
        <v>152</v>
      </c>
      <c r="N29" s="90"/>
      <c r="S29" s="194"/>
      <c r="T29" s="204" t="s">
        <v>253</v>
      </c>
      <c r="U29" s="190" t="s">
        <v>254</v>
      </c>
      <c r="V29" s="190" t="s">
        <v>202</v>
      </c>
      <c r="W29" s="190" t="s">
        <v>211</v>
      </c>
      <c r="Y29" s="208"/>
      <c r="Z29" s="208"/>
      <c r="AA29" s="208"/>
      <c r="AB29" s="208"/>
      <c r="AC29" s="208"/>
      <c r="AE29" s="226" t="s">
        <v>276</v>
      </c>
      <c r="AF29" s="212" t="str">
        <f t="shared" si="1"/>
        <v>610OH01000</v>
      </c>
      <c r="AG29" s="212" t="s">
        <v>280</v>
      </c>
      <c r="AH29" s="212" t="s">
        <v>277</v>
      </c>
      <c r="AI29" s="227">
        <f t="shared" si="8"/>
        <v>9000000000</v>
      </c>
    </row>
    <row r="30" spans="1:35" x14ac:dyDescent="0.35">
      <c r="H30" s="80" t="s">
        <v>160</v>
      </c>
      <c r="M30" s="34" t="s">
        <v>153</v>
      </c>
      <c r="N30" s="90"/>
      <c r="S30" s="194"/>
      <c r="T30" s="204" t="s">
        <v>257</v>
      </c>
      <c r="U30" s="190" t="s">
        <v>258</v>
      </c>
      <c r="V30" s="190" t="s">
        <v>202</v>
      </c>
      <c r="W30" s="190" t="s">
        <v>203</v>
      </c>
      <c r="Y30" s="208"/>
      <c r="Z30" s="208"/>
      <c r="AA30" s="208"/>
      <c r="AB30" s="208"/>
      <c r="AC30" s="208"/>
      <c r="AE30" s="226" t="s">
        <v>277</v>
      </c>
      <c r="AF30" s="212" t="str">
        <f t="shared" si="1"/>
        <v>500SD01000</v>
      </c>
      <c r="AG30" s="212" t="s">
        <v>280</v>
      </c>
      <c r="AH30" s="212" t="s">
        <v>276</v>
      </c>
      <c r="AI30" s="227">
        <f t="shared" si="8"/>
        <v>9000000000</v>
      </c>
    </row>
    <row r="31" spans="1:35" x14ac:dyDescent="0.35">
      <c r="H31" s="80" t="s">
        <v>161</v>
      </c>
      <c r="L31" t="s">
        <v>162</v>
      </c>
      <c r="M31" s="34" t="s">
        <v>150</v>
      </c>
      <c r="N31" s="90"/>
      <c r="S31" s="195"/>
      <c r="T31" s="204" t="s">
        <v>255</v>
      </c>
      <c r="U31" s="190" t="s">
        <v>256</v>
      </c>
      <c r="V31" s="190" t="s">
        <v>202</v>
      </c>
      <c r="W31" s="190" t="s">
        <v>203</v>
      </c>
      <c r="Y31" s="208"/>
      <c r="Z31" s="208"/>
      <c r="AA31" s="208"/>
      <c r="AB31" s="208"/>
      <c r="AC31" s="208"/>
      <c r="AE31" s="228" t="s">
        <v>277</v>
      </c>
      <c r="AF31" s="229" t="str">
        <f t="shared" si="1"/>
        <v>810DQ00000</v>
      </c>
      <c r="AG31" s="229" t="s">
        <v>280</v>
      </c>
      <c r="AH31" s="229" t="s">
        <v>276</v>
      </c>
      <c r="AI31" s="230">
        <f t="shared" si="8"/>
        <v>9000000000</v>
      </c>
    </row>
    <row r="32" spans="1:35" ht="15" thickBot="1" x14ac:dyDescent="0.4">
      <c r="H32" s="82" t="s">
        <v>161</v>
      </c>
      <c r="I32" s="83"/>
      <c r="J32" s="83"/>
      <c r="K32" s="83"/>
      <c r="L32" s="83" t="s">
        <v>163</v>
      </c>
      <c r="M32" s="91" t="s">
        <v>150</v>
      </c>
      <c r="N32" s="84"/>
    </row>
    <row r="34" spans="1:23" x14ac:dyDescent="0.35">
      <c r="A34" s="92">
        <v>7</v>
      </c>
      <c r="B34" s="93" t="s">
        <v>164</v>
      </c>
      <c r="C34" s="93"/>
      <c r="D34" s="93" t="s">
        <v>165</v>
      </c>
      <c r="E34" s="93"/>
      <c r="F34" s="93"/>
      <c r="S34" s="196" t="s">
        <v>217</v>
      </c>
      <c r="T34" s="205">
        <v>9000000000</v>
      </c>
      <c r="U34" s="191" t="s">
        <v>170</v>
      </c>
      <c r="V34" s="191" t="s">
        <v>201</v>
      </c>
      <c r="W34" s="191" t="s">
        <v>217</v>
      </c>
    </row>
    <row r="35" spans="1:23" x14ac:dyDescent="0.35">
      <c r="S35" s="197"/>
      <c r="T35" s="205">
        <v>9000000001</v>
      </c>
      <c r="U35" s="191" t="s">
        <v>171</v>
      </c>
      <c r="V35" s="191" t="s">
        <v>201</v>
      </c>
      <c r="W35" s="191" t="s">
        <v>217</v>
      </c>
    </row>
    <row r="36" spans="1:23" x14ac:dyDescent="0.35">
      <c r="S36" s="197"/>
      <c r="T36" s="205">
        <v>9000000002</v>
      </c>
      <c r="U36" s="191" t="s">
        <v>174</v>
      </c>
      <c r="V36" s="191" t="s">
        <v>201</v>
      </c>
      <c r="W36" s="191" t="s">
        <v>217</v>
      </c>
    </row>
    <row r="37" spans="1:23" x14ac:dyDescent="0.35">
      <c r="B37" s="95" t="s">
        <v>166</v>
      </c>
      <c r="C37" s="96"/>
      <c r="D37" s="96"/>
      <c r="E37" s="96"/>
      <c r="F37" s="97"/>
      <c r="H37" s="95" t="s">
        <v>167</v>
      </c>
      <c r="I37" s="96"/>
      <c r="J37" s="96"/>
      <c r="K37" s="96"/>
      <c r="L37" s="96"/>
      <c r="M37" s="97"/>
      <c r="S37" s="197"/>
      <c r="T37" s="205">
        <v>9000000003</v>
      </c>
      <c r="U37" s="191" t="s">
        <v>215</v>
      </c>
      <c r="V37" s="191" t="s">
        <v>201</v>
      </c>
      <c r="W37" s="191" t="s">
        <v>217</v>
      </c>
    </row>
    <row r="38" spans="1:23" x14ac:dyDescent="0.35">
      <c r="B38" s="98">
        <v>1</v>
      </c>
      <c r="C38" t="s">
        <v>193</v>
      </c>
      <c r="F38" s="99"/>
      <c r="H38" s="94">
        <v>1</v>
      </c>
      <c r="I38" t="s">
        <v>179</v>
      </c>
      <c r="M38" s="99"/>
      <c r="S38" s="197"/>
      <c r="T38" s="205">
        <v>9000000004</v>
      </c>
      <c r="U38" s="191" t="s">
        <v>216</v>
      </c>
      <c r="V38" s="191" t="s">
        <v>201</v>
      </c>
      <c r="W38" s="191" t="s">
        <v>217</v>
      </c>
    </row>
    <row r="39" spans="1:23" x14ac:dyDescent="0.35">
      <c r="B39" s="98"/>
      <c r="D39" s="107" t="s">
        <v>195</v>
      </c>
      <c r="E39" s="107"/>
      <c r="F39" s="108" t="s">
        <v>170</v>
      </c>
      <c r="H39" s="94"/>
      <c r="J39" s="105" t="s">
        <v>148</v>
      </c>
      <c r="K39" s="105"/>
      <c r="L39" s="105"/>
      <c r="M39" s="106" t="s">
        <v>170</v>
      </c>
      <c r="S39" s="197"/>
      <c r="T39" s="205">
        <v>9000000005</v>
      </c>
      <c r="U39" s="191" t="s">
        <v>218</v>
      </c>
      <c r="V39" s="191" t="s">
        <v>201</v>
      </c>
      <c r="W39" s="191" t="s">
        <v>217</v>
      </c>
    </row>
    <row r="40" spans="1:23" x14ac:dyDescent="0.35">
      <c r="B40" s="98">
        <v>2</v>
      </c>
      <c r="C40" t="s">
        <v>172</v>
      </c>
      <c r="F40" s="99"/>
      <c r="H40" s="94">
        <v>2</v>
      </c>
      <c r="I40" t="s">
        <v>181</v>
      </c>
      <c r="M40" s="99"/>
      <c r="S40" s="198"/>
      <c r="T40" s="205">
        <v>9000000006</v>
      </c>
      <c r="U40" s="191" t="s">
        <v>219</v>
      </c>
      <c r="V40" s="191" t="s">
        <v>201</v>
      </c>
      <c r="W40" s="191" t="s">
        <v>217</v>
      </c>
    </row>
    <row r="41" spans="1:23" x14ac:dyDescent="0.35">
      <c r="B41" s="98"/>
      <c r="D41" s="107" t="s">
        <v>171</v>
      </c>
      <c r="E41" s="107"/>
      <c r="F41" s="108" t="s">
        <v>170</v>
      </c>
      <c r="H41" s="94"/>
      <c r="J41" s="105" t="s">
        <v>187</v>
      </c>
      <c r="K41" s="105"/>
      <c r="L41" s="105"/>
      <c r="M41" s="106" t="s">
        <v>171</v>
      </c>
    </row>
    <row r="42" spans="1:23" x14ac:dyDescent="0.35">
      <c r="B42" s="98">
        <v>3</v>
      </c>
      <c r="C42" t="s">
        <v>173</v>
      </c>
      <c r="F42" s="99"/>
      <c r="H42" s="94">
        <v>3</v>
      </c>
      <c r="I42" t="s">
        <v>180</v>
      </c>
      <c r="M42" s="99"/>
    </row>
    <row r="43" spans="1:23" x14ac:dyDescent="0.35">
      <c r="B43" s="98"/>
      <c r="D43" s="107" t="s">
        <v>197</v>
      </c>
      <c r="E43" s="107"/>
      <c r="F43" s="108" t="s">
        <v>170</v>
      </c>
      <c r="H43" s="94"/>
      <c r="J43" s="105" t="s">
        <v>188</v>
      </c>
      <c r="K43" s="105"/>
      <c r="L43" s="105"/>
      <c r="M43" s="106" t="s">
        <v>174</v>
      </c>
    </row>
    <row r="44" spans="1:23" x14ac:dyDescent="0.35">
      <c r="B44" s="98">
        <v>4</v>
      </c>
      <c r="C44" t="s">
        <v>175</v>
      </c>
      <c r="F44" s="99"/>
      <c r="H44" s="94">
        <v>4</v>
      </c>
      <c r="I44" t="s">
        <v>182</v>
      </c>
      <c r="M44" s="99"/>
    </row>
    <row r="45" spans="1:23" x14ac:dyDescent="0.35">
      <c r="B45" s="98"/>
      <c r="D45" s="107" t="s">
        <v>174</v>
      </c>
      <c r="E45" s="107"/>
      <c r="F45" s="108" t="s">
        <v>170</v>
      </c>
      <c r="H45" s="94"/>
      <c r="J45" t="s">
        <v>178</v>
      </c>
      <c r="M45" s="99"/>
    </row>
    <row r="46" spans="1:23" x14ac:dyDescent="0.35">
      <c r="B46" s="98">
        <v>5</v>
      </c>
      <c r="C46" t="s">
        <v>176</v>
      </c>
      <c r="F46" s="99"/>
      <c r="H46" s="94">
        <v>5</v>
      </c>
      <c r="I46" t="s">
        <v>183</v>
      </c>
      <c r="M46" s="99"/>
    </row>
    <row r="47" spans="1:23" x14ac:dyDescent="0.35">
      <c r="B47" s="98"/>
      <c r="D47" s="107" t="s">
        <v>198</v>
      </c>
      <c r="E47" s="107"/>
      <c r="F47" s="108" t="s">
        <v>170</v>
      </c>
      <c r="H47" s="94"/>
      <c r="J47" s="105" t="s">
        <v>189</v>
      </c>
      <c r="K47" s="105"/>
      <c r="L47" s="105"/>
      <c r="M47" s="106" t="s">
        <v>190</v>
      </c>
    </row>
    <row r="48" spans="1:23" x14ac:dyDescent="0.35">
      <c r="B48" s="98">
        <v>6</v>
      </c>
      <c r="C48" t="s">
        <v>194</v>
      </c>
      <c r="F48" s="99"/>
      <c r="H48" s="94">
        <v>6</v>
      </c>
      <c r="I48" t="s">
        <v>185</v>
      </c>
      <c r="M48" s="99"/>
    </row>
    <row r="49" spans="2:13" x14ac:dyDescent="0.35">
      <c r="B49" s="98"/>
      <c r="D49" s="107" t="s">
        <v>169</v>
      </c>
      <c r="E49" s="107"/>
      <c r="F49" s="108" t="s">
        <v>170</v>
      </c>
      <c r="H49" s="94"/>
      <c r="J49" s="105" t="s">
        <v>154</v>
      </c>
      <c r="K49" s="105"/>
      <c r="L49" s="105"/>
      <c r="M49" s="106" t="s">
        <v>170</v>
      </c>
    </row>
    <row r="50" spans="2:13" x14ac:dyDescent="0.35">
      <c r="B50" s="98">
        <v>7</v>
      </c>
      <c r="C50" t="s">
        <v>184</v>
      </c>
      <c r="F50" s="99"/>
      <c r="H50" s="94">
        <v>7</v>
      </c>
      <c r="I50" t="s">
        <v>177</v>
      </c>
      <c r="M50" s="99"/>
    </row>
    <row r="51" spans="2:13" x14ac:dyDescent="0.35">
      <c r="B51" s="98"/>
      <c r="D51" s="105" t="s">
        <v>196</v>
      </c>
      <c r="E51" s="105"/>
      <c r="F51" s="106" t="s">
        <v>170</v>
      </c>
      <c r="H51" s="103"/>
      <c r="J51" s="105" t="s">
        <v>191</v>
      </c>
      <c r="K51" s="105"/>
      <c r="L51" s="105"/>
      <c r="M51" s="106" t="s">
        <v>170</v>
      </c>
    </row>
    <row r="52" spans="2:13" x14ac:dyDescent="0.35">
      <c r="B52" s="98">
        <v>8</v>
      </c>
      <c r="C52" t="s">
        <v>177</v>
      </c>
      <c r="F52" s="99"/>
      <c r="H52" s="103"/>
      <c r="M52" s="99"/>
    </row>
    <row r="53" spans="2:13" x14ac:dyDescent="0.35">
      <c r="B53" s="100"/>
      <c r="C53" s="101"/>
      <c r="D53" s="101" t="s">
        <v>168</v>
      </c>
      <c r="E53" s="101"/>
      <c r="F53" s="102"/>
      <c r="H53" s="104" t="s">
        <v>192</v>
      </c>
      <c r="I53" s="101"/>
      <c r="J53" s="101"/>
      <c r="K53" s="101"/>
      <c r="L53" s="101"/>
      <c r="M53" s="102"/>
    </row>
    <row r="55" spans="2:13" x14ac:dyDescent="0.35">
      <c r="B55" s="112" t="s">
        <v>186</v>
      </c>
      <c r="C55" s="112"/>
      <c r="D55" s="112"/>
      <c r="E55" s="112"/>
      <c r="F55" s="112"/>
      <c r="G55" s="112"/>
      <c r="H55" s="112"/>
      <c r="I55" s="112"/>
      <c r="J55" s="112"/>
      <c r="K55" s="112"/>
      <c r="L55" s="112"/>
      <c r="M55" s="112"/>
    </row>
  </sheetData>
  <mergeCells count="10">
    <mergeCell ref="Q18:Q25"/>
    <mergeCell ref="B55:M55"/>
    <mergeCell ref="S10:S11"/>
    <mergeCell ref="S12:S13"/>
    <mergeCell ref="S14:S15"/>
    <mergeCell ref="S4:S7"/>
    <mergeCell ref="S8:S9"/>
    <mergeCell ref="S16:S25"/>
    <mergeCell ref="S26:S31"/>
    <mergeCell ref="S34:S4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7B9CC-5A3A-40CC-AF80-897C28F6CB19}">
  <sheetPr codeName="Sheet1"/>
  <dimension ref="B1:T35"/>
  <sheetViews>
    <sheetView zoomScale="90" zoomScaleNormal="90" workbookViewId="0"/>
  </sheetViews>
  <sheetFormatPr defaultColWidth="9.26953125" defaultRowHeight="14.5" x14ac:dyDescent="0.35"/>
  <cols>
    <col min="1" max="1" width="9.26953125" style="1"/>
    <col min="2" max="2" width="10.81640625" style="1" customWidth="1"/>
    <col min="3" max="3" width="84.08984375" style="1" customWidth="1"/>
    <col min="4" max="4" width="20.6328125" style="2" customWidth="1"/>
    <col min="5" max="5" width="17.08984375" style="2" bestFit="1" customWidth="1"/>
    <col min="6" max="6" width="9.08984375" style="2" customWidth="1"/>
    <col min="7" max="7" width="27.26953125" style="1" customWidth="1"/>
    <col min="8" max="12" width="9.26953125" style="1"/>
    <col min="13" max="13" width="48.26953125" style="1" bestFit="1" customWidth="1"/>
    <col min="14" max="16384" width="9.26953125" style="1"/>
  </cols>
  <sheetData>
    <row r="1" spans="2:20" ht="15" thickBot="1" x14ac:dyDescent="0.4"/>
    <row r="2" spans="2:20" ht="14.65" customHeight="1" x14ac:dyDescent="0.35">
      <c r="B2" s="122" t="s">
        <v>8</v>
      </c>
      <c r="C2" s="123"/>
      <c r="D2" s="116" t="s">
        <v>121</v>
      </c>
      <c r="E2" s="118" t="s">
        <v>117</v>
      </c>
      <c r="F2" s="1"/>
      <c r="G2" s="1" t="s">
        <v>79</v>
      </c>
      <c r="I2" s="2"/>
      <c r="J2" s="2"/>
      <c r="K2" s="2"/>
      <c r="M2" s="8"/>
    </row>
    <row r="3" spans="2:20" ht="14.65" customHeight="1" thickBot="1" x14ac:dyDescent="0.4">
      <c r="B3" s="124"/>
      <c r="C3" s="125"/>
      <c r="D3" s="117"/>
      <c r="E3" s="119"/>
      <c r="F3" s="1"/>
      <c r="G3" s="10" t="s">
        <v>17</v>
      </c>
      <c r="H3" s="8"/>
      <c r="I3" s="2"/>
      <c r="J3" s="2"/>
      <c r="K3" s="2"/>
    </row>
    <row r="4" spans="2:20" x14ac:dyDescent="0.35">
      <c r="B4" s="113" t="s">
        <v>86</v>
      </c>
      <c r="C4" s="54" t="s">
        <v>89</v>
      </c>
      <c r="D4" s="75" t="s">
        <v>122</v>
      </c>
      <c r="E4" s="127" t="s">
        <v>81</v>
      </c>
      <c r="F4" s="1"/>
      <c r="G4" s="45" t="s">
        <v>19</v>
      </c>
      <c r="H4" s="14" t="s">
        <v>26</v>
      </c>
      <c r="I4" s="15"/>
      <c r="J4" s="16"/>
      <c r="K4" s="16"/>
      <c r="L4" s="16"/>
      <c r="M4" s="16"/>
      <c r="N4" s="16"/>
      <c r="O4" s="16"/>
      <c r="P4" s="16"/>
      <c r="Q4" s="16"/>
      <c r="R4" s="16"/>
      <c r="S4" s="16"/>
      <c r="T4" s="17"/>
    </row>
    <row r="5" spans="2:20" x14ac:dyDescent="0.35">
      <c r="B5" s="120"/>
      <c r="C5" s="40" t="s">
        <v>90</v>
      </c>
      <c r="D5" s="9"/>
      <c r="E5" s="128"/>
      <c r="F5"/>
      <c r="G5" s="48"/>
      <c r="H5" s="10" t="s">
        <v>132</v>
      </c>
      <c r="I5" s="2"/>
      <c r="T5" s="19"/>
    </row>
    <row r="6" spans="2:20" ht="15" thickBot="1" x14ac:dyDescent="0.4">
      <c r="B6" s="126"/>
      <c r="C6" s="55" t="s">
        <v>91</v>
      </c>
      <c r="D6" s="65"/>
      <c r="E6" s="129"/>
      <c r="F6"/>
      <c r="G6" s="48"/>
      <c r="H6" s="10" t="s">
        <v>133</v>
      </c>
      <c r="I6" s="2"/>
      <c r="T6" s="19"/>
    </row>
    <row r="7" spans="2:20" x14ac:dyDescent="0.35">
      <c r="B7" s="113" t="s">
        <v>87</v>
      </c>
      <c r="C7" s="54" t="s">
        <v>92</v>
      </c>
      <c r="D7" s="139" t="s">
        <v>127</v>
      </c>
      <c r="E7" s="136" t="s">
        <v>81</v>
      </c>
      <c r="F7"/>
      <c r="G7" s="48"/>
      <c r="H7" s="24" t="s">
        <v>29</v>
      </c>
      <c r="I7" s="27"/>
      <c r="J7" s="30"/>
      <c r="K7" s="30"/>
      <c r="L7" s="30"/>
      <c r="M7" s="30"/>
      <c r="N7" s="30"/>
      <c r="O7" s="30"/>
      <c r="P7" s="30"/>
      <c r="Q7" s="30"/>
      <c r="R7" s="30"/>
      <c r="S7" s="30"/>
      <c r="T7" s="31"/>
    </row>
    <row r="8" spans="2:20" x14ac:dyDescent="0.35">
      <c r="B8" s="120"/>
      <c r="C8" s="40" t="s">
        <v>93</v>
      </c>
      <c r="D8" s="140"/>
      <c r="E8" s="137"/>
      <c r="F8"/>
      <c r="G8" s="46" t="s">
        <v>18</v>
      </c>
      <c r="H8" s="20" t="s">
        <v>26</v>
      </c>
      <c r="I8" s="2"/>
      <c r="T8" s="19"/>
    </row>
    <row r="9" spans="2:20" ht="15" thickBot="1" x14ac:dyDescent="0.4">
      <c r="B9" s="121"/>
      <c r="C9" s="50" t="s">
        <v>94</v>
      </c>
      <c r="D9" s="141"/>
      <c r="E9" s="138"/>
      <c r="F9"/>
      <c r="G9" s="46"/>
      <c r="H9" s="20" t="s">
        <v>131</v>
      </c>
      <c r="I9" s="2"/>
      <c r="T9" s="19"/>
    </row>
    <row r="10" spans="2:20" x14ac:dyDescent="0.35">
      <c r="B10" s="113" t="s">
        <v>88</v>
      </c>
      <c r="C10" s="73" t="s">
        <v>92</v>
      </c>
      <c r="D10" s="66" t="s">
        <v>81</v>
      </c>
      <c r="E10" s="142" t="s">
        <v>81</v>
      </c>
      <c r="F10"/>
      <c r="G10" s="48"/>
      <c r="H10" s="20" t="s">
        <v>134</v>
      </c>
      <c r="I10" s="2"/>
      <c r="T10" s="19"/>
    </row>
    <row r="11" spans="2:20" x14ac:dyDescent="0.35">
      <c r="B11" s="114"/>
      <c r="C11" s="50" t="s">
        <v>77</v>
      </c>
      <c r="D11" s="133"/>
      <c r="E11" s="143"/>
      <c r="F11"/>
      <c r="G11" s="48"/>
      <c r="H11" s="24" t="s">
        <v>29</v>
      </c>
      <c r="I11" s="27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1"/>
    </row>
    <row r="12" spans="2:20" x14ac:dyDescent="0.35">
      <c r="B12" s="114"/>
      <c r="C12" s="51" t="s">
        <v>75</v>
      </c>
      <c r="D12" s="134"/>
      <c r="E12" s="143"/>
      <c r="F12"/>
      <c r="G12" s="46" t="s">
        <v>28</v>
      </c>
      <c r="H12" s="20" t="s">
        <v>130</v>
      </c>
      <c r="I12" s="2"/>
      <c r="T12" s="19"/>
    </row>
    <row r="13" spans="2:20" ht="15" thickBot="1" x14ac:dyDescent="0.4">
      <c r="B13" s="115"/>
      <c r="C13" s="53" t="s">
        <v>74</v>
      </c>
      <c r="D13" s="135"/>
      <c r="E13" s="144"/>
      <c r="F13" s="1"/>
      <c r="G13" s="21"/>
      <c r="H13" s="25" t="s">
        <v>129</v>
      </c>
      <c r="I13" s="26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9"/>
    </row>
    <row r="14" spans="2:20" x14ac:dyDescent="0.35">
      <c r="C14" s="74" t="s">
        <v>128</v>
      </c>
      <c r="F14" s="1"/>
    </row>
    <row r="15" spans="2:20" x14ac:dyDescent="0.35">
      <c r="E15" s="1"/>
      <c r="F15" s="1"/>
    </row>
    <row r="16" spans="2:20" x14ac:dyDescent="0.35">
      <c r="B16" s="1" t="s">
        <v>95</v>
      </c>
      <c r="C16" s="32" t="s">
        <v>126</v>
      </c>
      <c r="D16" s="145">
        <v>2025</v>
      </c>
      <c r="E16" s="43" t="s">
        <v>118</v>
      </c>
      <c r="F16" s="1"/>
    </row>
    <row r="17" spans="3:6" x14ac:dyDescent="0.35">
      <c r="C17" s="32" t="s">
        <v>135</v>
      </c>
      <c r="D17" s="146"/>
      <c r="E17" s="132" t="s">
        <v>118</v>
      </c>
      <c r="F17" s="1"/>
    </row>
    <row r="18" spans="3:6" x14ac:dyDescent="0.35">
      <c r="C18" s="40" t="s">
        <v>125</v>
      </c>
      <c r="D18" s="147"/>
      <c r="E18" s="132"/>
      <c r="F18" s="1"/>
    </row>
    <row r="19" spans="3:6" x14ac:dyDescent="0.35">
      <c r="F19" s="1"/>
    </row>
    <row r="20" spans="3:6" x14ac:dyDescent="0.35">
      <c r="C20" s="40" t="s">
        <v>124</v>
      </c>
      <c r="D20" s="130">
        <v>2026</v>
      </c>
      <c r="E20" s="43" t="s">
        <v>120</v>
      </c>
      <c r="F20" s="1"/>
    </row>
    <row r="21" spans="3:6" ht="43.5" x14ac:dyDescent="0.35">
      <c r="C21" s="40" t="s">
        <v>110</v>
      </c>
      <c r="D21" s="131"/>
      <c r="E21" s="67" t="s">
        <v>119</v>
      </c>
      <c r="F21" s="1"/>
    </row>
    <row r="22" spans="3:6" x14ac:dyDescent="0.35">
      <c r="F22" s="1"/>
    </row>
    <row r="23" spans="3:6" x14ac:dyDescent="0.35">
      <c r="F23" s="1"/>
    </row>
    <row r="24" spans="3:6" x14ac:dyDescent="0.35">
      <c r="F24" s="1"/>
    </row>
    <row r="25" spans="3:6" x14ac:dyDescent="0.35">
      <c r="F25" s="1"/>
    </row>
    <row r="26" spans="3:6" x14ac:dyDescent="0.35">
      <c r="F26" s="1"/>
    </row>
    <row r="27" spans="3:6" x14ac:dyDescent="0.35">
      <c r="F27" s="1"/>
    </row>
    <row r="28" spans="3:6" x14ac:dyDescent="0.35">
      <c r="F28" s="1"/>
    </row>
    <row r="29" spans="3:6" x14ac:dyDescent="0.35">
      <c r="F29" s="1"/>
    </row>
    <row r="30" spans="3:6" x14ac:dyDescent="0.35">
      <c r="F30" s="1"/>
    </row>
    <row r="31" spans="3:6" x14ac:dyDescent="0.35">
      <c r="F31" s="1"/>
    </row>
    <row r="32" spans="3:6" x14ac:dyDescent="0.35">
      <c r="F32" s="1"/>
    </row>
    <row r="33" spans="4:6" x14ac:dyDescent="0.35">
      <c r="E33" s="1"/>
      <c r="F33" s="1"/>
    </row>
    <row r="34" spans="4:6" x14ac:dyDescent="0.35">
      <c r="D34" s="1"/>
      <c r="E34" s="1"/>
      <c r="F34" s="1"/>
    </row>
    <row r="35" spans="4:6" x14ac:dyDescent="0.35">
      <c r="D35" s="1"/>
      <c r="E35" s="1"/>
      <c r="F35" s="1"/>
    </row>
  </sheetData>
  <mergeCells count="14">
    <mergeCell ref="D20:D21"/>
    <mergeCell ref="E17:E18"/>
    <mergeCell ref="D11:D13"/>
    <mergeCell ref="E7:E9"/>
    <mergeCell ref="D7:D9"/>
    <mergeCell ref="E10:E13"/>
    <mergeCell ref="D16:D18"/>
    <mergeCell ref="B10:B13"/>
    <mergeCell ref="D2:D3"/>
    <mergeCell ref="E2:E3"/>
    <mergeCell ref="B7:B9"/>
    <mergeCell ref="B2:C3"/>
    <mergeCell ref="B4:B6"/>
    <mergeCell ref="E4:E6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B1054-9445-434F-B8C4-4275AFE8E718}">
  <sheetPr codeName="Sheet2"/>
  <dimension ref="B2:X37"/>
  <sheetViews>
    <sheetView zoomScale="90" zoomScaleNormal="90" workbookViewId="0"/>
  </sheetViews>
  <sheetFormatPr defaultColWidth="9.26953125" defaultRowHeight="14.5" x14ac:dyDescent="0.35"/>
  <cols>
    <col min="1" max="1" width="9.26953125" style="1"/>
    <col min="2" max="2" width="10.81640625" style="1" customWidth="1"/>
    <col min="3" max="3" width="68.08984375" style="1" bestFit="1" customWidth="1"/>
    <col min="4" max="4" width="20.6328125" style="2" customWidth="1"/>
    <col min="5" max="5" width="22.90625" style="2" customWidth="1"/>
    <col min="6" max="6" width="19.6328125" style="2" customWidth="1"/>
    <col min="7" max="7" width="26.54296875" style="2" customWidth="1"/>
    <col min="8" max="8" width="9.26953125" style="1"/>
    <col min="9" max="9" width="9.08984375" style="2" customWidth="1"/>
    <col min="10" max="10" width="27.26953125" style="1" customWidth="1"/>
    <col min="11" max="15" width="9.26953125" style="1"/>
    <col min="16" max="16" width="48.26953125" style="1" bestFit="1" customWidth="1"/>
    <col min="17" max="16384" width="9.26953125" style="1"/>
  </cols>
  <sheetData>
    <row r="2" spans="2:24" ht="14.65" customHeight="1" x14ac:dyDescent="0.35">
      <c r="B2" s="148" t="s">
        <v>8</v>
      </c>
      <c r="C2" s="148"/>
      <c r="D2" s="171" t="s">
        <v>7</v>
      </c>
      <c r="E2" s="172"/>
      <c r="F2" s="173" t="s">
        <v>80</v>
      </c>
      <c r="G2" s="174"/>
      <c r="I2" s="1"/>
      <c r="J2" s="1" t="s">
        <v>79</v>
      </c>
      <c r="L2" s="2"/>
      <c r="M2" s="2"/>
      <c r="N2" s="2"/>
      <c r="P2" s="8" t="s">
        <v>72</v>
      </c>
    </row>
    <row r="3" spans="2:24" ht="14.65" customHeight="1" thickBot="1" x14ac:dyDescent="0.4">
      <c r="B3" s="149"/>
      <c r="C3" s="149"/>
      <c r="D3" s="56" t="s">
        <v>22</v>
      </c>
      <c r="E3" s="57" t="s">
        <v>23</v>
      </c>
      <c r="F3" s="56" t="s">
        <v>22</v>
      </c>
      <c r="G3" s="57" t="s">
        <v>23</v>
      </c>
      <c r="I3" s="1"/>
      <c r="J3" s="10" t="s">
        <v>112</v>
      </c>
      <c r="K3" s="8"/>
      <c r="L3" s="2"/>
      <c r="M3" s="2"/>
      <c r="N3" s="2"/>
    </row>
    <row r="4" spans="2:24" ht="15" thickBot="1" x14ac:dyDescent="0.4">
      <c r="B4" s="150" t="s">
        <v>86</v>
      </c>
      <c r="C4" s="70" t="s">
        <v>89</v>
      </c>
      <c r="D4" s="58" t="s">
        <v>81</v>
      </c>
      <c r="E4" s="58" t="s">
        <v>82</v>
      </c>
      <c r="F4" s="71" t="s">
        <v>108</v>
      </c>
      <c r="G4" s="72" t="s">
        <v>81</v>
      </c>
      <c r="I4" s="1"/>
      <c r="L4" s="2"/>
      <c r="M4" s="2"/>
    </row>
    <row r="5" spans="2:24" x14ac:dyDescent="0.35">
      <c r="B5" s="151"/>
      <c r="C5" s="68" t="s">
        <v>90</v>
      </c>
      <c r="D5" s="170" t="s">
        <v>108</v>
      </c>
      <c r="E5" s="170"/>
      <c r="F5" s="43" t="s">
        <v>85</v>
      </c>
      <c r="G5" s="59" t="s">
        <v>82</v>
      </c>
      <c r="I5" s="1" t="s">
        <v>22</v>
      </c>
      <c r="J5" s="45" t="s">
        <v>19</v>
      </c>
      <c r="K5" s="14" t="s">
        <v>25</v>
      </c>
      <c r="L5" s="15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7"/>
    </row>
    <row r="6" spans="2:24" ht="15" thickBot="1" x14ac:dyDescent="0.4">
      <c r="B6" s="152"/>
      <c r="C6" s="69" t="s">
        <v>91</v>
      </c>
      <c r="D6" s="169" t="s">
        <v>108</v>
      </c>
      <c r="E6" s="169"/>
      <c r="F6" s="60" t="s">
        <v>83</v>
      </c>
      <c r="G6" s="61" t="s">
        <v>84</v>
      </c>
      <c r="I6" s="1"/>
      <c r="J6" s="46"/>
      <c r="K6" s="10" t="s">
        <v>27</v>
      </c>
      <c r="L6" s="2"/>
      <c r="X6" s="19"/>
    </row>
    <row r="7" spans="2:24" x14ac:dyDescent="0.35">
      <c r="B7" s="153" t="s">
        <v>87</v>
      </c>
      <c r="C7" s="64" t="s">
        <v>92</v>
      </c>
      <c r="D7" s="175" t="s">
        <v>81</v>
      </c>
      <c r="E7" s="176"/>
      <c r="F7" s="176"/>
      <c r="G7" s="177"/>
      <c r="I7" s="1"/>
      <c r="J7" s="46"/>
      <c r="K7" s="24" t="s">
        <v>29</v>
      </c>
      <c r="L7" s="27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1"/>
    </row>
    <row r="8" spans="2:24" x14ac:dyDescent="0.35">
      <c r="B8" s="120"/>
      <c r="C8" s="40" t="s">
        <v>93</v>
      </c>
      <c r="D8" s="178" t="s">
        <v>81</v>
      </c>
      <c r="E8" s="179"/>
      <c r="F8" s="179"/>
      <c r="G8" s="180"/>
      <c r="I8" s="1"/>
      <c r="J8" s="46" t="s">
        <v>18</v>
      </c>
      <c r="K8" s="20" t="s">
        <v>25</v>
      </c>
      <c r="L8" s="2"/>
      <c r="X8" s="19"/>
    </row>
    <row r="9" spans="2:24" ht="15" thickBot="1" x14ac:dyDescent="0.4">
      <c r="B9" s="126"/>
      <c r="C9" s="55" t="s">
        <v>94</v>
      </c>
      <c r="D9" s="181" t="s">
        <v>81</v>
      </c>
      <c r="E9" s="182"/>
      <c r="F9" s="182"/>
      <c r="G9" s="183"/>
      <c r="I9" s="1"/>
      <c r="J9" s="46"/>
      <c r="K9" s="20" t="s">
        <v>21</v>
      </c>
      <c r="L9" s="2"/>
      <c r="X9" s="19"/>
    </row>
    <row r="10" spans="2:24" x14ac:dyDescent="0.35">
      <c r="B10" s="113" t="s">
        <v>88</v>
      </c>
      <c r="C10" s="52" t="s">
        <v>92</v>
      </c>
      <c r="D10" s="154" t="s">
        <v>81</v>
      </c>
      <c r="E10" s="155"/>
      <c r="F10" s="155"/>
      <c r="G10" s="156"/>
      <c r="I10" s="1"/>
      <c r="J10" s="46"/>
      <c r="K10" s="35" t="s">
        <v>60</v>
      </c>
      <c r="L10" s="36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8"/>
    </row>
    <row r="11" spans="2:24" x14ac:dyDescent="0.35">
      <c r="B11" s="120"/>
      <c r="C11" s="49" t="s">
        <v>78</v>
      </c>
      <c r="D11" s="157"/>
      <c r="E11" s="158"/>
      <c r="F11" s="158"/>
      <c r="G11" s="159"/>
      <c r="I11" s="1"/>
      <c r="J11" s="46" t="s">
        <v>28</v>
      </c>
      <c r="K11" s="20" t="s">
        <v>30</v>
      </c>
      <c r="L11" s="2"/>
      <c r="X11" s="19"/>
    </row>
    <row r="12" spans="2:24" ht="15" thickBot="1" x14ac:dyDescent="0.4">
      <c r="B12" s="120"/>
      <c r="C12" s="50" t="s">
        <v>77</v>
      </c>
      <c r="D12" s="166" t="s">
        <v>15</v>
      </c>
      <c r="E12" s="133"/>
      <c r="F12" s="160" t="s">
        <v>81</v>
      </c>
      <c r="G12" s="161"/>
      <c r="I12" s="1"/>
      <c r="J12" s="47"/>
      <c r="K12" s="25" t="s">
        <v>57</v>
      </c>
      <c r="L12" s="26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9"/>
    </row>
    <row r="13" spans="2:24" x14ac:dyDescent="0.35">
      <c r="B13" s="120"/>
      <c r="C13" s="51" t="s">
        <v>76</v>
      </c>
      <c r="D13" s="167"/>
      <c r="E13" s="134"/>
      <c r="F13" s="162"/>
      <c r="G13" s="163"/>
      <c r="I13" s="1" t="s">
        <v>23</v>
      </c>
      <c r="J13" s="45" t="s">
        <v>19</v>
      </c>
      <c r="K13" s="14" t="s">
        <v>26</v>
      </c>
      <c r="L13" s="15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7"/>
    </row>
    <row r="14" spans="2:24" x14ac:dyDescent="0.35">
      <c r="B14" s="120"/>
      <c r="C14" s="51" t="s">
        <v>75</v>
      </c>
      <c r="D14" s="167"/>
      <c r="E14" s="134"/>
      <c r="F14" s="162"/>
      <c r="G14" s="163"/>
      <c r="I14" s="1"/>
      <c r="J14" s="48"/>
      <c r="K14" s="10" t="s">
        <v>132</v>
      </c>
      <c r="L14" s="2"/>
      <c r="X14" s="19"/>
    </row>
    <row r="15" spans="2:24" ht="15" thickBot="1" x14ac:dyDescent="0.4">
      <c r="B15" s="126"/>
      <c r="C15" s="53" t="s">
        <v>74</v>
      </c>
      <c r="D15" s="168"/>
      <c r="E15" s="135"/>
      <c r="F15" s="164"/>
      <c r="G15" s="165"/>
      <c r="I15" s="1"/>
      <c r="J15" s="48"/>
      <c r="K15" s="10" t="s">
        <v>133</v>
      </c>
      <c r="L15" s="2"/>
      <c r="X15" s="19"/>
    </row>
    <row r="16" spans="2:24" x14ac:dyDescent="0.35">
      <c r="C16" s="39" t="s">
        <v>123</v>
      </c>
      <c r="E16" s="1"/>
      <c r="F16" s="1"/>
      <c r="G16" s="1"/>
      <c r="I16" s="1"/>
      <c r="J16" s="48"/>
      <c r="K16" s="24" t="s">
        <v>29</v>
      </c>
      <c r="L16" s="27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1"/>
    </row>
    <row r="17" spans="2:24" x14ac:dyDescent="0.35">
      <c r="E17" s="1"/>
      <c r="F17" s="1"/>
      <c r="G17" s="1"/>
      <c r="I17" s="1"/>
      <c r="J17" s="46" t="s">
        <v>18</v>
      </c>
      <c r="K17" s="20" t="s">
        <v>26</v>
      </c>
      <c r="L17" s="2"/>
      <c r="X17" s="19"/>
    </row>
    <row r="18" spans="2:24" x14ac:dyDescent="0.35">
      <c r="B18" s="1" t="s">
        <v>95</v>
      </c>
      <c r="C18" s="62" t="s">
        <v>114</v>
      </c>
      <c r="E18" s="1"/>
      <c r="F18" s="1"/>
      <c r="I18" s="1"/>
      <c r="J18" s="46"/>
      <c r="K18" s="20" t="s">
        <v>136</v>
      </c>
      <c r="L18" s="2"/>
      <c r="X18" s="19"/>
    </row>
    <row r="19" spans="2:24" x14ac:dyDescent="0.35">
      <c r="C19" s="1" t="s">
        <v>101</v>
      </c>
      <c r="D19" s="63">
        <v>2025</v>
      </c>
      <c r="E19" s="1" t="s">
        <v>97</v>
      </c>
      <c r="F19" s="1"/>
      <c r="I19" s="1"/>
      <c r="J19" s="48"/>
      <c r="K19" s="20" t="s">
        <v>134</v>
      </c>
      <c r="L19" s="2"/>
      <c r="X19" s="19"/>
    </row>
    <row r="20" spans="2:24" x14ac:dyDescent="0.35">
      <c r="C20" s="1" t="s">
        <v>102</v>
      </c>
      <c r="D20" s="2">
        <v>2026</v>
      </c>
      <c r="E20" s="1" t="s">
        <v>96</v>
      </c>
      <c r="F20" s="1"/>
      <c r="I20" s="1"/>
      <c r="J20" s="48"/>
      <c r="K20" s="24" t="s">
        <v>29</v>
      </c>
      <c r="L20" s="27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1"/>
    </row>
    <row r="21" spans="2:24" x14ac:dyDescent="0.35">
      <c r="E21" s="1"/>
      <c r="F21" s="1"/>
      <c r="I21" s="1"/>
      <c r="J21" s="46" t="s">
        <v>28</v>
      </c>
      <c r="K21" s="20" t="s">
        <v>130</v>
      </c>
      <c r="L21" s="2"/>
      <c r="X21" s="19"/>
    </row>
    <row r="22" spans="2:24" ht="15" thickBot="1" x14ac:dyDescent="0.4">
      <c r="C22" s="62" t="s">
        <v>115</v>
      </c>
      <c r="E22" s="1"/>
      <c r="F22" s="1"/>
      <c r="G22" s="1"/>
      <c r="I22" s="1"/>
      <c r="J22" s="21"/>
      <c r="K22" s="25" t="s">
        <v>58</v>
      </c>
      <c r="L22" s="26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9"/>
    </row>
    <row r="23" spans="2:24" x14ac:dyDescent="0.35">
      <c r="C23" s="1" t="s">
        <v>116</v>
      </c>
      <c r="D23" s="63">
        <v>2025</v>
      </c>
      <c r="E23" s="1" t="s">
        <v>103</v>
      </c>
      <c r="F23" s="1"/>
      <c r="G23" s="1"/>
      <c r="I23" s="1"/>
    </row>
    <row r="24" spans="2:24" x14ac:dyDescent="0.35">
      <c r="C24" s="1" t="s">
        <v>109</v>
      </c>
      <c r="D24" s="2">
        <v>2026</v>
      </c>
      <c r="E24" s="1" t="s">
        <v>97</v>
      </c>
      <c r="F24" s="1"/>
      <c r="G24" s="1"/>
      <c r="I24" s="1"/>
    </row>
    <row r="25" spans="2:24" x14ac:dyDescent="0.35">
      <c r="C25" s="1" t="s">
        <v>106</v>
      </c>
      <c r="D25" s="2">
        <v>2026</v>
      </c>
      <c r="E25" s="1" t="s">
        <v>107</v>
      </c>
      <c r="F25" s="1"/>
      <c r="G25" s="1"/>
      <c r="I25" s="1"/>
    </row>
    <row r="26" spans="2:24" x14ac:dyDescent="0.35">
      <c r="C26" s="1" t="s">
        <v>102</v>
      </c>
      <c r="D26" s="2">
        <v>2026</v>
      </c>
      <c r="E26" s="1" t="s">
        <v>104</v>
      </c>
      <c r="F26" s="1"/>
      <c r="G26" s="1"/>
      <c r="I26" s="1"/>
    </row>
    <row r="27" spans="2:24" x14ac:dyDescent="0.35">
      <c r="E27" s="1"/>
      <c r="F27" s="1"/>
      <c r="G27" s="1"/>
      <c r="I27" s="1"/>
    </row>
    <row r="28" spans="2:24" x14ac:dyDescent="0.35">
      <c r="C28" s="62" t="s">
        <v>105</v>
      </c>
      <c r="E28" s="1"/>
      <c r="F28" s="1"/>
      <c r="G28" s="1"/>
      <c r="I28" s="1"/>
    </row>
    <row r="29" spans="2:24" x14ac:dyDescent="0.35">
      <c r="C29" s="1" t="s">
        <v>100</v>
      </c>
      <c r="D29" s="63">
        <v>2025</v>
      </c>
      <c r="E29" s="1" t="s">
        <v>99</v>
      </c>
      <c r="F29" s="1"/>
      <c r="G29" s="1"/>
      <c r="I29" s="1"/>
    </row>
    <row r="30" spans="2:24" x14ac:dyDescent="0.35">
      <c r="C30" s="1" t="s">
        <v>113</v>
      </c>
      <c r="D30" s="63">
        <v>2025</v>
      </c>
      <c r="E30" s="1" t="s">
        <v>97</v>
      </c>
      <c r="I30" s="1"/>
    </row>
    <row r="31" spans="2:24" x14ac:dyDescent="0.35">
      <c r="C31" s="37" t="s">
        <v>111</v>
      </c>
      <c r="D31" s="36">
        <v>2026</v>
      </c>
      <c r="E31" s="37" t="s">
        <v>99</v>
      </c>
      <c r="F31" s="37"/>
      <c r="G31" s="37"/>
      <c r="I31" s="1"/>
    </row>
    <row r="32" spans="2:24" x14ac:dyDescent="0.35">
      <c r="C32" s="1" t="s">
        <v>110</v>
      </c>
      <c r="D32" s="2">
        <v>2026</v>
      </c>
      <c r="E32" s="1" t="s">
        <v>98</v>
      </c>
      <c r="F32" s="1"/>
      <c r="G32" s="1"/>
      <c r="I32" s="1"/>
    </row>
    <row r="33" spans="4:9" x14ac:dyDescent="0.35">
      <c r="F33" s="1"/>
      <c r="G33" s="1"/>
      <c r="I33" s="1"/>
    </row>
    <row r="34" spans="4:9" x14ac:dyDescent="0.35">
      <c r="F34" s="1"/>
      <c r="G34" s="1"/>
      <c r="I34" s="1"/>
    </row>
    <row r="35" spans="4:9" x14ac:dyDescent="0.35">
      <c r="E35" s="1"/>
      <c r="F35" s="1"/>
      <c r="G35" s="1"/>
      <c r="I35" s="1"/>
    </row>
    <row r="36" spans="4:9" x14ac:dyDescent="0.35">
      <c r="D36" s="1"/>
      <c r="E36" s="1"/>
      <c r="F36" s="1"/>
      <c r="G36" s="1"/>
      <c r="I36" s="1"/>
    </row>
    <row r="37" spans="4:9" x14ac:dyDescent="0.35">
      <c r="D37" s="1"/>
      <c r="E37" s="1"/>
      <c r="F37" s="1"/>
      <c r="G37" s="1"/>
      <c r="I37" s="1"/>
    </row>
  </sheetData>
  <mergeCells count="14">
    <mergeCell ref="B2:C3"/>
    <mergeCell ref="B4:B6"/>
    <mergeCell ref="B10:B15"/>
    <mergeCell ref="B7:B9"/>
    <mergeCell ref="D10:G11"/>
    <mergeCell ref="F12:G15"/>
    <mergeCell ref="D12:E15"/>
    <mergeCell ref="D6:E6"/>
    <mergeCell ref="D5:E5"/>
    <mergeCell ref="D2:E2"/>
    <mergeCell ref="F2:G2"/>
    <mergeCell ref="D7:G7"/>
    <mergeCell ref="D8:G8"/>
    <mergeCell ref="D9:G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251E-9A23-4E00-B427-42544FA8AA6F}">
  <sheetPr codeName="Sheet3"/>
  <dimension ref="B2:R36"/>
  <sheetViews>
    <sheetView zoomScale="90" zoomScaleNormal="90" workbookViewId="0"/>
  </sheetViews>
  <sheetFormatPr defaultColWidth="9.26953125" defaultRowHeight="14.5" x14ac:dyDescent="0.35"/>
  <cols>
    <col min="1" max="1" width="9.26953125" style="1"/>
    <col min="2" max="2" width="69.54296875" style="1" bestFit="1" customWidth="1"/>
    <col min="3" max="3" width="20" style="2" customWidth="1"/>
    <col min="4" max="4" width="26.7265625" style="2" bestFit="1" customWidth="1"/>
    <col min="5" max="6" width="19.7265625" style="2" customWidth="1"/>
    <col min="7" max="16384" width="9.26953125" style="1"/>
  </cols>
  <sheetData>
    <row r="2" spans="2:6" x14ac:dyDescent="0.35">
      <c r="B2" s="148" t="s">
        <v>8</v>
      </c>
      <c r="C2" s="185" t="s">
        <v>7</v>
      </c>
      <c r="D2" s="173">
        <v>46203</v>
      </c>
      <c r="E2" s="184"/>
      <c r="F2" s="174"/>
    </row>
    <row r="3" spans="2:6" x14ac:dyDescent="0.35">
      <c r="B3" s="148"/>
      <c r="C3" s="185"/>
      <c r="D3" s="7" t="s">
        <v>6</v>
      </c>
      <c r="E3" s="7" t="s">
        <v>5</v>
      </c>
      <c r="F3" s="7" t="s">
        <v>9</v>
      </c>
    </row>
    <row r="4" spans="2:6" ht="32.25" customHeight="1" x14ac:dyDescent="0.35">
      <c r="B4" s="40" t="s">
        <v>0</v>
      </c>
      <c r="C4" s="41" t="s">
        <v>73</v>
      </c>
      <c r="D4" s="43"/>
      <c r="E4" s="43"/>
      <c r="F4" s="42" t="s">
        <v>11</v>
      </c>
    </row>
    <row r="5" spans="2:6" ht="32.25" customHeight="1" x14ac:dyDescent="0.35">
      <c r="B5" s="40" t="s">
        <v>1</v>
      </c>
      <c r="C5" s="43"/>
      <c r="D5" s="43" t="s">
        <v>68</v>
      </c>
      <c r="E5" s="43" t="s">
        <v>67</v>
      </c>
      <c r="F5" s="41" t="s">
        <v>12</v>
      </c>
    </row>
    <row r="6" spans="2:6" ht="32.25" customHeight="1" x14ac:dyDescent="0.35">
      <c r="B6" s="40" t="s">
        <v>69</v>
      </c>
      <c r="C6" s="9" t="s">
        <v>15</v>
      </c>
      <c r="D6" s="42" t="s">
        <v>14</v>
      </c>
      <c r="E6" s="41" t="s">
        <v>12</v>
      </c>
      <c r="F6" s="42"/>
    </row>
    <row r="7" spans="2:6" ht="32.25" customHeight="1" x14ac:dyDescent="0.35">
      <c r="B7" s="3" t="s">
        <v>2</v>
      </c>
      <c r="C7" s="4" t="s">
        <v>13</v>
      </c>
      <c r="D7" s="6" t="s">
        <v>10</v>
      </c>
      <c r="E7" s="5"/>
      <c r="F7" s="5"/>
    </row>
    <row r="8" spans="2:6" ht="32.25" customHeight="1" x14ac:dyDescent="0.35">
      <c r="B8" s="3" t="s">
        <v>3</v>
      </c>
      <c r="C8" s="4" t="s">
        <v>13</v>
      </c>
      <c r="D8" s="6" t="s">
        <v>10</v>
      </c>
      <c r="E8" s="5"/>
      <c r="F8" s="5"/>
    </row>
    <row r="9" spans="2:6" ht="32.25" customHeight="1" x14ac:dyDescent="0.35">
      <c r="B9" s="3" t="s">
        <v>4</v>
      </c>
      <c r="C9" s="4" t="s">
        <v>13</v>
      </c>
      <c r="D9" s="6" t="s">
        <v>10</v>
      </c>
      <c r="E9" s="5"/>
      <c r="F9" s="5"/>
    </row>
    <row r="10" spans="2:6" ht="38.65" customHeight="1" x14ac:dyDescent="0.35">
      <c r="B10" s="44" t="s">
        <v>65</v>
      </c>
      <c r="C10" s="42" t="s">
        <v>13</v>
      </c>
      <c r="D10" s="42" t="s">
        <v>14</v>
      </c>
      <c r="E10" s="42" t="s">
        <v>12</v>
      </c>
      <c r="F10" s="42" t="s">
        <v>11</v>
      </c>
    </row>
    <row r="11" spans="2:6" ht="65.25" customHeight="1" x14ac:dyDescent="0.35">
      <c r="B11" s="44" t="s">
        <v>66</v>
      </c>
      <c r="C11" s="9" t="s">
        <v>15</v>
      </c>
      <c r="D11" s="43">
        <v>3</v>
      </c>
      <c r="E11" s="42" t="s">
        <v>12</v>
      </c>
      <c r="F11" s="42" t="s">
        <v>11</v>
      </c>
    </row>
    <row r="12" spans="2:6" x14ac:dyDescent="0.35">
      <c r="B12" s="39" t="s">
        <v>123</v>
      </c>
    </row>
    <row r="14" spans="2:6" x14ac:dyDescent="0.35">
      <c r="B14" s="1" t="s">
        <v>64</v>
      </c>
      <c r="C14" s="8" t="s">
        <v>70</v>
      </c>
    </row>
    <row r="15" spans="2:6" x14ac:dyDescent="0.35">
      <c r="B15" s="1" t="s">
        <v>61</v>
      </c>
      <c r="C15" s="8" t="s">
        <v>71</v>
      </c>
    </row>
    <row r="16" spans="2:6" x14ac:dyDescent="0.35">
      <c r="B16" s="10" t="s">
        <v>63</v>
      </c>
      <c r="C16" s="10" t="s">
        <v>17</v>
      </c>
    </row>
    <row r="17" spans="2:18" x14ac:dyDescent="0.35">
      <c r="B17" s="1" t="s">
        <v>62</v>
      </c>
      <c r="C17" s="8" t="s">
        <v>72</v>
      </c>
    </row>
    <row r="18" spans="2:18" ht="15" thickBot="1" x14ac:dyDescent="0.4">
      <c r="B18" s="10" t="s">
        <v>16</v>
      </c>
      <c r="C18" s="10" t="s">
        <v>17</v>
      </c>
      <c r="D18" s="11"/>
    </row>
    <row r="19" spans="2:18" x14ac:dyDescent="0.35">
      <c r="C19" s="12" t="s">
        <v>22</v>
      </c>
      <c r="D19" s="13" t="s">
        <v>19</v>
      </c>
      <c r="E19" s="14" t="s">
        <v>25</v>
      </c>
      <c r="F19" s="15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7"/>
    </row>
    <row r="20" spans="2:18" x14ac:dyDescent="0.35">
      <c r="C20" s="18"/>
      <c r="D20" s="10"/>
      <c r="E20" s="10" t="s">
        <v>27</v>
      </c>
      <c r="R20" s="19"/>
    </row>
    <row r="21" spans="2:18" x14ac:dyDescent="0.35">
      <c r="C21" s="18"/>
      <c r="D21" s="10"/>
      <c r="E21" s="24" t="s">
        <v>29</v>
      </c>
      <c r="F21" s="27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1"/>
    </row>
    <row r="22" spans="2:18" x14ac:dyDescent="0.35">
      <c r="C22" s="18"/>
      <c r="D22" s="10" t="s">
        <v>18</v>
      </c>
      <c r="E22" s="20" t="s">
        <v>20</v>
      </c>
      <c r="R22" s="19"/>
    </row>
    <row r="23" spans="2:18" x14ac:dyDescent="0.35">
      <c r="C23" s="18"/>
      <c r="D23" s="10"/>
      <c r="E23" s="20" t="s">
        <v>21</v>
      </c>
      <c r="R23" s="19"/>
    </row>
    <row r="24" spans="2:18" x14ac:dyDescent="0.35">
      <c r="C24" s="18"/>
      <c r="D24" s="10"/>
      <c r="E24" s="35" t="s">
        <v>60</v>
      </c>
      <c r="F24" s="36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8"/>
    </row>
    <row r="25" spans="2:18" x14ac:dyDescent="0.35">
      <c r="C25" s="18"/>
      <c r="D25" s="10" t="s">
        <v>28</v>
      </c>
      <c r="E25" s="20" t="s">
        <v>30</v>
      </c>
      <c r="R25" s="19"/>
    </row>
    <row r="26" spans="2:18" ht="15" thickBot="1" x14ac:dyDescent="0.4">
      <c r="C26" s="21"/>
      <c r="D26" s="22"/>
      <c r="E26" s="25" t="s">
        <v>57</v>
      </c>
      <c r="F26" s="26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9"/>
    </row>
    <row r="27" spans="2:18" x14ac:dyDescent="0.35">
      <c r="C27" s="12" t="s">
        <v>23</v>
      </c>
      <c r="D27" s="13" t="s">
        <v>19</v>
      </c>
      <c r="E27" s="14" t="s">
        <v>26</v>
      </c>
      <c r="F27" s="15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7"/>
    </row>
    <row r="28" spans="2:18" x14ac:dyDescent="0.35">
      <c r="C28" s="18"/>
      <c r="D28" s="1"/>
      <c r="E28" s="10" t="s">
        <v>132</v>
      </c>
      <c r="R28" s="19"/>
    </row>
    <row r="29" spans="2:18" x14ac:dyDescent="0.35">
      <c r="C29" s="18"/>
      <c r="D29" s="1"/>
      <c r="E29" s="10" t="s">
        <v>133</v>
      </c>
      <c r="R29" s="19"/>
    </row>
    <row r="30" spans="2:18" x14ac:dyDescent="0.35">
      <c r="C30" s="18"/>
      <c r="D30" s="1"/>
      <c r="E30" s="24" t="s">
        <v>29</v>
      </c>
      <c r="F30" s="27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1"/>
    </row>
    <row r="31" spans="2:18" x14ac:dyDescent="0.35">
      <c r="C31" s="18"/>
      <c r="D31" s="10" t="s">
        <v>18</v>
      </c>
      <c r="E31" s="20" t="s">
        <v>24</v>
      </c>
      <c r="R31" s="19"/>
    </row>
    <row r="32" spans="2:18" x14ac:dyDescent="0.35">
      <c r="C32" s="18"/>
      <c r="D32" s="10"/>
      <c r="E32" s="20" t="s">
        <v>136</v>
      </c>
      <c r="R32" s="19"/>
    </row>
    <row r="33" spans="3:18" x14ac:dyDescent="0.35">
      <c r="C33" s="18"/>
      <c r="D33" s="1"/>
      <c r="E33" s="20" t="s">
        <v>134</v>
      </c>
      <c r="R33" s="19"/>
    </row>
    <row r="34" spans="3:18" x14ac:dyDescent="0.35">
      <c r="C34" s="18"/>
      <c r="D34" s="1"/>
      <c r="E34" s="24" t="s">
        <v>29</v>
      </c>
      <c r="F34" s="27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1"/>
    </row>
    <row r="35" spans="3:18" x14ac:dyDescent="0.35">
      <c r="C35" s="18"/>
      <c r="D35" s="10" t="s">
        <v>28</v>
      </c>
      <c r="E35" s="20" t="s">
        <v>130</v>
      </c>
      <c r="R35" s="19"/>
    </row>
    <row r="36" spans="3:18" ht="15" thickBot="1" x14ac:dyDescent="0.4">
      <c r="C36" s="21"/>
      <c r="D36" s="23"/>
      <c r="E36" s="25" t="s">
        <v>58</v>
      </c>
      <c r="F36" s="26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9"/>
    </row>
  </sheetData>
  <mergeCells count="3">
    <mergeCell ref="D2:F2"/>
    <mergeCell ref="C2:C3"/>
    <mergeCell ref="B2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0813E-53AE-4159-B6D6-1146B744B584}">
  <sheetPr codeName="Sheet4"/>
  <dimension ref="A1:E10"/>
  <sheetViews>
    <sheetView workbookViewId="0"/>
  </sheetViews>
  <sheetFormatPr defaultRowHeight="14.5" x14ac:dyDescent="0.35"/>
  <cols>
    <col min="1" max="1" width="6.7265625" bestFit="1" customWidth="1"/>
    <col min="2" max="2" width="2.08984375" bestFit="1" customWidth="1"/>
    <col min="3" max="3" width="2.81640625" bestFit="1" customWidth="1"/>
    <col min="4" max="4" width="24.81640625" bestFit="1" customWidth="1"/>
  </cols>
  <sheetData>
    <row r="1" spans="1:5" x14ac:dyDescent="0.35">
      <c r="A1" t="s">
        <v>31</v>
      </c>
      <c r="B1" t="s">
        <v>51</v>
      </c>
      <c r="C1">
        <v>4</v>
      </c>
      <c r="D1" t="s">
        <v>32</v>
      </c>
    </row>
    <row r="2" spans="1:5" x14ac:dyDescent="0.35">
      <c r="A2" t="s">
        <v>33</v>
      </c>
      <c r="B2" t="s">
        <v>51</v>
      </c>
      <c r="C2">
        <v>12</v>
      </c>
      <c r="D2" t="s">
        <v>34</v>
      </c>
    </row>
    <row r="3" spans="1:5" x14ac:dyDescent="0.35">
      <c r="A3" t="s">
        <v>35</v>
      </c>
      <c r="B3" t="s">
        <v>51</v>
      </c>
      <c r="C3">
        <v>4</v>
      </c>
      <c r="D3" t="s">
        <v>36</v>
      </c>
    </row>
    <row r="4" spans="1:5" x14ac:dyDescent="0.35">
      <c r="A4" t="s">
        <v>37</v>
      </c>
      <c r="B4" t="s">
        <v>51</v>
      </c>
      <c r="C4">
        <v>3</v>
      </c>
      <c r="D4" t="s">
        <v>38</v>
      </c>
    </row>
    <row r="5" spans="1:5" x14ac:dyDescent="0.35">
      <c r="A5" t="s">
        <v>39</v>
      </c>
      <c r="B5" t="s">
        <v>51</v>
      </c>
      <c r="C5">
        <v>10</v>
      </c>
      <c r="D5" t="s">
        <v>40</v>
      </c>
    </row>
    <row r="6" spans="1:5" x14ac:dyDescent="0.35">
      <c r="A6" t="s">
        <v>41</v>
      </c>
      <c r="B6" t="s">
        <v>51</v>
      </c>
      <c r="C6">
        <v>10</v>
      </c>
      <c r="D6" t="s">
        <v>42</v>
      </c>
    </row>
    <row r="7" spans="1:5" x14ac:dyDescent="0.35">
      <c r="A7" t="s">
        <v>43</v>
      </c>
      <c r="B7" t="s">
        <v>51</v>
      </c>
      <c r="C7">
        <v>10</v>
      </c>
      <c r="D7" t="s">
        <v>44</v>
      </c>
    </row>
    <row r="8" spans="1:5" x14ac:dyDescent="0.35">
      <c r="A8" t="s">
        <v>45</v>
      </c>
      <c r="B8" t="s">
        <v>51</v>
      </c>
      <c r="C8">
        <v>31</v>
      </c>
      <c r="D8" t="s">
        <v>46</v>
      </c>
    </row>
    <row r="9" spans="1:5" x14ac:dyDescent="0.35">
      <c r="A9" s="34" t="s">
        <v>47</v>
      </c>
      <c r="B9" s="34" t="s">
        <v>51</v>
      </c>
      <c r="C9" s="34">
        <v>3</v>
      </c>
      <c r="D9" s="34" t="s">
        <v>48</v>
      </c>
      <c r="E9" s="34" t="s">
        <v>59</v>
      </c>
    </row>
    <row r="10" spans="1:5" x14ac:dyDescent="0.35">
      <c r="A10" t="s">
        <v>49</v>
      </c>
      <c r="B10" t="s">
        <v>51</v>
      </c>
      <c r="C10">
        <v>10</v>
      </c>
      <c r="D10" t="s">
        <v>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16F89-DC87-4D67-AF59-135AD0C8A97B}">
  <sheetPr codeName="Sheet5"/>
  <dimension ref="A1:I5"/>
  <sheetViews>
    <sheetView workbookViewId="0"/>
  </sheetViews>
  <sheetFormatPr defaultRowHeight="14.5" x14ac:dyDescent="0.35"/>
  <cols>
    <col min="1" max="1" width="13.1796875" bestFit="1" customWidth="1"/>
    <col min="2" max="2" width="16.6328125" bestFit="1" customWidth="1"/>
    <col min="3" max="3" width="15.08984375" bestFit="1" customWidth="1"/>
    <col min="4" max="4" width="24.08984375" bestFit="1" customWidth="1"/>
    <col min="5" max="5" width="24.1796875" bestFit="1" customWidth="1"/>
    <col min="6" max="6" width="24.81640625" bestFit="1" customWidth="1"/>
    <col min="7" max="7" width="14.6328125" bestFit="1" customWidth="1"/>
    <col min="8" max="8" width="13.1796875" bestFit="1" customWidth="1"/>
    <col min="9" max="9" width="22.7265625" bestFit="1" customWidth="1"/>
  </cols>
  <sheetData>
    <row r="1" spans="1:9" s="1" customFormat="1" ht="30.9" customHeight="1" x14ac:dyDescent="0.35">
      <c r="A1" s="32" t="s">
        <v>32</v>
      </c>
      <c r="B1" s="32" t="s">
        <v>34</v>
      </c>
      <c r="C1" s="32" t="s">
        <v>36</v>
      </c>
      <c r="D1" s="32" t="s">
        <v>38</v>
      </c>
      <c r="E1" s="32" t="s">
        <v>40</v>
      </c>
      <c r="F1" s="32" t="s">
        <v>42</v>
      </c>
      <c r="G1" s="32" t="s">
        <v>44</v>
      </c>
      <c r="H1" s="32" t="s">
        <v>46</v>
      </c>
      <c r="I1" s="32" t="s">
        <v>50</v>
      </c>
    </row>
    <row r="2" spans="1:9" x14ac:dyDescent="0.35">
      <c r="A2">
        <v>1830</v>
      </c>
      <c r="B2">
        <v>10000000000</v>
      </c>
      <c r="C2" s="33" t="s">
        <v>52</v>
      </c>
      <c r="D2">
        <v>100</v>
      </c>
      <c r="E2" t="s">
        <v>53</v>
      </c>
      <c r="F2" t="s">
        <v>53</v>
      </c>
      <c r="G2" t="s">
        <v>53</v>
      </c>
      <c r="H2">
        <v>500</v>
      </c>
      <c r="I2">
        <v>9000000004</v>
      </c>
    </row>
    <row r="3" spans="1:9" x14ac:dyDescent="0.35">
      <c r="A3">
        <v>1830</v>
      </c>
      <c r="B3">
        <v>10000000000</v>
      </c>
      <c r="C3" s="33" t="s">
        <v>52</v>
      </c>
      <c r="D3">
        <v>105</v>
      </c>
      <c r="E3" t="s">
        <v>54</v>
      </c>
      <c r="F3" t="s">
        <v>54</v>
      </c>
      <c r="G3" t="s">
        <v>54</v>
      </c>
      <c r="H3">
        <v>150</v>
      </c>
      <c r="I3">
        <v>9000000004</v>
      </c>
    </row>
    <row r="4" spans="1:9" x14ac:dyDescent="0.35">
      <c r="A4">
        <v>1830</v>
      </c>
      <c r="B4">
        <v>10000000001</v>
      </c>
      <c r="C4" s="33" t="s">
        <v>52</v>
      </c>
      <c r="D4">
        <v>100</v>
      </c>
      <c r="E4" t="s">
        <v>55</v>
      </c>
      <c r="F4" t="s">
        <v>55</v>
      </c>
      <c r="G4" t="s">
        <v>55</v>
      </c>
      <c r="H4">
        <v>700</v>
      </c>
      <c r="I4">
        <v>9000000004</v>
      </c>
    </row>
    <row r="5" spans="1:9" x14ac:dyDescent="0.35">
      <c r="A5">
        <v>1830</v>
      </c>
      <c r="B5">
        <v>10000000001</v>
      </c>
      <c r="C5" s="33" t="s">
        <v>52</v>
      </c>
      <c r="D5">
        <v>105</v>
      </c>
      <c r="E5" t="s">
        <v>56</v>
      </c>
      <c r="F5" t="s">
        <v>56</v>
      </c>
      <c r="G5" t="s">
        <v>56</v>
      </c>
      <c r="H5">
        <v>100</v>
      </c>
      <c r="I5">
        <v>9000000004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Recap</vt:lpstr>
      <vt:lpstr>Opt3 (Final)</vt:lpstr>
      <vt:lpstr>Opt3</vt:lpstr>
      <vt:lpstr>Strategy Options</vt:lpstr>
      <vt:lpstr>LSMW Table</vt:lpstr>
      <vt:lpstr>LSMW Temp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Hoang Quoc Dat Kenway</dc:creator>
  <cp:lastModifiedBy>Hoang Quoc Dat Kenway</cp:lastModifiedBy>
  <dcterms:created xsi:type="dcterms:W3CDTF">2026-04-01T05:01:32Z</dcterms:created>
  <dcterms:modified xsi:type="dcterms:W3CDTF">2026-04-14T18:18:42Z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43ec3a-92eb-434b-bfcd-dd5fcd578c71_Enabled">
    <vt:lpwstr>true</vt:lpwstr>
  </property>
  <property fmtid="{D5CDD505-2E9C-101B-9397-08002B2CF9AE}" pid="3" name="MSIP_Label_a043ec3a-92eb-434b-bfcd-dd5fcd578c71_SetDate">
    <vt:lpwstr>2026-04-01T05:06:44Z</vt:lpwstr>
  </property>
  <property fmtid="{D5CDD505-2E9C-101B-9397-08002B2CF9AE}" pid="4" name="MSIP_Label_a043ec3a-92eb-434b-bfcd-dd5fcd578c71_Method">
    <vt:lpwstr>Privileged</vt:lpwstr>
  </property>
  <property fmtid="{D5CDD505-2E9C-101B-9397-08002B2CF9AE}" pid="5" name="MSIP_Label_a043ec3a-92eb-434b-bfcd-dd5fcd578c71_Name">
    <vt:lpwstr>Group_Unrestricted</vt:lpwstr>
  </property>
  <property fmtid="{D5CDD505-2E9C-101B-9397-08002B2CF9AE}" pid="6" name="MSIP_Label_a043ec3a-92eb-434b-bfcd-dd5fcd578c71_SiteId">
    <vt:lpwstr>82fac8d8-49c2-492d-9f67-7d9e5b66144e</vt:lpwstr>
  </property>
  <property fmtid="{D5CDD505-2E9C-101B-9397-08002B2CF9AE}" pid="7" name="MSIP_Label_a043ec3a-92eb-434b-bfcd-dd5fcd578c71_ActionId">
    <vt:lpwstr>c17412d9-5485-4dde-90f0-fb551786505e</vt:lpwstr>
  </property>
  <property fmtid="{D5CDD505-2E9C-101B-9397-08002B2CF9AE}" pid="8" name="MSIP_Label_a043ec3a-92eb-434b-bfcd-dd5fcd578c71_ContentBits">
    <vt:lpwstr>0</vt:lpwstr>
  </property>
  <property fmtid="{D5CDD505-2E9C-101B-9397-08002B2CF9AE}" pid="9" name="MSIP_Label_a043ec3a-92eb-434b-bfcd-dd5fcd578c71_Tag">
    <vt:lpwstr>10, 0, 1, 1</vt:lpwstr>
  </property>
</Properties>
</file>