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0023796\Desktop\Project\Main_Link\RepoGit\Additional\Cases\"/>
    </mc:Choice>
  </mc:AlternateContent>
  <xr:revisionPtr revIDLastSave="0" documentId="13_ncr:1_{F8B3C8AC-0824-4414-A006-4080B8151574}" xr6:coauthVersionLast="47" xr6:coauthVersionMax="47" xr10:uidLastSave="{00000000-0000-0000-0000-000000000000}"/>
  <bookViews>
    <workbookView xWindow="-110" yWindow="-110" windowWidth="25820" windowHeight="13900" activeTab="1" xr2:uid="{24E9F6D3-7E87-4694-9425-2BE31F119CD2}"/>
  </bookViews>
  <sheets>
    <sheet name="Sheet1" sheetId="1" r:id="rId1"/>
    <sheet name="EXPLAIN" sheetId="4" r:id="rId2"/>
    <sheet name="EXPLAIN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4" l="1"/>
  <c r="F9" i="4"/>
  <c r="F7" i="4"/>
  <c r="D11" i="4"/>
  <c r="D17" i="4"/>
  <c r="D23" i="4"/>
  <c r="F2" i="4"/>
  <c r="F19" i="4"/>
  <c r="F20" i="4"/>
  <c r="F13" i="4"/>
  <c r="M2" i="1"/>
  <c r="M3" i="1"/>
  <c r="M4" i="1"/>
  <c r="M5" i="1"/>
  <c r="F15" i="4"/>
  <c r="F14" i="4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8" i="1"/>
  <c r="F4" i="4"/>
  <c r="F17" i="4" s="1"/>
  <c r="F11" i="4" l="1"/>
  <c r="F21" i="4"/>
  <c r="F23" i="4" s="1"/>
</calcChain>
</file>

<file path=xl/sharedStrings.xml><?xml version="1.0" encoding="utf-8"?>
<sst xmlns="http://schemas.openxmlformats.org/spreadsheetml/2006/main" count="460" uniqueCount="120">
  <si>
    <t>Short Text</t>
  </si>
  <si>
    <t>Movement Type</t>
  </si>
  <si>
    <t>Material Document</t>
  </si>
  <si>
    <t>Reference</t>
  </si>
  <si>
    <t>Posting Date</t>
  </si>
  <si>
    <t>Entry Date</t>
  </si>
  <si>
    <t>Item</t>
  </si>
  <si>
    <t>Qty in OPUn</t>
  </si>
  <si>
    <t>Order Unit</t>
  </si>
  <si>
    <t>Currency</t>
  </si>
  <si>
    <t>Amount</t>
  </si>
  <si>
    <t>Amount in LC</t>
  </si>
  <si>
    <t>GR/IR clearing value in local currency</t>
  </si>
  <si>
    <t>Local currency</t>
  </si>
  <si>
    <t>DelCostQty (OPUn)</t>
  </si>
  <si>
    <t>Order Price Unit</t>
  </si>
  <si>
    <t>Material Doc. Year</t>
  </si>
  <si>
    <t>Purch. Doc. Category</t>
  </si>
  <si>
    <t>PO History Category</t>
  </si>
  <si>
    <t>GR</t>
  </si>
  <si>
    <t>101</t>
  </si>
  <si>
    <t>1750065248</t>
  </si>
  <si>
    <t>1607005159</t>
  </si>
  <si>
    <t>1</t>
  </si>
  <si>
    <t>EA</t>
  </si>
  <si>
    <t>EUR</t>
  </si>
  <si>
    <t>SGD</t>
  </si>
  <si>
    <t>2017</t>
  </si>
  <si>
    <t>F</t>
  </si>
  <si>
    <t>E</t>
  </si>
  <si>
    <t>Tr./Ev. Goods receipt</t>
  </si>
  <si>
    <t>IR-L</t>
  </si>
  <si>
    <t>5175650029</t>
  </si>
  <si>
    <t>Q</t>
  </si>
  <si>
    <t>Tr./Ev. Invoice receipt</t>
  </si>
  <si>
    <t>DPyt</t>
  </si>
  <si>
    <t>4662400080</t>
  </si>
  <si>
    <t>1607000648-2019.</t>
  </si>
  <si>
    <t>2026</t>
  </si>
  <si>
    <t>A</t>
  </si>
  <si>
    <t>4662400077</t>
  </si>
  <si>
    <t>4662400076</t>
  </si>
  <si>
    <t>1607006626-2018.</t>
  </si>
  <si>
    <t>4662400075</t>
  </si>
  <si>
    <t>2011200005-2026A</t>
  </si>
  <si>
    <t>3962400312</t>
  </si>
  <si>
    <t>1607001538-2019</t>
  </si>
  <si>
    <t>2019</t>
  </si>
  <si>
    <t>3962400243</t>
  </si>
  <si>
    <t>1607001521-2019</t>
  </si>
  <si>
    <t>3962400233</t>
  </si>
  <si>
    <t>1607007290-2018</t>
  </si>
  <si>
    <t>3962400158</t>
  </si>
  <si>
    <t>3961017311</t>
  </si>
  <si>
    <t>3962400120</t>
  </si>
  <si>
    <t>3961010866</t>
  </si>
  <si>
    <t>3962400078</t>
  </si>
  <si>
    <t>3861035855</t>
  </si>
  <si>
    <t>3962400041</t>
  </si>
  <si>
    <t>3961002690</t>
  </si>
  <si>
    <t>3962400040</t>
  </si>
  <si>
    <t>3961002689</t>
  </si>
  <si>
    <t>3962400024</t>
  </si>
  <si>
    <t>3961001510</t>
  </si>
  <si>
    <t>3962400023</t>
  </si>
  <si>
    <t>3961001511</t>
  </si>
  <si>
    <t>3862400148</t>
  </si>
  <si>
    <t>3861036415</t>
  </si>
  <si>
    <t>2018</t>
  </si>
  <si>
    <t>3862400147</t>
  </si>
  <si>
    <t>3862300387</t>
  </si>
  <si>
    <t>EUM0105/64 CLRG</t>
  </si>
  <si>
    <t>2</t>
  </si>
  <si>
    <t>3862300321</t>
  </si>
  <si>
    <t>3862300314</t>
  </si>
  <si>
    <t>3862300313</t>
  </si>
  <si>
    <t>3862300190</t>
  </si>
  <si>
    <t>3862300029</t>
  </si>
  <si>
    <t>EUM0105/64 CLG</t>
  </si>
  <si>
    <t>3862300001</t>
  </si>
  <si>
    <t>EUM0105/64 CLR</t>
  </si>
  <si>
    <t>3762300373</t>
  </si>
  <si>
    <t>LESS ADV PYMT 5%</t>
  </si>
  <si>
    <t>3762300369</t>
  </si>
  <si>
    <t>3762300342</t>
  </si>
  <si>
    <t>3762300296</t>
  </si>
  <si>
    <t>3762300293</t>
  </si>
  <si>
    <t>3762300292</t>
  </si>
  <si>
    <t>3762300291</t>
  </si>
  <si>
    <t>3762300290</t>
  </si>
  <si>
    <t>3763004042</t>
  </si>
  <si>
    <t>Tr./Ev. Down payment</t>
  </si>
  <si>
    <t>F-54</t>
  </si>
  <si>
    <t>F-48</t>
  </si>
  <si>
    <t>Chuẩn</t>
  </si>
  <si>
    <t>Ko Chuẩn</t>
  </si>
  <si>
    <t>F110/FB05</t>
  </si>
  <si>
    <t>F-47</t>
  </si>
  <si>
    <t>Downpayment Request tham chiếu PO</t>
  </si>
  <si>
    <t>MIRO</t>
  </si>
  <si>
    <t>Downpayment</t>
  </si>
  <si>
    <t>Special GL</t>
  </si>
  <si>
    <t>A -&gt; Blank</t>
  </si>
  <si>
    <t>Vì 1 lý do nào đó, nếu các lần trước ko sử dụng chuẩn F-54 thì hệ thống ko lấy đúng exchange rate của F-48 ban đầu</t>
  </si>
  <si>
    <t>Dẫn đến lần cuối cùng hệ thống AUTO tính Local Currency là phần chênh lệch từ đầu đến giờ</t>
  </si>
  <si>
    <t>Và khi cố F-54 khoản này thì KQ cuối cùng là còn lệch DOUBLE</t>
  </si>
  <si>
    <t>Như vậy cách giải quyết là khi ta đã ko follow chuẩn F-54 thì đừng dùng F-54 cho bút toán cuối nữa, dùng tiếp F110/FB05 thì chênh lệch mới tính bth</t>
  </si>
  <si>
    <t>Đến khi clear F-44 cho Special GL thì phần chênh sẽ đưa vào chênh lệch tỷ giá</t>
  </si>
  <si>
    <t>Tỷ giá</t>
  </si>
  <si>
    <t>SGD (Local)</t>
  </si>
  <si>
    <t>Map Partial Payment giữa Special GL &amp; MIRO thủ công</t>
  </si>
  <si>
    <t>Giảm Downpayment, tăng Partial Payment tham chiếu MIRO</t>
  </si>
  <si>
    <t>Best</t>
  </si>
  <si>
    <r>
      <t xml:space="preserve">Ở F-54, dù có ép OB08/Translation date/Manual Rate thì 1 khi đã refer tới Invoice &amp; chọn Downpayment thì Rate </t>
    </r>
    <r>
      <rPr>
        <b/>
        <sz val="10"/>
        <color rgb="FFFF0000"/>
        <rFont val="Arial"/>
        <family val="2"/>
      </rPr>
      <t xml:space="preserve">LUÔN THEO DOWNPAYMENT </t>
    </r>
    <r>
      <rPr>
        <sz val="10"/>
        <color rgb="FFFF0000"/>
        <rFont val="Arial"/>
        <family val="2"/>
      </rPr>
      <t>nên ko sợ lệch</t>
    </r>
  </si>
  <si>
    <t>MF05AFA0_ANZUMB_UPDATE của F-54</t>
  </si>
  <si>
    <t>Logic của hệ thống luôn là F-54 thì clear downpayment nên hạch toán sẽ luôn là Credit Downpayment / Debit AP</t>
  </si>
  <si>
    <t>Trong đoạn code trên, nếu 1 trong 2 đk Ngoại tệ Downpayment về đúng 0 hoặc Nội tệ Downpayment về đúng 0 thì sẽ trigger tính toán phần chênh thay vì sử dụng tỷ giá thông thường =&gt; Dòng Wrong là công thức tính phần chênh</t>
  </si>
  <si>
    <t>Do đó có thể việc Nội tệ Downpayment đã âm qua nhiều giao dịch mà ko trigger dòng Wrong là vì Nội tệ Downpayment ko về đúng 0 mà có thể chuyển từ 2 0SGD -&gt; -5 SGD sau 1 lần clear F110/FB05 (Kể cả F-44) nào đó</t>
  </si>
  <si>
    <t>Đến tận khi Ngoại tệ Downpayment về 0 theo logic thanh toán thông thường thì dòng Wrong mới được trigger</t>
  </si>
  <si>
    <t>Note bên dưới 2245379 mô tả logic của F110/FB05 (Kể cả F-44) là mục đích gom open items lại để clear nên ko lưu exchange rate của Downpayment dẫn đến clear bằng tỷ giá khi chạy F110/FB05 (Kể cả F-44)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</si>
</sst>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0"/>
    <numFmt numFmtId="165" formatCode="_(* #,##0.00000_);_(* \(#,##0.00000\);_(* &quot;-&quot;??_);_(@_)"/>
  </numFmts>
  <fonts count="23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sz val="8"/>
      <name val="Arial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FFEE09"/>
        <bgColor indexed="64"/>
      </patternFill>
    </fill>
    <fill>
      <patternFill patternType="solid">
        <fgColor rgb="FFFFEE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8" fillId="0" borderId="0" applyFont="0" applyFill="0" applyBorder="0" applyAlignment="0" applyProtection="0"/>
  </cellStyleXfs>
  <cellXfs count="26">
    <xf numFmtId="0" fontId="18" fillId="0" borderId="0" xfId="0" applyFont="1"/>
    <xf numFmtId="0" fontId="0" fillId="0" borderId="0" xfId="0"/>
    <xf numFmtId="0" fontId="0" fillId="33" borderId="10" xfId="0" applyFill="1" applyBorder="1"/>
    <xf numFmtId="1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34" borderId="10" xfId="0" applyFill="1" applyBorder="1"/>
    <xf numFmtId="14" fontId="0" fillId="34" borderId="10" xfId="0" applyNumberFormat="1" applyFill="1" applyBorder="1" applyAlignment="1">
      <alignment horizontal="right"/>
    </xf>
    <xf numFmtId="3" fontId="0" fillId="34" borderId="10" xfId="0" applyNumberFormat="1" applyFill="1" applyBorder="1" applyAlignment="1">
      <alignment horizontal="right"/>
    </xf>
    <xf numFmtId="4" fontId="0" fillId="34" borderId="10" xfId="0" applyNumberFormat="1" applyFill="1" applyBorder="1" applyAlignment="1">
      <alignment horizontal="right"/>
    </xf>
    <xf numFmtId="164" fontId="0" fillId="34" borderId="10" xfId="0" applyNumberFormat="1" applyFill="1" applyBorder="1" applyAlignment="1">
      <alignment horizontal="right"/>
    </xf>
    <xf numFmtId="0" fontId="0" fillId="35" borderId="10" xfId="0" applyFill="1" applyBorder="1"/>
    <xf numFmtId="14" fontId="0" fillId="35" borderId="10" xfId="0" applyNumberFormat="1" applyFill="1" applyBorder="1" applyAlignment="1">
      <alignment horizontal="right"/>
    </xf>
    <xf numFmtId="3" fontId="0" fillId="35" borderId="10" xfId="0" applyNumberFormat="1" applyFill="1" applyBorder="1" applyAlignment="1">
      <alignment horizontal="right"/>
    </xf>
    <xf numFmtId="4" fontId="0" fillId="35" borderId="10" xfId="0" applyNumberFormat="1" applyFill="1" applyBorder="1" applyAlignment="1">
      <alignment horizontal="right"/>
    </xf>
    <xf numFmtId="164" fontId="0" fillId="35" borderId="10" xfId="0" applyNumberFormat="1" applyFill="1" applyBorder="1" applyAlignment="1">
      <alignment horizontal="right"/>
    </xf>
    <xf numFmtId="43" fontId="18" fillId="0" borderId="0" xfId="42" applyFont="1"/>
    <xf numFmtId="0" fontId="18" fillId="0" borderId="0" xfId="0" applyFont="1" applyAlignment="1">
      <alignment horizontal="center"/>
    </xf>
    <xf numFmtId="43" fontId="18" fillId="0" borderId="0" xfId="0" applyNumberFormat="1" applyFont="1"/>
    <xf numFmtId="165" fontId="0" fillId="33" borderId="10" xfId="42" applyNumberFormat="1" applyFont="1" applyFill="1" applyBorder="1"/>
    <xf numFmtId="165" fontId="0" fillId="0" borderId="0" xfId="42" applyNumberFormat="1" applyFont="1" applyAlignment="1">
      <alignment horizontal="right"/>
    </xf>
    <xf numFmtId="165" fontId="18" fillId="0" borderId="0" xfId="42" applyNumberFormat="1" applyFont="1"/>
    <xf numFmtId="43" fontId="18" fillId="36" borderId="0" xfId="42" applyFont="1" applyFill="1"/>
    <xf numFmtId="0" fontId="20" fillId="0" borderId="0" xfId="0" applyFont="1"/>
    <xf numFmtId="0" fontId="22" fillId="0" borderId="0" xfId="0" applyFont="1"/>
    <xf numFmtId="0" fontId="22" fillId="0" borderId="0" xfId="0" applyFont="1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0</xdr:rowOff>
    </xdr:from>
    <xdr:to>
      <xdr:col>15</xdr:col>
      <xdr:colOff>603251</xdr:colOff>
      <xdr:row>37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2BA7A6-E30F-F370-12A3-0BE5640C1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84150"/>
          <a:ext cx="9747250" cy="58674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0</xdr:colOff>
      <xdr:row>46</xdr:row>
      <xdr:rowOff>158749</xdr:rowOff>
    </xdr:from>
    <xdr:to>
      <xdr:col>18</xdr:col>
      <xdr:colOff>596900</xdr:colOff>
      <xdr:row>69</xdr:row>
      <xdr:rowOff>124914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40CDB0-BD81-0B42-5479-07DEB34B5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64449"/>
          <a:ext cx="11569700" cy="361741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F4C48-8FD7-4C2B-8A34-3626CC1A90FC}">
  <dimension ref="A1:T39"/>
  <sheetViews>
    <sheetView topLeftCell="A4" workbookViewId="0">
      <selection activeCell="M8" sqref="M8:M21"/>
    </sheetView>
  </sheetViews>
  <sheetFormatPr defaultColWidth="11.453125" defaultRowHeight="12.5" outlineLevelRow="2" x14ac:dyDescent="0.25"/>
  <cols>
    <col min="1" max="1" width="19.453125" bestFit="1" customWidth="1"/>
    <col min="2" max="2" width="14.1796875" bestFit="1" customWidth="1"/>
    <col min="3" max="3" width="16.7265625" bestFit="1" customWidth="1"/>
    <col min="4" max="4" width="19.54296875" bestFit="1" customWidth="1"/>
    <col min="5" max="5" width="11.7265625" bestFit="1" customWidth="1"/>
    <col min="6" max="6" width="10.1796875" bestFit="1" customWidth="1"/>
    <col min="7" max="7" width="4.54296875" bestFit="1" customWidth="1"/>
    <col min="8" max="8" width="11.54296875" bestFit="1" customWidth="1"/>
    <col min="9" max="9" width="9.453125" bestFit="1" customWidth="1"/>
    <col min="10" max="10" width="8.453125" bestFit="1" customWidth="1"/>
    <col min="11" max="11" width="10.1796875" bestFit="1" customWidth="1"/>
    <col min="12" max="12" width="12.26953125" bestFit="1" customWidth="1"/>
    <col min="13" max="13" width="20.36328125" style="21" customWidth="1"/>
    <col min="14" max="14" width="32.54296875" bestFit="1" customWidth="1"/>
    <col min="15" max="15" width="13.26953125" bestFit="1" customWidth="1"/>
    <col min="16" max="16" width="17.54296875" bestFit="1" customWidth="1"/>
    <col min="17" max="17" width="14.453125" bestFit="1" customWidth="1"/>
    <col min="18" max="18" width="16.54296875" bestFit="1" customWidth="1"/>
    <col min="19" max="19" width="19.1796875" bestFit="1" customWidth="1"/>
    <col min="20" max="20" width="18.453125" bestFit="1" customWidth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9"/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outlineLevel="2" x14ac:dyDescent="0.25">
      <c r="A2" s="1" t="s">
        <v>19</v>
      </c>
      <c r="B2" s="1" t="s">
        <v>20</v>
      </c>
      <c r="C2" s="1" t="s">
        <v>21</v>
      </c>
      <c r="D2" s="1" t="s">
        <v>22</v>
      </c>
      <c r="E2" s="3">
        <v>42985</v>
      </c>
      <c r="F2" s="3">
        <v>42985</v>
      </c>
      <c r="G2" s="1" t="s">
        <v>23</v>
      </c>
      <c r="H2" s="4">
        <v>4</v>
      </c>
      <c r="I2" s="1" t="s">
        <v>24</v>
      </c>
      <c r="J2" s="1" t="s">
        <v>25</v>
      </c>
      <c r="K2" s="5">
        <v>260000</v>
      </c>
      <c r="L2" s="5">
        <v>419562</v>
      </c>
      <c r="M2" s="20">
        <f t="shared" ref="M2:M5" si="0">L2/K2</f>
        <v>1.6136999999999999</v>
      </c>
      <c r="N2" s="5">
        <v>0</v>
      </c>
      <c r="O2" s="1" t="s">
        <v>26</v>
      </c>
      <c r="P2" s="4">
        <v>0</v>
      </c>
      <c r="Q2" s="1" t="s">
        <v>24</v>
      </c>
      <c r="R2" s="1" t="s">
        <v>27</v>
      </c>
      <c r="S2" s="1" t="s">
        <v>28</v>
      </c>
      <c r="T2" s="1" t="s">
        <v>29</v>
      </c>
    </row>
    <row r="3" spans="1:20" outlineLevel="1" x14ac:dyDescent="0.25">
      <c r="A3" s="6" t="s">
        <v>30</v>
      </c>
      <c r="B3" s="6"/>
      <c r="C3" s="6"/>
      <c r="D3" s="6"/>
      <c r="E3" s="7"/>
      <c r="F3" s="7"/>
      <c r="G3" s="6"/>
      <c r="H3" s="8">
        <v>4</v>
      </c>
      <c r="I3" s="6"/>
      <c r="J3" s="6" t="s">
        <v>25</v>
      </c>
      <c r="K3" s="9">
        <v>260000</v>
      </c>
      <c r="L3" s="9">
        <v>419562</v>
      </c>
      <c r="M3" s="20">
        <f t="shared" si="0"/>
        <v>1.6136999999999999</v>
      </c>
      <c r="N3" s="9"/>
      <c r="O3" s="6" t="s">
        <v>26</v>
      </c>
      <c r="P3" s="10"/>
      <c r="Q3" s="6" t="s">
        <v>24</v>
      </c>
      <c r="R3" s="6"/>
      <c r="S3" s="6"/>
      <c r="T3" s="6"/>
    </row>
    <row r="4" spans="1:20" outlineLevel="2" x14ac:dyDescent="0.25">
      <c r="A4" s="1" t="s">
        <v>31</v>
      </c>
      <c r="B4" s="1"/>
      <c r="C4" s="1" t="s">
        <v>32</v>
      </c>
      <c r="D4" s="1" t="s">
        <v>22</v>
      </c>
      <c r="E4" s="3">
        <v>42999</v>
      </c>
      <c r="F4" s="3">
        <v>42999</v>
      </c>
      <c r="G4" s="1" t="s">
        <v>23</v>
      </c>
      <c r="H4" s="4">
        <v>4</v>
      </c>
      <c r="I4" s="1" t="s">
        <v>24</v>
      </c>
      <c r="J4" s="1" t="s">
        <v>25</v>
      </c>
      <c r="K4" s="5">
        <v>260000</v>
      </c>
      <c r="L4" s="5">
        <v>419562</v>
      </c>
      <c r="M4" s="20">
        <f t="shared" si="0"/>
        <v>1.6136999999999999</v>
      </c>
      <c r="N4" s="5">
        <v>419562</v>
      </c>
      <c r="O4" s="1" t="s">
        <v>26</v>
      </c>
      <c r="P4" s="4">
        <v>0</v>
      </c>
      <c r="Q4" s="1" t="s">
        <v>24</v>
      </c>
      <c r="R4" s="1" t="s">
        <v>27</v>
      </c>
      <c r="S4" s="1" t="s">
        <v>28</v>
      </c>
      <c r="T4" s="1" t="s">
        <v>33</v>
      </c>
    </row>
    <row r="5" spans="1:20" outlineLevel="1" x14ac:dyDescent="0.25">
      <c r="A5" s="6" t="s">
        <v>34</v>
      </c>
      <c r="B5" s="6"/>
      <c r="C5" s="6"/>
      <c r="D5" s="6"/>
      <c r="E5" s="7"/>
      <c r="F5" s="7"/>
      <c r="G5" s="6"/>
      <c r="H5" s="8">
        <v>4</v>
      </c>
      <c r="I5" s="6"/>
      <c r="J5" s="6" t="s">
        <v>25</v>
      </c>
      <c r="K5" s="9">
        <v>260000</v>
      </c>
      <c r="L5" s="9">
        <v>419562</v>
      </c>
      <c r="M5" s="20">
        <f t="shared" si="0"/>
        <v>1.6136999999999999</v>
      </c>
      <c r="N5" s="9"/>
      <c r="O5" s="6" t="s">
        <v>26</v>
      </c>
      <c r="P5" s="10"/>
      <c r="Q5" s="6" t="s">
        <v>24</v>
      </c>
      <c r="R5" s="6"/>
      <c r="S5" s="6"/>
      <c r="T5" s="6"/>
    </row>
    <row r="6" spans="1:20" outlineLevel="2" x14ac:dyDescent="0.25">
      <c r="A6" s="1" t="s">
        <v>35</v>
      </c>
      <c r="B6" s="1"/>
      <c r="C6" s="1" t="s">
        <v>36</v>
      </c>
      <c r="D6" s="1" t="s">
        <v>37</v>
      </c>
      <c r="E6" s="3">
        <v>46093</v>
      </c>
      <c r="F6" s="3">
        <v>46094</v>
      </c>
      <c r="G6" s="1" t="s">
        <v>23</v>
      </c>
      <c r="H6" s="4">
        <v>0</v>
      </c>
      <c r="I6" s="1" t="s">
        <v>24</v>
      </c>
      <c r="J6" s="1" t="s">
        <v>25</v>
      </c>
      <c r="K6" s="5">
        <v>270</v>
      </c>
      <c r="L6" s="5">
        <v>8965.0400000000009</v>
      </c>
      <c r="M6" s="20"/>
      <c r="N6" s="5">
        <v>0</v>
      </c>
      <c r="O6" s="1" t="s">
        <v>26</v>
      </c>
      <c r="P6" s="4">
        <v>0</v>
      </c>
      <c r="Q6" s="1" t="s">
        <v>24</v>
      </c>
      <c r="R6" s="1" t="s">
        <v>38</v>
      </c>
      <c r="S6" s="1" t="s">
        <v>28</v>
      </c>
      <c r="T6" s="1" t="s">
        <v>39</v>
      </c>
    </row>
    <row r="7" spans="1:20" outlineLevel="2" x14ac:dyDescent="0.25">
      <c r="A7" s="1" t="s">
        <v>35</v>
      </c>
      <c r="B7" s="1"/>
      <c r="C7" s="1" t="s">
        <v>40</v>
      </c>
      <c r="D7" s="1" t="s">
        <v>37</v>
      </c>
      <c r="E7" s="3">
        <v>46093</v>
      </c>
      <c r="F7" s="3">
        <v>46093</v>
      </c>
      <c r="G7" s="1" t="s">
        <v>23</v>
      </c>
      <c r="H7" s="4">
        <v>0</v>
      </c>
      <c r="I7" s="1" t="s">
        <v>24</v>
      </c>
      <c r="J7" s="1" t="s">
        <v>25</v>
      </c>
      <c r="K7" s="5">
        <v>-270</v>
      </c>
      <c r="L7" s="5">
        <v>-8965.0400000000009</v>
      </c>
      <c r="M7" s="20"/>
      <c r="N7" s="5">
        <v>0</v>
      </c>
      <c r="O7" s="1" t="s">
        <v>26</v>
      </c>
      <c r="P7" s="4">
        <v>0</v>
      </c>
      <c r="Q7" s="1" t="s">
        <v>24</v>
      </c>
      <c r="R7" s="1" t="s">
        <v>38</v>
      </c>
      <c r="S7" s="1" t="s">
        <v>28</v>
      </c>
      <c r="T7" s="1" t="s">
        <v>39</v>
      </c>
    </row>
    <row r="8" spans="1:20" outlineLevel="2" x14ac:dyDescent="0.25">
      <c r="A8" s="1" t="s">
        <v>35</v>
      </c>
      <c r="B8" s="1"/>
      <c r="C8" s="1" t="s">
        <v>41</v>
      </c>
      <c r="D8" s="1" t="s">
        <v>42</v>
      </c>
      <c r="E8" s="3">
        <v>46093</v>
      </c>
      <c r="F8" s="3">
        <v>46093</v>
      </c>
      <c r="G8" s="1" t="s">
        <v>23</v>
      </c>
      <c r="H8" s="4">
        <v>0</v>
      </c>
      <c r="I8" s="1" t="s">
        <v>24</v>
      </c>
      <c r="J8" s="1" t="s">
        <v>25</v>
      </c>
      <c r="K8" s="5">
        <v>-2500</v>
      </c>
      <c r="L8" s="5">
        <v>-3870.5</v>
      </c>
      <c r="M8" s="20">
        <f>L8/K8</f>
        <v>1.5482</v>
      </c>
      <c r="N8" s="5">
        <v>0</v>
      </c>
      <c r="O8" s="1" t="s">
        <v>26</v>
      </c>
      <c r="P8" s="4">
        <v>0</v>
      </c>
      <c r="Q8" s="1" t="s">
        <v>24</v>
      </c>
      <c r="R8" s="1" t="s">
        <v>38</v>
      </c>
      <c r="S8" s="1" t="s">
        <v>28</v>
      </c>
      <c r="T8" s="1" t="s">
        <v>39</v>
      </c>
    </row>
    <row r="9" spans="1:20" outlineLevel="2" x14ac:dyDescent="0.25">
      <c r="A9" s="1" t="s">
        <v>35</v>
      </c>
      <c r="B9" s="1"/>
      <c r="C9" s="1" t="s">
        <v>43</v>
      </c>
      <c r="D9" s="1" t="s">
        <v>44</v>
      </c>
      <c r="E9" s="3">
        <v>46093</v>
      </c>
      <c r="F9" s="3">
        <v>46093</v>
      </c>
      <c r="G9" s="1" t="s">
        <v>23</v>
      </c>
      <c r="H9" s="4">
        <v>0</v>
      </c>
      <c r="I9" s="1" t="s">
        <v>24</v>
      </c>
      <c r="J9" s="1" t="s">
        <v>25</v>
      </c>
      <c r="K9" s="5">
        <v>-12997.5</v>
      </c>
      <c r="L9" s="5">
        <v>-20122.73</v>
      </c>
      <c r="M9" s="20">
        <f t="shared" ref="M9:M39" si="1">L9/K9</f>
        <v>1.5482000384689363</v>
      </c>
      <c r="N9" s="5">
        <v>0</v>
      </c>
      <c r="O9" s="1" t="s">
        <v>26</v>
      </c>
      <c r="P9" s="4">
        <v>0</v>
      </c>
      <c r="Q9" s="1" t="s">
        <v>24</v>
      </c>
      <c r="R9" s="1" t="s">
        <v>38</v>
      </c>
      <c r="S9" s="1" t="s">
        <v>28</v>
      </c>
      <c r="T9" s="1" t="s">
        <v>39</v>
      </c>
    </row>
    <row r="10" spans="1:20" outlineLevel="2" x14ac:dyDescent="0.25">
      <c r="A10" s="1" t="s">
        <v>35</v>
      </c>
      <c r="B10" s="1"/>
      <c r="C10" s="1" t="s">
        <v>45</v>
      </c>
      <c r="D10" s="1" t="s">
        <v>46</v>
      </c>
      <c r="E10" s="3">
        <v>43752</v>
      </c>
      <c r="F10" s="3">
        <v>43752</v>
      </c>
      <c r="G10" s="1" t="s">
        <v>23</v>
      </c>
      <c r="H10" s="4">
        <v>0</v>
      </c>
      <c r="I10" s="1" t="s">
        <v>24</v>
      </c>
      <c r="J10" s="1" t="s">
        <v>25</v>
      </c>
      <c r="K10" s="5">
        <v>-1102.5</v>
      </c>
      <c r="L10" s="5">
        <v>-1706.89</v>
      </c>
      <c r="M10" s="20">
        <f t="shared" si="1"/>
        <v>1.5481995464852609</v>
      </c>
      <c r="N10" s="5">
        <v>0</v>
      </c>
      <c r="O10" s="1" t="s">
        <v>26</v>
      </c>
      <c r="P10" s="4">
        <v>0</v>
      </c>
      <c r="Q10" s="1" t="s">
        <v>24</v>
      </c>
      <c r="R10" s="1" t="s">
        <v>47</v>
      </c>
      <c r="S10" s="1" t="s">
        <v>28</v>
      </c>
      <c r="T10" s="1" t="s">
        <v>39</v>
      </c>
    </row>
    <row r="11" spans="1:20" outlineLevel="2" x14ac:dyDescent="0.25">
      <c r="A11" s="1" t="s">
        <v>35</v>
      </c>
      <c r="B11" s="1"/>
      <c r="C11" s="1" t="s">
        <v>48</v>
      </c>
      <c r="D11" s="1" t="s">
        <v>49</v>
      </c>
      <c r="E11" s="3">
        <v>43682</v>
      </c>
      <c r="F11" s="3">
        <v>43682</v>
      </c>
      <c r="G11" s="1" t="s">
        <v>23</v>
      </c>
      <c r="H11" s="4">
        <v>0</v>
      </c>
      <c r="I11" s="1" t="s">
        <v>24</v>
      </c>
      <c r="J11" s="1" t="s">
        <v>25</v>
      </c>
      <c r="K11" s="5">
        <v>-100</v>
      </c>
      <c r="L11" s="5">
        <v>-154.82</v>
      </c>
      <c r="M11" s="20">
        <f t="shared" si="1"/>
        <v>1.5482</v>
      </c>
      <c r="N11" s="5">
        <v>0</v>
      </c>
      <c r="O11" s="1" t="s">
        <v>26</v>
      </c>
      <c r="P11" s="4">
        <v>0</v>
      </c>
      <c r="Q11" s="1" t="s">
        <v>24</v>
      </c>
      <c r="R11" s="1" t="s">
        <v>47</v>
      </c>
      <c r="S11" s="1" t="s">
        <v>28</v>
      </c>
      <c r="T11" s="1" t="s">
        <v>39</v>
      </c>
    </row>
    <row r="12" spans="1:20" outlineLevel="2" x14ac:dyDescent="0.25">
      <c r="A12" s="1" t="s">
        <v>35</v>
      </c>
      <c r="B12" s="1"/>
      <c r="C12" s="1" t="s">
        <v>50</v>
      </c>
      <c r="D12" s="1" t="s">
        <v>51</v>
      </c>
      <c r="E12" s="3">
        <v>43670</v>
      </c>
      <c r="F12" s="3">
        <v>43670</v>
      </c>
      <c r="G12" s="1" t="s">
        <v>23</v>
      </c>
      <c r="H12" s="4">
        <v>0</v>
      </c>
      <c r="I12" s="1" t="s">
        <v>24</v>
      </c>
      <c r="J12" s="1" t="s">
        <v>25</v>
      </c>
      <c r="K12" s="5">
        <v>-6927.65</v>
      </c>
      <c r="L12" s="5">
        <v>-10725.39</v>
      </c>
      <c r="M12" s="20">
        <f t="shared" si="1"/>
        <v>1.548200327672443</v>
      </c>
      <c r="N12" s="5">
        <v>0</v>
      </c>
      <c r="O12" s="1" t="s">
        <v>26</v>
      </c>
      <c r="P12" s="4">
        <v>0</v>
      </c>
      <c r="Q12" s="1" t="s">
        <v>24</v>
      </c>
      <c r="R12" s="1" t="s">
        <v>47</v>
      </c>
      <c r="S12" s="1" t="s">
        <v>28</v>
      </c>
      <c r="T12" s="1" t="s">
        <v>39</v>
      </c>
    </row>
    <row r="13" spans="1:20" outlineLevel="2" x14ac:dyDescent="0.25">
      <c r="A13" s="1" t="s">
        <v>35</v>
      </c>
      <c r="B13" s="1"/>
      <c r="C13" s="1" t="s">
        <v>52</v>
      </c>
      <c r="D13" s="1" t="s">
        <v>53</v>
      </c>
      <c r="E13" s="3">
        <v>43602</v>
      </c>
      <c r="F13" s="3">
        <v>43602</v>
      </c>
      <c r="G13" s="1" t="s">
        <v>23</v>
      </c>
      <c r="H13" s="4">
        <v>0</v>
      </c>
      <c r="I13" s="1" t="s">
        <v>24</v>
      </c>
      <c r="J13" s="1" t="s">
        <v>25</v>
      </c>
      <c r="K13" s="5">
        <v>-9698.7000000000007</v>
      </c>
      <c r="L13" s="5">
        <v>-15015.53</v>
      </c>
      <c r="M13" s="20">
        <f t="shared" si="1"/>
        <v>1.548200274263561</v>
      </c>
      <c r="N13" s="5">
        <v>0</v>
      </c>
      <c r="O13" s="1" t="s">
        <v>26</v>
      </c>
      <c r="P13" s="4">
        <v>0</v>
      </c>
      <c r="Q13" s="1" t="s">
        <v>24</v>
      </c>
      <c r="R13" s="1" t="s">
        <v>47</v>
      </c>
      <c r="S13" s="1" t="s">
        <v>28</v>
      </c>
      <c r="T13" s="1" t="s">
        <v>39</v>
      </c>
    </row>
    <row r="14" spans="1:20" outlineLevel="2" x14ac:dyDescent="0.25">
      <c r="A14" s="1" t="s">
        <v>35</v>
      </c>
      <c r="B14" s="1"/>
      <c r="C14" s="1" t="s">
        <v>54</v>
      </c>
      <c r="D14" s="1" t="s">
        <v>55</v>
      </c>
      <c r="E14" s="3">
        <v>43564</v>
      </c>
      <c r="F14" s="3">
        <v>43564</v>
      </c>
      <c r="G14" s="1" t="s">
        <v>23</v>
      </c>
      <c r="H14" s="4">
        <v>0</v>
      </c>
      <c r="I14" s="1" t="s">
        <v>24</v>
      </c>
      <c r="J14" s="1" t="s">
        <v>25</v>
      </c>
      <c r="K14" s="5">
        <v>-3000</v>
      </c>
      <c r="L14" s="5">
        <v>-4644.6000000000004</v>
      </c>
      <c r="M14" s="20">
        <f t="shared" si="1"/>
        <v>1.5482</v>
      </c>
      <c r="N14" s="5">
        <v>0</v>
      </c>
      <c r="O14" s="1" t="s">
        <v>26</v>
      </c>
      <c r="P14" s="4">
        <v>0</v>
      </c>
      <c r="Q14" s="1" t="s">
        <v>24</v>
      </c>
      <c r="R14" s="1" t="s">
        <v>47</v>
      </c>
      <c r="S14" s="1" t="s">
        <v>28</v>
      </c>
      <c r="T14" s="1" t="s">
        <v>39</v>
      </c>
    </row>
    <row r="15" spans="1:20" outlineLevel="2" x14ac:dyDescent="0.25">
      <c r="A15" s="1" t="s">
        <v>35</v>
      </c>
      <c r="B15" s="1"/>
      <c r="C15" s="1" t="s">
        <v>56</v>
      </c>
      <c r="D15" s="1" t="s">
        <v>57</v>
      </c>
      <c r="E15" s="3">
        <v>43531</v>
      </c>
      <c r="F15" s="3">
        <v>43531</v>
      </c>
      <c r="G15" s="1" t="s">
        <v>23</v>
      </c>
      <c r="H15" s="4">
        <v>0</v>
      </c>
      <c r="I15" s="1" t="s">
        <v>24</v>
      </c>
      <c r="J15" s="1" t="s">
        <v>25</v>
      </c>
      <c r="K15" s="5">
        <v>3000</v>
      </c>
      <c r="L15" s="5">
        <v>4644.6000000000004</v>
      </c>
      <c r="M15" s="20">
        <f t="shared" si="1"/>
        <v>1.5482</v>
      </c>
      <c r="N15" s="5">
        <v>0</v>
      </c>
      <c r="O15" s="1" t="s">
        <v>26</v>
      </c>
      <c r="P15" s="4">
        <v>0</v>
      </c>
      <c r="Q15" s="1" t="s">
        <v>24</v>
      </c>
      <c r="R15" s="1" t="s">
        <v>47</v>
      </c>
      <c r="S15" s="1" t="s">
        <v>28</v>
      </c>
      <c r="T15" s="1" t="s">
        <v>39</v>
      </c>
    </row>
    <row r="16" spans="1:20" outlineLevel="2" x14ac:dyDescent="0.25">
      <c r="A16" s="1" t="s">
        <v>35</v>
      </c>
      <c r="B16" s="1"/>
      <c r="C16" s="1" t="s">
        <v>58</v>
      </c>
      <c r="D16" s="1" t="s">
        <v>59</v>
      </c>
      <c r="E16" s="3">
        <v>43497</v>
      </c>
      <c r="F16" s="3">
        <v>43495</v>
      </c>
      <c r="G16" s="1" t="s">
        <v>23</v>
      </c>
      <c r="H16" s="4">
        <v>0</v>
      </c>
      <c r="I16" s="1" t="s">
        <v>24</v>
      </c>
      <c r="J16" s="1" t="s">
        <v>25</v>
      </c>
      <c r="K16" s="5">
        <v>-2000</v>
      </c>
      <c r="L16" s="5">
        <v>-3096.4</v>
      </c>
      <c r="M16" s="20">
        <f t="shared" si="1"/>
        <v>1.5482</v>
      </c>
      <c r="N16" s="5">
        <v>0</v>
      </c>
      <c r="O16" s="1" t="s">
        <v>26</v>
      </c>
      <c r="P16" s="4">
        <v>0</v>
      </c>
      <c r="Q16" s="1" t="s">
        <v>24</v>
      </c>
      <c r="R16" s="1" t="s">
        <v>47</v>
      </c>
      <c r="S16" s="1" t="s">
        <v>28</v>
      </c>
      <c r="T16" s="1" t="s">
        <v>39</v>
      </c>
    </row>
    <row r="17" spans="1:20" outlineLevel="2" x14ac:dyDescent="0.25">
      <c r="A17" s="1" t="s">
        <v>35</v>
      </c>
      <c r="B17" s="1"/>
      <c r="C17" s="1" t="s">
        <v>60</v>
      </c>
      <c r="D17" s="1" t="s">
        <v>61</v>
      </c>
      <c r="E17" s="3">
        <v>43497</v>
      </c>
      <c r="F17" s="3">
        <v>43495</v>
      </c>
      <c r="G17" s="1" t="s">
        <v>23</v>
      </c>
      <c r="H17" s="4">
        <v>0</v>
      </c>
      <c r="I17" s="1" t="s">
        <v>24</v>
      </c>
      <c r="J17" s="1" t="s">
        <v>25</v>
      </c>
      <c r="K17" s="5">
        <v>-3550</v>
      </c>
      <c r="L17" s="5">
        <v>-5496.11</v>
      </c>
      <c r="M17" s="20">
        <f t="shared" si="1"/>
        <v>1.5481999999999998</v>
      </c>
      <c r="N17" s="5">
        <v>0</v>
      </c>
      <c r="O17" s="1" t="s">
        <v>26</v>
      </c>
      <c r="P17" s="4">
        <v>0</v>
      </c>
      <c r="Q17" s="1" t="s">
        <v>24</v>
      </c>
      <c r="R17" s="1" t="s">
        <v>47</v>
      </c>
      <c r="S17" s="1" t="s">
        <v>28</v>
      </c>
      <c r="T17" s="1" t="s">
        <v>39</v>
      </c>
    </row>
    <row r="18" spans="1:20" outlineLevel="2" x14ac:dyDescent="0.25">
      <c r="A18" s="1" t="s">
        <v>35</v>
      </c>
      <c r="B18" s="1"/>
      <c r="C18" s="1" t="s">
        <v>62</v>
      </c>
      <c r="D18" s="1" t="s">
        <v>63</v>
      </c>
      <c r="E18" s="3">
        <v>43484</v>
      </c>
      <c r="F18" s="3">
        <v>43484</v>
      </c>
      <c r="G18" s="1" t="s">
        <v>23</v>
      </c>
      <c r="H18" s="4">
        <v>0</v>
      </c>
      <c r="I18" s="1" t="s">
        <v>24</v>
      </c>
      <c r="J18" s="1" t="s">
        <v>25</v>
      </c>
      <c r="K18" s="5">
        <v>-11250</v>
      </c>
      <c r="L18" s="5">
        <v>-17417.25</v>
      </c>
      <c r="M18" s="20">
        <f t="shared" si="1"/>
        <v>1.5482</v>
      </c>
      <c r="N18" s="5">
        <v>0</v>
      </c>
      <c r="O18" s="1" t="s">
        <v>26</v>
      </c>
      <c r="P18" s="4">
        <v>0</v>
      </c>
      <c r="Q18" s="1" t="s">
        <v>24</v>
      </c>
      <c r="R18" s="1" t="s">
        <v>47</v>
      </c>
      <c r="S18" s="1" t="s">
        <v>28</v>
      </c>
      <c r="T18" s="1" t="s">
        <v>39</v>
      </c>
    </row>
    <row r="19" spans="1:20" outlineLevel="2" x14ac:dyDescent="0.25">
      <c r="A19" s="1" t="s">
        <v>35</v>
      </c>
      <c r="B19" s="1"/>
      <c r="C19" s="1" t="s">
        <v>64</v>
      </c>
      <c r="D19" s="1" t="s">
        <v>65</v>
      </c>
      <c r="E19" s="3">
        <v>43483</v>
      </c>
      <c r="F19" s="3">
        <v>43483</v>
      </c>
      <c r="G19" s="1" t="s">
        <v>23</v>
      </c>
      <c r="H19" s="4">
        <v>0</v>
      </c>
      <c r="I19" s="1" t="s">
        <v>24</v>
      </c>
      <c r="J19" s="1" t="s">
        <v>25</v>
      </c>
      <c r="K19" s="5">
        <v>-1800</v>
      </c>
      <c r="L19" s="5">
        <v>-2786.76</v>
      </c>
      <c r="M19" s="20">
        <f t="shared" si="1"/>
        <v>1.5482</v>
      </c>
      <c r="N19" s="5">
        <v>0</v>
      </c>
      <c r="O19" s="1" t="s">
        <v>26</v>
      </c>
      <c r="P19" s="4">
        <v>0</v>
      </c>
      <c r="Q19" s="1" t="s">
        <v>24</v>
      </c>
      <c r="R19" s="1" t="s">
        <v>47</v>
      </c>
      <c r="S19" s="1" t="s">
        <v>28</v>
      </c>
      <c r="T19" s="1" t="s">
        <v>39</v>
      </c>
    </row>
    <row r="20" spans="1:20" outlineLevel="2" x14ac:dyDescent="0.25">
      <c r="A20" s="1" t="s">
        <v>35</v>
      </c>
      <c r="B20" s="1"/>
      <c r="C20" s="1" t="s">
        <v>66</v>
      </c>
      <c r="D20" s="1" t="s">
        <v>67</v>
      </c>
      <c r="E20" s="3">
        <v>43430</v>
      </c>
      <c r="F20" s="3">
        <v>43430</v>
      </c>
      <c r="G20" s="1" t="s">
        <v>23</v>
      </c>
      <c r="H20" s="4">
        <v>0</v>
      </c>
      <c r="I20" s="1" t="s">
        <v>24</v>
      </c>
      <c r="J20" s="1" t="s">
        <v>25</v>
      </c>
      <c r="K20" s="5">
        <v>-27500</v>
      </c>
      <c r="L20" s="5">
        <v>-42575.5</v>
      </c>
      <c r="M20" s="20">
        <f t="shared" si="1"/>
        <v>1.5482</v>
      </c>
      <c r="N20" s="5">
        <v>0</v>
      </c>
      <c r="O20" s="1" t="s">
        <v>26</v>
      </c>
      <c r="P20" s="4">
        <v>0</v>
      </c>
      <c r="Q20" s="1" t="s">
        <v>24</v>
      </c>
      <c r="R20" s="1" t="s">
        <v>68</v>
      </c>
      <c r="S20" s="1" t="s">
        <v>28</v>
      </c>
      <c r="T20" s="1" t="s">
        <v>39</v>
      </c>
    </row>
    <row r="21" spans="1:20" outlineLevel="2" x14ac:dyDescent="0.25">
      <c r="A21" s="1" t="s">
        <v>35</v>
      </c>
      <c r="B21" s="1"/>
      <c r="C21" s="1" t="s">
        <v>69</v>
      </c>
      <c r="D21" s="1" t="s">
        <v>57</v>
      </c>
      <c r="E21" s="3">
        <v>43430</v>
      </c>
      <c r="F21" s="3">
        <v>43430</v>
      </c>
      <c r="G21" s="1" t="s">
        <v>23</v>
      </c>
      <c r="H21" s="4">
        <v>0</v>
      </c>
      <c r="I21" s="1" t="s">
        <v>24</v>
      </c>
      <c r="J21" s="1" t="s">
        <v>25</v>
      </c>
      <c r="K21" s="5">
        <v>-3000</v>
      </c>
      <c r="L21" s="5">
        <v>-4644.6000000000004</v>
      </c>
      <c r="M21" s="20">
        <f t="shared" si="1"/>
        <v>1.5482</v>
      </c>
      <c r="N21" s="5">
        <v>0</v>
      </c>
      <c r="O21" s="1" t="s">
        <v>26</v>
      </c>
      <c r="P21" s="4">
        <v>0</v>
      </c>
      <c r="Q21" s="1" t="s">
        <v>24</v>
      </c>
      <c r="R21" s="1" t="s">
        <v>68</v>
      </c>
      <c r="S21" s="1" t="s">
        <v>28</v>
      </c>
      <c r="T21" s="1" t="s">
        <v>39</v>
      </c>
    </row>
    <row r="22" spans="1:20" outlineLevel="2" x14ac:dyDescent="0.25">
      <c r="A22" s="1" t="s">
        <v>35</v>
      </c>
      <c r="B22" s="1"/>
      <c r="C22" s="1" t="s">
        <v>70</v>
      </c>
      <c r="D22" s="1" t="s">
        <v>71</v>
      </c>
      <c r="E22" s="3">
        <v>43369</v>
      </c>
      <c r="F22" s="3">
        <v>43369</v>
      </c>
      <c r="G22" s="1" t="s">
        <v>72</v>
      </c>
      <c r="H22" s="4">
        <v>0</v>
      </c>
      <c r="I22" s="1" t="s">
        <v>24</v>
      </c>
      <c r="J22" s="1" t="s">
        <v>25</v>
      </c>
      <c r="K22" s="5">
        <v>-2625</v>
      </c>
      <c r="L22" s="5">
        <v>-4190.55</v>
      </c>
      <c r="M22" s="20">
        <f t="shared" si="1"/>
        <v>1.5964</v>
      </c>
      <c r="N22" s="5">
        <v>0</v>
      </c>
      <c r="O22" s="1" t="s">
        <v>26</v>
      </c>
      <c r="P22" s="4">
        <v>0</v>
      </c>
      <c r="Q22" s="1" t="s">
        <v>24</v>
      </c>
      <c r="R22" s="1" t="s">
        <v>68</v>
      </c>
      <c r="S22" s="1" t="s">
        <v>28</v>
      </c>
      <c r="T22" s="1" t="s">
        <v>39</v>
      </c>
    </row>
    <row r="23" spans="1:20" outlineLevel="2" x14ac:dyDescent="0.25">
      <c r="A23" s="1" t="s">
        <v>35</v>
      </c>
      <c r="B23" s="1"/>
      <c r="C23" s="1" t="s">
        <v>73</v>
      </c>
      <c r="D23" s="1" t="s">
        <v>71</v>
      </c>
      <c r="E23" s="3">
        <v>43341</v>
      </c>
      <c r="F23" s="3">
        <v>43341</v>
      </c>
      <c r="G23" s="1" t="s">
        <v>72</v>
      </c>
      <c r="H23" s="4">
        <v>0</v>
      </c>
      <c r="I23" s="1" t="s">
        <v>24</v>
      </c>
      <c r="J23" s="1" t="s">
        <v>25</v>
      </c>
      <c r="K23" s="5">
        <v>-2250</v>
      </c>
      <c r="L23" s="5">
        <v>-3591.23</v>
      </c>
      <c r="M23" s="20">
        <f t="shared" si="1"/>
        <v>1.5961022222222223</v>
      </c>
      <c r="N23" s="5">
        <v>0</v>
      </c>
      <c r="O23" s="1" t="s">
        <v>26</v>
      </c>
      <c r="P23" s="4">
        <v>0</v>
      </c>
      <c r="Q23" s="1" t="s">
        <v>24</v>
      </c>
      <c r="R23" s="1" t="s">
        <v>68</v>
      </c>
      <c r="S23" s="1" t="s">
        <v>28</v>
      </c>
      <c r="T23" s="1" t="s">
        <v>39</v>
      </c>
    </row>
    <row r="24" spans="1:20" outlineLevel="2" x14ac:dyDescent="0.25">
      <c r="A24" s="1" t="s">
        <v>35</v>
      </c>
      <c r="B24" s="1"/>
      <c r="C24" s="1" t="s">
        <v>74</v>
      </c>
      <c r="D24" s="1" t="s">
        <v>71</v>
      </c>
      <c r="E24" s="3">
        <v>43335</v>
      </c>
      <c r="F24" s="3">
        <v>43335</v>
      </c>
      <c r="G24" s="1" t="s">
        <v>72</v>
      </c>
      <c r="H24" s="4">
        <v>0</v>
      </c>
      <c r="I24" s="1" t="s">
        <v>24</v>
      </c>
      <c r="J24" s="1" t="s">
        <v>25</v>
      </c>
      <c r="K24" s="5">
        <v>-480</v>
      </c>
      <c r="L24" s="5">
        <v>-766.13</v>
      </c>
      <c r="M24" s="20">
        <f t="shared" si="1"/>
        <v>1.5961041666666667</v>
      </c>
      <c r="N24" s="5">
        <v>0</v>
      </c>
      <c r="O24" s="1" t="s">
        <v>26</v>
      </c>
      <c r="P24" s="4">
        <v>0</v>
      </c>
      <c r="Q24" s="1" t="s">
        <v>24</v>
      </c>
      <c r="R24" s="1" t="s">
        <v>68</v>
      </c>
      <c r="S24" s="1" t="s">
        <v>28</v>
      </c>
      <c r="T24" s="1" t="s">
        <v>39</v>
      </c>
    </row>
    <row r="25" spans="1:20" outlineLevel="2" x14ac:dyDescent="0.25">
      <c r="A25" s="1" t="s">
        <v>35</v>
      </c>
      <c r="B25" s="1"/>
      <c r="C25" s="1" t="s">
        <v>75</v>
      </c>
      <c r="D25" s="1" t="s">
        <v>71</v>
      </c>
      <c r="E25" s="3">
        <v>43335</v>
      </c>
      <c r="F25" s="3">
        <v>43335</v>
      </c>
      <c r="G25" s="1" t="s">
        <v>72</v>
      </c>
      <c r="H25" s="4">
        <v>0</v>
      </c>
      <c r="I25" s="1" t="s">
        <v>24</v>
      </c>
      <c r="J25" s="1" t="s">
        <v>25</v>
      </c>
      <c r="K25" s="5">
        <v>-400</v>
      </c>
      <c r="L25" s="5">
        <v>-638.44000000000005</v>
      </c>
      <c r="M25" s="20">
        <f t="shared" si="1"/>
        <v>1.5961000000000001</v>
      </c>
      <c r="N25" s="5">
        <v>0</v>
      </c>
      <c r="O25" s="1" t="s">
        <v>26</v>
      </c>
      <c r="P25" s="4">
        <v>0</v>
      </c>
      <c r="Q25" s="1" t="s">
        <v>24</v>
      </c>
      <c r="R25" s="1" t="s">
        <v>68</v>
      </c>
      <c r="S25" s="1" t="s">
        <v>28</v>
      </c>
      <c r="T25" s="1" t="s">
        <v>39</v>
      </c>
    </row>
    <row r="26" spans="1:20" outlineLevel="2" x14ac:dyDescent="0.25">
      <c r="A26" s="1" t="s">
        <v>35</v>
      </c>
      <c r="B26" s="1"/>
      <c r="C26" s="1" t="s">
        <v>76</v>
      </c>
      <c r="D26" s="1" t="s">
        <v>71</v>
      </c>
      <c r="E26" s="3">
        <v>43279</v>
      </c>
      <c r="F26" s="3">
        <v>43279</v>
      </c>
      <c r="G26" s="1" t="s">
        <v>72</v>
      </c>
      <c r="H26" s="4">
        <v>0</v>
      </c>
      <c r="I26" s="1" t="s">
        <v>24</v>
      </c>
      <c r="J26" s="1" t="s">
        <v>25</v>
      </c>
      <c r="K26" s="5">
        <v>-4375</v>
      </c>
      <c r="L26" s="5">
        <v>-6831.56</v>
      </c>
      <c r="M26" s="20">
        <f t="shared" si="1"/>
        <v>1.5614994285714288</v>
      </c>
      <c r="N26" s="5">
        <v>0</v>
      </c>
      <c r="O26" s="1" t="s">
        <v>26</v>
      </c>
      <c r="P26" s="4">
        <v>0</v>
      </c>
      <c r="Q26" s="1" t="s">
        <v>24</v>
      </c>
      <c r="R26" s="1" t="s">
        <v>68</v>
      </c>
      <c r="S26" s="1" t="s">
        <v>28</v>
      </c>
      <c r="T26" s="1" t="s">
        <v>39</v>
      </c>
    </row>
    <row r="27" spans="1:20" outlineLevel="2" x14ac:dyDescent="0.25">
      <c r="A27" s="1" t="s">
        <v>35</v>
      </c>
      <c r="B27" s="1"/>
      <c r="C27" s="1" t="s">
        <v>77</v>
      </c>
      <c r="D27" s="1" t="s">
        <v>78</v>
      </c>
      <c r="E27" s="3">
        <v>43136</v>
      </c>
      <c r="F27" s="3">
        <v>43136</v>
      </c>
      <c r="G27" s="1" t="s">
        <v>72</v>
      </c>
      <c r="H27" s="4">
        <v>0</v>
      </c>
      <c r="I27" s="1" t="s">
        <v>24</v>
      </c>
      <c r="J27" s="1" t="s">
        <v>25</v>
      </c>
      <c r="K27" s="5">
        <v>-2632.5</v>
      </c>
      <c r="L27" s="5">
        <v>-4286.76</v>
      </c>
      <c r="M27" s="20">
        <f t="shared" si="1"/>
        <v>1.6283988603988604</v>
      </c>
      <c r="N27" s="5">
        <v>0</v>
      </c>
      <c r="O27" s="1" t="s">
        <v>26</v>
      </c>
      <c r="P27" s="4">
        <v>0</v>
      </c>
      <c r="Q27" s="1" t="s">
        <v>24</v>
      </c>
      <c r="R27" s="1" t="s">
        <v>68</v>
      </c>
      <c r="S27" s="1" t="s">
        <v>28</v>
      </c>
      <c r="T27" s="1" t="s">
        <v>39</v>
      </c>
    </row>
    <row r="28" spans="1:20" outlineLevel="2" x14ac:dyDescent="0.25">
      <c r="A28" s="1" t="s">
        <v>35</v>
      </c>
      <c r="B28" s="1"/>
      <c r="C28" s="1" t="s">
        <v>79</v>
      </c>
      <c r="D28" s="1" t="s">
        <v>80</v>
      </c>
      <c r="E28" s="3">
        <v>43105</v>
      </c>
      <c r="F28" s="3">
        <v>43105</v>
      </c>
      <c r="G28" s="1" t="s">
        <v>72</v>
      </c>
      <c r="H28" s="4">
        <v>0</v>
      </c>
      <c r="I28" s="1" t="s">
        <v>24</v>
      </c>
      <c r="J28" s="1" t="s">
        <v>25</v>
      </c>
      <c r="K28" s="5">
        <v>-80</v>
      </c>
      <c r="L28" s="5">
        <v>-127.69</v>
      </c>
      <c r="M28" s="20">
        <f t="shared" si="1"/>
        <v>1.596125</v>
      </c>
      <c r="N28" s="5">
        <v>0</v>
      </c>
      <c r="O28" s="1" t="s">
        <v>26</v>
      </c>
      <c r="P28" s="4">
        <v>0</v>
      </c>
      <c r="Q28" s="1" t="s">
        <v>24</v>
      </c>
      <c r="R28" s="1" t="s">
        <v>68</v>
      </c>
      <c r="S28" s="1" t="s">
        <v>28</v>
      </c>
      <c r="T28" s="1" t="s">
        <v>39</v>
      </c>
    </row>
    <row r="29" spans="1:20" outlineLevel="2" x14ac:dyDescent="0.25">
      <c r="A29" s="1" t="s">
        <v>35</v>
      </c>
      <c r="B29" s="1"/>
      <c r="C29" s="1" t="s">
        <v>81</v>
      </c>
      <c r="D29" s="1" t="s">
        <v>82</v>
      </c>
      <c r="E29" s="3">
        <v>43081</v>
      </c>
      <c r="F29" s="3">
        <v>43081</v>
      </c>
      <c r="G29" s="1" t="s">
        <v>72</v>
      </c>
      <c r="H29" s="4">
        <v>0</v>
      </c>
      <c r="I29" s="1" t="s">
        <v>24</v>
      </c>
      <c r="J29" s="1" t="s">
        <v>25</v>
      </c>
      <c r="K29" s="5">
        <v>-50000</v>
      </c>
      <c r="L29" s="5">
        <v>-79925</v>
      </c>
      <c r="M29" s="20">
        <f t="shared" si="1"/>
        <v>1.5985</v>
      </c>
      <c r="N29" s="5">
        <v>0</v>
      </c>
      <c r="O29" s="1" t="s">
        <v>26</v>
      </c>
      <c r="P29" s="4">
        <v>0</v>
      </c>
      <c r="Q29" s="1" t="s">
        <v>24</v>
      </c>
      <c r="R29" s="1" t="s">
        <v>27</v>
      </c>
      <c r="S29" s="1" t="s">
        <v>28</v>
      </c>
      <c r="T29" s="1" t="s">
        <v>39</v>
      </c>
    </row>
    <row r="30" spans="1:20" outlineLevel="2" x14ac:dyDescent="0.25">
      <c r="A30" s="1" t="s">
        <v>35</v>
      </c>
      <c r="B30" s="1"/>
      <c r="C30" s="1" t="s">
        <v>83</v>
      </c>
      <c r="D30" s="1" t="s">
        <v>82</v>
      </c>
      <c r="E30" s="3">
        <v>43069</v>
      </c>
      <c r="F30" s="3">
        <v>43069</v>
      </c>
      <c r="G30" s="1" t="s">
        <v>72</v>
      </c>
      <c r="H30" s="4">
        <v>0</v>
      </c>
      <c r="I30" s="1" t="s">
        <v>24</v>
      </c>
      <c r="J30" s="1" t="s">
        <v>25</v>
      </c>
      <c r="K30" s="5">
        <v>-450</v>
      </c>
      <c r="L30" s="5">
        <v>-712.89</v>
      </c>
      <c r="M30" s="20">
        <f t="shared" si="1"/>
        <v>1.5842000000000001</v>
      </c>
      <c r="N30" s="5">
        <v>0</v>
      </c>
      <c r="O30" s="1" t="s">
        <v>26</v>
      </c>
      <c r="P30" s="4">
        <v>0</v>
      </c>
      <c r="Q30" s="1" t="s">
        <v>24</v>
      </c>
      <c r="R30" s="1" t="s">
        <v>27</v>
      </c>
      <c r="S30" s="1" t="s">
        <v>28</v>
      </c>
      <c r="T30" s="1" t="s">
        <v>39</v>
      </c>
    </row>
    <row r="31" spans="1:20" outlineLevel="2" x14ac:dyDescent="0.25">
      <c r="A31" s="1" t="s">
        <v>35</v>
      </c>
      <c r="B31" s="1"/>
      <c r="C31" s="1" t="s">
        <v>84</v>
      </c>
      <c r="D31" s="1" t="s">
        <v>82</v>
      </c>
      <c r="E31" s="3">
        <v>43038</v>
      </c>
      <c r="F31" s="3">
        <v>43038</v>
      </c>
      <c r="G31" s="1" t="s">
        <v>72</v>
      </c>
      <c r="H31" s="4">
        <v>0</v>
      </c>
      <c r="I31" s="1" t="s">
        <v>24</v>
      </c>
      <c r="J31" s="1" t="s">
        <v>25</v>
      </c>
      <c r="K31" s="5">
        <v>-15000</v>
      </c>
      <c r="L31" s="5">
        <v>-24022.5</v>
      </c>
      <c r="M31" s="20">
        <f t="shared" si="1"/>
        <v>1.6014999999999999</v>
      </c>
      <c r="N31" s="5">
        <v>0</v>
      </c>
      <c r="O31" s="1" t="s">
        <v>26</v>
      </c>
      <c r="P31" s="4">
        <v>0</v>
      </c>
      <c r="Q31" s="1" t="s">
        <v>24</v>
      </c>
      <c r="R31" s="1" t="s">
        <v>27</v>
      </c>
      <c r="S31" s="1" t="s">
        <v>28</v>
      </c>
      <c r="T31" s="1" t="s">
        <v>39</v>
      </c>
    </row>
    <row r="32" spans="1:20" outlineLevel="2" x14ac:dyDescent="0.25">
      <c r="A32" s="1" t="s">
        <v>35</v>
      </c>
      <c r="B32" s="1"/>
      <c r="C32" s="1" t="s">
        <v>85</v>
      </c>
      <c r="D32" s="1" t="s">
        <v>82</v>
      </c>
      <c r="E32" s="3">
        <v>43005</v>
      </c>
      <c r="F32" s="3">
        <v>43005</v>
      </c>
      <c r="G32" s="1" t="s">
        <v>72</v>
      </c>
      <c r="H32" s="4">
        <v>0</v>
      </c>
      <c r="I32" s="1" t="s">
        <v>24</v>
      </c>
      <c r="J32" s="1" t="s">
        <v>25</v>
      </c>
      <c r="K32" s="5">
        <v>-1350</v>
      </c>
      <c r="L32" s="5">
        <v>-2178.5</v>
      </c>
      <c r="M32" s="20">
        <f t="shared" si="1"/>
        <v>1.6137037037037036</v>
      </c>
      <c r="N32" s="5">
        <v>0</v>
      </c>
      <c r="O32" s="1" t="s">
        <v>26</v>
      </c>
      <c r="P32" s="4">
        <v>0</v>
      </c>
      <c r="Q32" s="1" t="s">
        <v>24</v>
      </c>
      <c r="R32" s="1" t="s">
        <v>27</v>
      </c>
      <c r="S32" s="1" t="s">
        <v>28</v>
      </c>
      <c r="T32" s="1" t="s">
        <v>39</v>
      </c>
    </row>
    <row r="33" spans="1:20" outlineLevel="2" x14ac:dyDescent="0.25">
      <c r="A33" s="1" t="s">
        <v>35</v>
      </c>
      <c r="B33" s="1"/>
      <c r="C33" s="1" t="s">
        <v>86</v>
      </c>
      <c r="D33" s="1" t="s">
        <v>82</v>
      </c>
      <c r="E33" s="3">
        <v>43000</v>
      </c>
      <c r="F33" s="3">
        <v>43000</v>
      </c>
      <c r="G33" s="1" t="s">
        <v>72</v>
      </c>
      <c r="H33" s="4">
        <v>0</v>
      </c>
      <c r="I33" s="1" t="s">
        <v>24</v>
      </c>
      <c r="J33" s="1" t="s">
        <v>25</v>
      </c>
      <c r="K33" s="5">
        <v>-5761.15</v>
      </c>
      <c r="L33" s="5">
        <v>-9296.77</v>
      </c>
      <c r="M33" s="20">
        <f t="shared" si="1"/>
        <v>1.6137003896791442</v>
      </c>
      <c r="N33" s="5">
        <v>0</v>
      </c>
      <c r="O33" s="1" t="s">
        <v>26</v>
      </c>
      <c r="P33" s="4">
        <v>0</v>
      </c>
      <c r="Q33" s="1" t="s">
        <v>24</v>
      </c>
      <c r="R33" s="1" t="s">
        <v>27</v>
      </c>
      <c r="S33" s="1" t="s">
        <v>28</v>
      </c>
      <c r="T33" s="1" t="s">
        <v>39</v>
      </c>
    </row>
    <row r="34" spans="1:20" outlineLevel="2" x14ac:dyDescent="0.25">
      <c r="A34" s="1" t="s">
        <v>35</v>
      </c>
      <c r="B34" s="1"/>
      <c r="C34" s="1" t="s">
        <v>87</v>
      </c>
      <c r="D34" s="1" t="s">
        <v>82</v>
      </c>
      <c r="E34" s="3">
        <v>43000</v>
      </c>
      <c r="F34" s="3">
        <v>43000</v>
      </c>
      <c r="G34" s="1" t="s">
        <v>72</v>
      </c>
      <c r="H34" s="4">
        <v>0</v>
      </c>
      <c r="I34" s="1" t="s">
        <v>24</v>
      </c>
      <c r="J34" s="1" t="s">
        <v>25</v>
      </c>
      <c r="K34" s="5">
        <v>-49350</v>
      </c>
      <c r="L34" s="5">
        <v>-79636.100000000006</v>
      </c>
      <c r="M34" s="20">
        <f t="shared" si="1"/>
        <v>1.6137001013171226</v>
      </c>
      <c r="N34" s="5">
        <v>0</v>
      </c>
      <c r="O34" s="1" t="s">
        <v>26</v>
      </c>
      <c r="P34" s="4">
        <v>0</v>
      </c>
      <c r="Q34" s="1" t="s">
        <v>24</v>
      </c>
      <c r="R34" s="1" t="s">
        <v>27</v>
      </c>
      <c r="S34" s="1" t="s">
        <v>28</v>
      </c>
      <c r="T34" s="1" t="s">
        <v>39</v>
      </c>
    </row>
    <row r="35" spans="1:20" outlineLevel="2" x14ac:dyDescent="0.25">
      <c r="A35" s="1" t="s">
        <v>35</v>
      </c>
      <c r="B35" s="1"/>
      <c r="C35" s="1" t="s">
        <v>88</v>
      </c>
      <c r="D35" s="1" t="s">
        <v>82</v>
      </c>
      <c r="E35" s="3">
        <v>43000</v>
      </c>
      <c r="F35" s="3">
        <v>43000</v>
      </c>
      <c r="G35" s="1" t="s">
        <v>72</v>
      </c>
      <c r="H35" s="4">
        <v>0</v>
      </c>
      <c r="I35" s="1" t="s">
        <v>24</v>
      </c>
      <c r="J35" s="1" t="s">
        <v>25</v>
      </c>
      <c r="K35" s="5">
        <v>-25000</v>
      </c>
      <c r="L35" s="5">
        <v>-40342.5</v>
      </c>
      <c r="M35" s="20">
        <f t="shared" si="1"/>
        <v>1.6136999999999999</v>
      </c>
      <c r="N35" s="5">
        <v>0</v>
      </c>
      <c r="O35" s="1" t="s">
        <v>26</v>
      </c>
      <c r="P35" s="4">
        <v>0</v>
      </c>
      <c r="Q35" s="1" t="s">
        <v>24</v>
      </c>
      <c r="R35" s="1" t="s">
        <v>27</v>
      </c>
      <c r="S35" s="1" t="s">
        <v>28</v>
      </c>
      <c r="T35" s="1" t="s">
        <v>39</v>
      </c>
    </row>
    <row r="36" spans="1:20" outlineLevel="2" x14ac:dyDescent="0.25">
      <c r="A36" s="1" t="s">
        <v>35</v>
      </c>
      <c r="B36" s="1"/>
      <c r="C36" s="1" t="s">
        <v>89</v>
      </c>
      <c r="D36" s="1" t="s">
        <v>82</v>
      </c>
      <c r="E36" s="3">
        <v>43000</v>
      </c>
      <c r="F36" s="3">
        <v>43000</v>
      </c>
      <c r="G36" s="1" t="s">
        <v>72</v>
      </c>
      <c r="H36" s="4">
        <v>0</v>
      </c>
      <c r="I36" s="1" t="s">
        <v>24</v>
      </c>
      <c r="J36" s="1" t="s">
        <v>25</v>
      </c>
      <c r="K36" s="5">
        <v>-2550</v>
      </c>
      <c r="L36" s="5">
        <v>-4114.9399999999996</v>
      </c>
      <c r="M36" s="20">
        <f t="shared" si="1"/>
        <v>1.6137019607843135</v>
      </c>
      <c r="N36" s="5">
        <v>0</v>
      </c>
      <c r="O36" s="1" t="s">
        <v>26</v>
      </c>
      <c r="P36" s="4">
        <v>0</v>
      </c>
      <c r="Q36" s="1" t="s">
        <v>24</v>
      </c>
      <c r="R36" s="1" t="s">
        <v>27</v>
      </c>
      <c r="S36" s="1" t="s">
        <v>28</v>
      </c>
      <c r="T36" s="1" t="s">
        <v>39</v>
      </c>
    </row>
    <row r="37" spans="1:20" outlineLevel="2" x14ac:dyDescent="0.25">
      <c r="A37" s="1" t="s">
        <v>35</v>
      </c>
      <c r="B37" s="1"/>
      <c r="C37" s="1" t="s">
        <v>90</v>
      </c>
      <c r="D37" s="1"/>
      <c r="E37" s="3">
        <v>42899</v>
      </c>
      <c r="F37" s="3">
        <v>42899</v>
      </c>
      <c r="G37" s="1" t="s">
        <v>23</v>
      </c>
      <c r="H37" s="4">
        <v>0</v>
      </c>
      <c r="I37" s="1" t="s">
        <v>24</v>
      </c>
      <c r="J37" s="1" t="s">
        <v>25</v>
      </c>
      <c r="K37" s="5">
        <v>245000</v>
      </c>
      <c r="L37" s="5">
        <v>379309</v>
      </c>
      <c r="M37" s="20">
        <f t="shared" si="1"/>
        <v>1.5482</v>
      </c>
      <c r="N37" s="5">
        <v>0</v>
      </c>
      <c r="O37" s="1" t="s">
        <v>26</v>
      </c>
      <c r="P37" s="4">
        <v>0</v>
      </c>
      <c r="Q37" s="1" t="s">
        <v>24</v>
      </c>
      <c r="R37" s="1" t="s">
        <v>27</v>
      </c>
      <c r="S37" s="1" t="s">
        <v>28</v>
      </c>
      <c r="T37" s="1" t="s">
        <v>39</v>
      </c>
    </row>
    <row r="38" spans="1:20" outlineLevel="1" x14ac:dyDescent="0.25">
      <c r="A38" s="6" t="s">
        <v>91</v>
      </c>
      <c r="B38" s="6"/>
      <c r="C38" s="6"/>
      <c r="D38" s="6"/>
      <c r="E38" s="7"/>
      <c r="F38" s="7"/>
      <c r="G38" s="6"/>
      <c r="H38" s="8">
        <v>0</v>
      </c>
      <c r="I38" s="6"/>
      <c r="J38" s="6" t="s">
        <v>25</v>
      </c>
      <c r="K38" s="9">
        <v>270</v>
      </c>
      <c r="L38" s="9">
        <v>-8965.0400000000009</v>
      </c>
      <c r="M38" s="20">
        <f t="shared" si="1"/>
        <v>-33.203851851851859</v>
      </c>
      <c r="N38" s="9"/>
      <c r="O38" s="6" t="s">
        <v>26</v>
      </c>
      <c r="P38" s="10"/>
      <c r="Q38" s="6" t="s">
        <v>24</v>
      </c>
      <c r="R38" s="6"/>
      <c r="S38" s="6"/>
      <c r="T38" s="6"/>
    </row>
    <row r="39" spans="1:20" x14ac:dyDescent="0.25">
      <c r="A39" s="11"/>
      <c r="B39" s="11"/>
      <c r="C39" s="11"/>
      <c r="D39" s="11"/>
      <c r="E39" s="12"/>
      <c r="F39" s="12"/>
      <c r="G39" s="11"/>
      <c r="H39" s="13">
        <v>8</v>
      </c>
      <c r="I39" s="11"/>
      <c r="J39" s="11" t="s">
        <v>25</v>
      </c>
      <c r="K39" s="14">
        <v>520270</v>
      </c>
      <c r="L39" s="14">
        <v>830158.96</v>
      </c>
      <c r="M39" s="20">
        <f t="shared" si="1"/>
        <v>1.595631037730409</v>
      </c>
      <c r="N39" s="14"/>
      <c r="O39" s="11" t="s">
        <v>26</v>
      </c>
      <c r="P39" s="15"/>
      <c r="Q39" s="11" t="s">
        <v>24</v>
      </c>
      <c r="R39" s="11"/>
      <c r="S39" s="11"/>
      <c r="T39" s="11"/>
    </row>
  </sheetData>
  <pageMargins left="0.75" right="0.75" top="1" bottom="1" header="0.5" footer="0.5"/>
  <pageSetup paperSize="9" orientation="portrait" verticalDpi="0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BF48-62E3-41FC-AB91-0989F2DF44C0}">
  <dimension ref="B1:K29"/>
  <sheetViews>
    <sheetView tabSelected="1" workbookViewId="0"/>
  </sheetViews>
  <sheetFormatPr defaultRowHeight="12.5" x14ac:dyDescent="0.25"/>
  <cols>
    <col min="1" max="2" width="11.1796875" bestFit="1" customWidth="1"/>
    <col min="3" max="3" width="9.6328125" bestFit="1" customWidth="1"/>
    <col min="4" max="4" width="11.81640625" style="16" bestFit="1" customWidth="1"/>
    <col min="6" max="6" width="11.81640625" style="16" bestFit="1" customWidth="1"/>
    <col min="7" max="7" width="11.54296875" style="17" customWidth="1"/>
    <col min="8" max="8" width="50.08984375" bestFit="1" customWidth="1"/>
    <col min="10" max="10" width="10.81640625" bestFit="1" customWidth="1"/>
    <col min="11" max="11" width="8.7265625" style="17"/>
  </cols>
  <sheetData>
    <row r="1" spans="2:8" x14ac:dyDescent="0.25">
      <c r="C1" t="s">
        <v>101</v>
      </c>
      <c r="D1" s="16" t="s">
        <v>25</v>
      </c>
      <c r="E1" t="s">
        <v>108</v>
      </c>
      <c r="F1" s="16" t="s">
        <v>109</v>
      </c>
    </row>
    <row r="2" spans="2:8" x14ac:dyDescent="0.25">
      <c r="D2" s="16">
        <v>260000</v>
      </c>
      <c r="E2">
        <v>1.61</v>
      </c>
      <c r="F2" s="16" t="str">
        <f>D2&amp;E2</f>
        <v>2600001.61</v>
      </c>
      <c r="G2" s="17" t="s">
        <v>99</v>
      </c>
    </row>
    <row r="3" spans="2:8" x14ac:dyDescent="0.25">
      <c r="B3" s="18"/>
      <c r="G3" s="17" t="s">
        <v>97</v>
      </c>
      <c r="H3" t="s">
        <v>98</v>
      </c>
    </row>
    <row r="4" spans="2:8" x14ac:dyDescent="0.25">
      <c r="B4" s="18"/>
      <c r="C4" t="s">
        <v>39</v>
      </c>
      <c r="D4" s="16">
        <v>245000</v>
      </c>
      <c r="E4">
        <v>1.55</v>
      </c>
      <c r="F4" s="16">
        <f>D4*E4</f>
        <v>379750</v>
      </c>
      <c r="G4" s="17" t="s">
        <v>93</v>
      </c>
      <c r="H4" t="s">
        <v>100</v>
      </c>
    </row>
    <row r="5" spans="2:8" x14ac:dyDescent="0.25">
      <c r="B5" s="18"/>
    </row>
    <row r="6" spans="2:8" ht="13" x14ac:dyDescent="0.3">
      <c r="B6" s="18"/>
      <c r="C6" s="23" t="s">
        <v>113</v>
      </c>
    </row>
    <row r="7" spans="2:8" x14ac:dyDescent="0.25">
      <c r="B7" s="18" t="s">
        <v>112</v>
      </c>
      <c r="C7" t="s">
        <v>102</v>
      </c>
      <c r="D7" s="16">
        <v>-162000</v>
      </c>
      <c r="E7">
        <v>1.55</v>
      </c>
      <c r="F7" s="16">
        <f>D7*E7</f>
        <v>-251100</v>
      </c>
      <c r="G7" s="17" t="s">
        <v>92</v>
      </c>
      <c r="H7" t="s">
        <v>111</v>
      </c>
    </row>
    <row r="8" spans="2:8" x14ac:dyDescent="0.25">
      <c r="B8" s="18"/>
      <c r="C8" t="s">
        <v>102</v>
      </c>
      <c r="D8" s="16">
        <v>-82400</v>
      </c>
      <c r="E8">
        <v>1.55</v>
      </c>
      <c r="F8" s="16">
        <f t="shared" ref="F8:F9" si="0">D8*E8</f>
        <v>-127720</v>
      </c>
      <c r="G8" s="17" t="s">
        <v>92</v>
      </c>
      <c r="H8" t="s">
        <v>111</v>
      </c>
    </row>
    <row r="9" spans="2:8" x14ac:dyDescent="0.25">
      <c r="B9" s="18"/>
      <c r="C9" t="s">
        <v>102</v>
      </c>
      <c r="D9" s="16">
        <v>-600</v>
      </c>
      <c r="E9">
        <v>1.55</v>
      </c>
      <c r="F9" s="16">
        <f t="shared" si="0"/>
        <v>-930</v>
      </c>
      <c r="G9" s="17" t="s">
        <v>92</v>
      </c>
      <c r="H9" t="s">
        <v>111</v>
      </c>
    </row>
    <row r="10" spans="2:8" x14ac:dyDescent="0.25">
      <c r="B10" s="18"/>
    </row>
    <row r="11" spans="2:8" x14ac:dyDescent="0.25">
      <c r="B11" s="18"/>
      <c r="D11" s="16">
        <f>SUM(D4:D9)</f>
        <v>0</v>
      </c>
      <c r="F11" s="16">
        <f>SUM(F4:F9)</f>
        <v>0</v>
      </c>
    </row>
    <row r="12" spans="2:8" x14ac:dyDescent="0.25">
      <c r="B12" s="18"/>
    </row>
    <row r="13" spans="2:8" x14ac:dyDescent="0.25">
      <c r="B13" s="18" t="s">
        <v>94</v>
      </c>
      <c r="C13" t="s">
        <v>102</v>
      </c>
      <c r="D13" s="16">
        <v>-162000</v>
      </c>
      <c r="E13">
        <v>1.6</v>
      </c>
      <c r="F13" s="16">
        <f>D13*E13</f>
        <v>-259200</v>
      </c>
      <c r="G13" s="17" t="s">
        <v>96</v>
      </c>
      <c r="H13" t="s">
        <v>110</v>
      </c>
    </row>
    <row r="14" spans="2:8" x14ac:dyDescent="0.25">
      <c r="C14" t="s">
        <v>102</v>
      </c>
      <c r="D14" s="16">
        <v>-82400</v>
      </c>
      <c r="E14">
        <v>1.55</v>
      </c>
      <c r="F14" s="16">
        <f>D14*E14</f>
        <v>-127720</v>
      </c>
      <c r="G14" s="17" t="s">
        <v>96</v>
      </c>
      <c r="H14" t="s">
        <v>110</v>
      </c>
    </row>
    <row r="15" spans="2:8" x14ac:dyDescent="0.25">
      <c r="C15" t="s">
        <v>102</v>
      </c>
      <c r="D15" s="16">
        <v>-600</v>
      </c>
      <c r="E15">
        <v>1.4911000000000001</v>
      </c>
      <c r="F15" s="16">
        <f>D15*E15</f>
        <v>-894.66000000000008</v>
      </c>
      <c r="G15" s="17" t="s">
        <v>96</v>
      </c>
      <c r="H15" t="s">
        <v>110</v>
      </c>
    </row>
    <row r="17" spans="2:8" x14ac:dyDescent="0.25">
      <c r="D17" s="16">
        <f>SUM(D4,D13:D16)</f>
        <v>0</v>
      </c>
      <c r="E17" s="16"/>
      <c r="F17" s="16">
        <f>SUM(F4,F13:F16)</f>
        <v>-8064.66</v>
      </c>
    </row>
    <row r="19" spans="2:8" x14ac:dyDescent="0.25">
      <c r="B19" t="s">
        <v>95</v>
      </c>
      <c r="C19" t="s">
        <v>102</v>
      </c>
      <c r="D19" s="16">
        <v>-162000</v>
      </c>
      <c r="E19">
        <v>1.6</v>
      </c>
      <c r="F19" s="16">
        <f t="shared" ref="F19:F20" si="1">D19*E19</f>
        <v>-259200</v>
      </c>
      <c r="G19" s="17" t="s">
        <v>96</v>
      </c>
      <c r="H19" t="s">
        <v>110</v>
      </c>
    </row>
    <row r="20" spans="2:8" x14ac:dyDescent="0.25">
      <c r="C20" t="s">
        <v>102</v>
      </c>
      <c r="D20" s="16">
        <v>-82400</v>
      </c>
      <c r="E20">
        <v>1.55</v>
      </c>
      <c r="F20" s="16">
        <f t="shared" si="1"/>
        <v>-127720</v>
      </c>
      <c r="G20" s="17" t="s">
        <v>96</v>
      </c>
      <c r="H20" t="s">
        <v>110</v>
      </c>
    </row>
    <row r="21" spans="2:8" x14ac:dyDescent="0.25">
      <c r="C21" t="s">
        <v>102</v>
      </c>
      <c r="D21" s="16">
        <v>-600</v>
      </c>
      <c r="E21">
        <v>1.4911000000000001</v>
      </c>
      <c r="F21" s="22">
        <f>SUM(F4,F19:F20)</f>
        <v>-7170</v>
      </c>
      <c r="G21" s="17" t="s">
        <v>92</v>
      </c>
      <c r="H21" t="s">
        <v>111</v>
      </c>
    </row>
    <row r="23" spans="2:8" x14ac:dyDescent="0.25">
      <c r="D23" s="16">
        <f>SUM(D4,D19:D22)</f>
        <v>0</v>
      </c>
      <c r="F23" s="22">
        <f>SUM(F4,F19:F21)</f>
        <v>-14340</v>
      </c>
    </row>
    <row r="25" spans="2:8" x14ac:dyDescent="0.25">
      <c r="F25" s="16" t="s">
        <v>103</v>
      </c>
    </row>
    <row r="26" spans="2:8" x14ac:dyDescent="0.25">
      <c r="F26" s="16" t="s">
        <v>104</v>
      </c>
    </row>
    <row r="27" spans="2:8" x14ac:dyDescent="0.25">
      <c r="F27" s="16" t="s">
        <v>105</v>
      </c>
    </row>
    <row r="28" spans="2:8" x14ac:dyDescent="0.25">
      <c r="F28" s="16" t="s">
        <v>106</v>
      </c>
    </row>
    <row r="29" spans="2:8" x14ac:dyDescent="0.25">
      <c r="F29" s="16" t="s">
        <v>107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7CD0C-9550-4C6E-8621-505D4A8E197C}">
  <dimension ref="A1:A46"/>
  <sheetViews>
    <sheetView zoomScaleNormal="100" workbookViewId="0"/>
  </sheetViews>
  <sheetFormatPr defaultRowHeight="12.5" x14ac:dyDescent="0.25"/>
  <sheetData>
    <row r="1" spans="1:1" ht="14.5" x14ac:dyDescent="0.35">
      <c r="A1" s="24" t="s">
        <v>114</v>
      </c>
    </row>
    <row r="40" spans="1:1" ht="14.5" x14ac:dyDescent="0.25">
      <c r="A40" s="25" t="s">
        <v>115</v>
      </c>
    </row>
    <row r="41" spans="1:1" ht="14.5" x14ac:dyDescent="0.25">
      <c r="A41" s="25" t="s">
        <v>116</v>
      </c>
    </row>
    <row r="42" spans="1:1" ht="14.5" x14ac:dyDescent="0.25">
      <c r="A42" s="25"/>
    </row>
    <row r="43" spans="1:1" ht="14.5" x14ac:dyDescent="0.25">
      <c r="A43" s="25" t="s">
        <v>117</v>
      </c>
    </row>
    <row r="44" spans="1:1" ht="14.5" x14ac:dyDescent="0.25">
      <c r="A44" s="25" t="s">
        <v>118</v>
      </c>
    </row>
    <row r="45" spans="1:1" ht="14.5" x14ac:dyDescent="0.25">
      <c r="A45" s="25"/>
    </row>
    <row r="46" spans="1:1" ht="14.5" x14ac:dyDescent="0.25">
      <c r="A46" s="25" t="s">
        <v>119</v>
      </c>
    </row>
  </sheetData>
  <pageMargins left="0.75" right="0.75" top="1" bottom="1" header="0.5" footer="0.5"/>
  <customProperties>
    <customPr name="_pios_id" r:id="rId1"/>
  </customPropertie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EXPLAIN</vt:lpstr>
      <vt:lpstr>EXPLAIN1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Tran Bao Ngoc Maya</dc:creator>
  <cp:lastModifiedBy>Hoang Quoc Dat Kenway</cp:lastModifiedBy>
  <dcterms:created xsi:type="dcterms:W3CDTF">2026-03-13T07:26:11Z</dcterms:created>
  <dcterms:modified xsi:type="dcterms:W3CDTF">2026-03-18T01:30:33Z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43ec3a-92eb-434b-bfcd-dd5fcd578c71_Enabled">
    <vt:lpwstr>true</vt:lpwstr>
  </property>
  <property fmtid="{D5CDD505-2E9C-101B-9397-08002B2CF9AE}" pid="3" name="MSIP_Label_a043ec3a-92eb-434b-bfcd-dd5fcd578c71_SetDate">
    <vt:lpwstr>2026-03-13T07:26:11Z</vt:lpwstr>
  </property>
  <property fmtid="{D5CDD505-2E9C-101B-9397-08002B2CF9AE}" pid="4" name="MSIP_Label_a043ec3a-92eb-434b-bfcd-dd5fcd578c71_Method">
    <vt:lpwstr>Privileged</vt:lpwstr>
  </property>
  <property fmtid="{D5CDD505-2E9C-101B-9397-08002B2CF9AE}" pid="5" name="MSIP_Label_a043ec3a-92eb-434b-bfcd-dd5fcd578c71_Name">
    <vt:lpwstr>Group_Unrestricted</vt:lpwstr>
  </property>
  <property fmtid="{D5CDD505-2E9C-101B-9397-08002B2CF9AE}" pid="6" name="MSIP_Label_a043ec3a-92eb-434b-bfcd-dd5fcd578c71_SiteId">
    <vt:lpwstr>82fac8d8-49c2-492d-9f67-7d9e5b66144e</vt:lpwstr>
  </property>
  <property fmtid="{D5CDD505-2E9C-101B-9397-08002B2CF9AE}" pid="7" name="MSIP_Label_a043ec3a-92eb-434b-bfcd-dd5fcd578c71_ActionId">
    <vt:lpwstr>3d24ac11-5ec5-48ac-a81f-066af5b8e214</vt:lpwstr>
  </property>
  <property fmtid="{D5CDD505-2E9C-101B-9397-08002B2CF9AE}" pid="8" name="MSIP_Label_a043ec3a-92eb-434b-bfcd-dd5fcd578c71_ContentBits">
    <vt:lpwstr>0</vt:lpwstr>
  </property>
  <property fmtid="{D5CDD505-2E9C-101B-9397-08002B2CF9AE}" pid="9" name="MSIP_Label_a043ec3a-92eb-434b-bfcd-dd5fcd578c71_Tag">
    <vt:lpwstr>10, 0, 1, 1</vt:lpwstr>
  </property>
</Properties>
</file>